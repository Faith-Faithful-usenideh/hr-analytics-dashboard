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5FA0919-F144-4C57-9817-B748CE14F740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Dashboard" sheetId="1" r:id="rId1"/>
    <sheet name="Interactive Dashboard" sheetId="2" r:id="rId2"/>
    <sheet name="Sheet1" sheetId="6" r:id="rId3"/>
    <sheet name="Analysis" sheetId="3" r:id="rId4"/>
    <sheet name="Data" sheetId="4" r:id="rId5"/>
    <sheet name="Notes" sheetId="5" r:id="rId6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Q1471" i="4" l="1"/>
  <c r="AP1471" i="4"/>
  <c r="AO1471" i="4"/>
  <c r="AN1471" i="4"/>
  <c r="AM1471" i="4"/>
  <c r="AQ1470" i="4"/>
  <c r="AP1470" i="4"/>
  <c r="AO1470" i="4"/>
  <c r="AN1470" i="4"/>
  <c r="AM1470" i="4"/>
  <c r="AQ1469" i="4"/>
  <c r="AP1469" i="4"/>
  <c r="AO1469" i="4"/>
  <c r="AN1469" i="4"/>
  <c r="AM1469" i="4"/>
  <c r="AQ1468" i="4"/>
  <c r="AP1468" i="4"/>
  <c r="AO1468" i="4"/>
  <c r="AN1468" i="4"/>
  <c r="AM1468" i="4"/>
  <c r="AQ1467" i="4"/>
  <c r="AP1467" i="4"/>
  <c r="AO1467" i="4"/>
  <c r="AN1467" i="4"/>
  <c r="AM1467" i="4"/>
  <c r="AQ1466" i="4"/>
  <c r="AP1466" i="4"/>
  <c r="AO1466" i="4"/>
  <c r="AN1466" i="4"/>
  <c r="AM1466" i="4"/>
  <c r="AQ1465" i="4"/>
  <c r="AP1465" i="4"/>
  <c r="AO1465" i="4"/>
  <c r="AN1465" i="4"/>
  <c r="AM1465" i="4"/>
  <c r="AQ1464" i="4"/>
  <c r="AP1464" i="4"/>
  <c r="AO1464" i="4"/>
  <c r="AN1464" i="4"/>
  <c r="AM1464" i="4"/>
  <c r="AQ1463" i="4"/>
  <c r="AP1463" i="4"/>
  <c r="AO1463" i="4"/>
  <c r="AN1463" i="4"/>
  <c r="AM1463" i="4"/>
  <c r="AQ1462" i="4"/>
  <c r="AP1462" i="4"/>
  <c r="AO1462" i="4"/>
  <c r="AN1462" i="4"/>
  <c r="AM1462" i="4"/>
  <c r="AQ1461" i="4"/>
  <c r="AP1461" i="4"/>
  <c r="AO1461" i="4"/>
  <c r="AN1461" i="4"/>
  <c r="AM1461" i="4"/>
  <c r="AQ1460" i="4"/>
  <c r="AP1460" i="4"/>
  <c r="AO1460" i="4"/>
  <c r="AN1460" i="4"/>
  <c r="AM1460" i="4"/>
  <c r="AQ1459" i="4"/>
  <c r="AP1459" i="4"/>
  <c r="AO1459" i="4"/>
  <c r="AN1459" i="4"/>
  <c r="AM1459" i="4"/>
  <c r="AQ1458" i="4"/>
  <c r="AP1458" i="4"/>
  <c r="AO1458" i="4"/>
  <c r="AN1458" i="4"/>
  <c r="AM1458" i="4"/>
  <c r="AQ1457" i="4"/>
  <c r="AP1457" i="4"/>
  <c r="AO1457" i="4"/>
  <c r="AN1457" i="4"/>
  <c r="AM1457" i="4"/>
  <c r="AQ1456" i="4"/>
  <c r="AP1456" i="4"/>
  <c r="AO1456" i="4"/>
  <c r="AN1456" i="4"/>
  <c r="AM1456" i="4"/>
  <c r="AQ1455" i="4"/>
  <c r="AP1455" i="4"/>
  <c r="AO1455" i="4"/>
  <c r="AN1455" i="4"/>
  <c r="AM1455" i="4"/>
  <c r="AQ1454" i="4"/>
  <c r="AP1454" i="4"/>
  <c r="AO1454" i="4"/>
  <c r="AN1454" i="4"/>
  <c r="AM1454" i="4"/>
  <c r="AQ1453" i="4"/>
  <c r="AP1453" i="4"/>
  <c r="AO1453" i="4"/>
  <c r="AN1453" i="4"/>
  <c r="AM1453" i="4"/>
  <c r="AQ1452" i="4"/>
  <c r="AP1452" i="4"/>
  <c r="AO1452" i="4"/>
  <c r="AN1452" i="4"/>
  <c r="AM1452" i="4"/>
  <c r="AQ1451" i="4"/>
  <c r="AP1451" i="4"/>
  <c r="AO1451" i="4"/>
  <c r="AN1451" i="4"/>
  <c r="AM1451" i="4"/>
  <c r="AQ1450" i="4"/>
  <c r="AP1450" i="4"/>
  <c r="AO1450" i="4"/>
  <c r="AN1450" i="4"/>
  <c r="AM1450" i="4"/>
  <c r="AQ1449" i="4"/>
  <c r="AP1449" i="4"/>
  <c r="AO1449" i="4"/>
  <c r="AN1449" i="4"/>
  <c r="AM1449" i="4"/>
  <c r="AQ1448" i="4"/>
  <c r="AP1448" i="4"/>
  <c r="AO1448" i="4"/>
  <c r="AN1448" i="4"/>
  <c r="AM1448" i="4"/>
  <c r="AQ1447" i="4"/>
  <c r="AP1447" i="4"/>
  <c r="AO1447" i="4"/>
  <c r="AN1447" i="4"/>
  <c r="AM1447" i="4"/>
  <c r="AQ1446" i="4"/>
  <c r="AP1446" i="4"/>
  <c r="AO1446" i="4"/>
  <c r="AN1446" i="4"/>
  <c r="AM1446" i="4"/>
  <c r="AQ1445" i="4"/>
  <c r="AP1445" i="4"/>
  <c r="AO1445" i="4"/>
  <c r="AN1445" i="4"/>
  <c r="AM1445" i="4"/>
  <c r="AQ1444" i="4"/>
  <c r="AP1444" i="4"/>
  <c r="AO1444" i="4"/>
  <c r="AN1444" i="4"/>
  <c r="AM1444" i="4"/>
  <c r="AQ1443" i="4"/>
  <c r="AP1443" i="4"/>
  <c r="AO1443" i="4"/>
  <c r="AN1443" i="4"/>
  <c r="AM1443" i="4"/>
  <c r="AQ1442" i="4"/>
  <c r="AP1442" i="4"/>
  <c r="AO1442" i="4"/>
  <c r="AN1442" i="4"/>
  <c r="AM1442" i="4"/>
  <c r="AQ1441" i="4"/>
  <c r="AP1441" i="4"/>
  <c r="AO1441" i="4"/>
  <c r="AN1441" i="4"/>
  <c r="AM1441" i="4"/>
  <c r="AQ1440" i="4"/>
  <c r="AP1440" i="4"/>
  <c r="AO1440" i="4"/>
  <c r="AN1440" i="4"/>
  <c r="AM1440" i="4"/>
  <c r="AQ1439" i="4"/>
  <c r="AP1439" i="4"/>
  <c r="AO1439" i="4"/>
  <c r="AN1439" i="4"/>
  <c r="AM1439" i="4"/>
  <c r="AQ1438" i="4"/>
  <c r="AP1438" i="4"/>
  <c r="AO1438" i="4"/>
  <c r="AN1438" i="4"/>
  <c r="AM1438" i="4"/>
  <c r="AQ1437" i="4"/>
  <c r="AP1437" i="4"/>
  <c r="AO1437" i="4"/>
  <c r="AN1437" i="4"/>
  <c r="AM1437" i="4"/>
  <c r="AQ1436" i="4"/>
  <c r="AP1436" i="4"/>
  <c r="AO1436" i="4"/>
  <c r="AN1436" i="4"/>
  <c r="AM1436" i="4"/>
  <c r="AQ1435" i="4"/>
  <c r="AP1435" i="4"/>
  <c r="AO1435" i="4"/>
  <c r="AN1435" i="4"/>
  <c r="AM1435" i="4"/>
  <c r="AQ1434" i="4"/>
  <c r="AP1434" i="4"/>
  <c r="AO1434" i="4"/>
  <c r="AN1434" i="4"/>
  <c r="AM1434" i="4"/>
  <c r="AQ1433" i="4"/>
  <c r="AP1433" i="4"/>
  <c r="AO1433" i="4"/>
  <c r="AN1433" i="4"/>
  <c r="AM1433" i="4"/>
  <c r="AQ1432" i="4"/>
  <c r="AP1432" i="4"/>
  <c r="AO1432" i="4"/>
  <c r="AN1432" i="4"/>
  <c r="AM1432" i="4"/>
  <c r="AQ1431" i="4"/>
  <c r="AP1431" i="4"/>
  <c r="AO1431" i="4"/>
  <c r="AN1431" i="4"/>
  <c r="AM1431" i="4"/>
  <c r="AQ1430" i="4"/>
  <c r="AP1430" i="4"/>
  <c r="AO1430" i="4"/>
  <c r="AN1430" i="4"/>
  <c r="AM1430" i="4"/>
  <c r="AQ1429" i="4"/>
  <c r="AP1429" i="4"/>
  <c r="AO1429" i="4"/>
  <c r="AN1429" i="4"/>
  <c r="AM1429" i="4"/>
  <c r="AQ1428" i="4"/>
  <c r="AP1428" i="4"/>
  <c r="AO1428" i="4"/>
  <c r="AN1428" i="4"/>
  <c r="AM1428" i="4"/>
  <c r="AQ1427" i="4"/>
  <c r="AP1427" i="4"/>
  <c r="AO1427" i="4"/>
  <c r="AN1427" i="4"/>
  <c r="AM1427" i="4"/>
  <c r="AQ1426" i="4"/>
  <c r="AP1426" i="4"/>
  <c r="AO1426" i="4"/>
  <c r="AN1426" i="4"/>
  <c r="AM1426" i="4"/>
  <c r="AQ1425" i="4"/>
  <c r="AP1425" i="4"/>
  <c r="AO1425" i="4"/>
  <c r="AN1425" i="4"/>
  <c r="AM1425" i="4"/>
  <c r="AQ1424" i="4"/>
  <c r="AP1424" i="4"/>
  <c r="AO1424" i="4"/>
  <c r="AN1424" i="4"/>
  <c r="AM1424" i="4"/>
  <c r="AQ1423" i="4"/>
  <c r="AP1423" i="4"/>
  <c r="AO1423" i="4"/>
  <c r="AN1423" i="4"/>
  <c r="AM1423" i="4"/>
  <c r="AQ1422" i="4"/>
  <c r="AP1422" i="4"/>
  <c r="AO1422" i="4"/>
  <c r="AN1422" i="4"/>
  <c r="AM1422" i="4"/>
  <c r="AQ1421" i="4"/>
  <c r="AP1421" i="4"/>
  <c r="AO1421" i="4"/>
  <c r="AN1421" i="4"/>
  <c r="AM1421" i="4"/>
  <c r="AQ1420" i="4"/>
  <c r="AP1420" i="4"/>
  <c r="AO1420" i="4"/>
  <c r="AN1420" i="4"/>
  <c r="AM1420" i="4"/>
  <c r="AQ1419" i="4"/>
  <c r="AP1419" i="4"/>
  <c r="AO1419" i="4"/>
  <c r="AN1419" i="4"/>
  <c r="AM1419" i="4"/>
  <c r="AQ1418" i="4"/>
  <c r="AP1418" i="4"/>
  <c r="AO1418" i="4"/>
  <c r="AN1418" i="4"/>
  <c r="AM1418" i="4"/>
  <c r="AQ1417" i="4"/>
  <c r="AP1417" i="4"/>
  <c r="AO1417" i="4"/>
  <c r="AN1417" i="4"/>
  <c r="AM1417" i="4"/>
  <c r="AQ1416" i="4"/>
  <c r="AP1416" i="4"/>
  <c r="AO1416" i="4"/>
  <c r="AN1416" i="4"/>
  <c r="AM1416" i="4"/>
  <c r="AQ1415" i="4"/>
  <c r="AP1415" i="4"/>
  <c r="AO1415" i="4"/>
  <c r="AN1415" i="4"/>
  <c r="AM1415" i="4"/>
  <c r="AQ1414" i="4"/>
  <c r="AP1414" i="4"/>
  <c r="AO1414" i="4"/>
  <c r="AN1414" i="4"/>
  <c r="AM1414" i="4"/>
  <c r="AQ1413" i="4"/>
  <c r="AP1413" i="4"/>
  <c r="AO1413" i="4"/>
  <c r="AN1413" i="4"/>
  <c r="AM1413" i="4"/>
  <c r="AQ1412" i="4"/>
  <c r="AP1412" i="4"/>
  <c r="AO1412" i="4"/>
  <c r="AN1412" i="4"/>
  <c r="AM1412" i="4"/>
  <c r="AQ1411" i="4"/>
  <c r="AP1411" i="4"/>
  <c r="AO1411" i="4"/>
  <c r="AN1411" i="4"/>
  <c r="AM1411" i="4"/>
  <c r="AQ1410" i="4"/>
  <c r="AP1410" i="4"/>
  <c r="AO1410" i="4"/>
  <c r="AN1410" i="4"/>
  <c r="AM1410" i="4"/>
  <c r="AQ1409" i="4"/>
  <c r="AP1409" i="4"/>
  <c r="AO1409" i="4"/>
  <c r="AN1409" i="4"/>
  <c r="AM1409" i="4"/>
  <c r="AQ1408" i="4"/>
  <c r="AP1408" i="4"/>
  <c r="AO1408" i="4"/>
  <c r="AN1408" i="4"/>
  <c r="AM1408" i="4"/>
  <c r="AQ1407" i="4"/>
  <c r="AP1407" i="4"/>
  <c r="AO1407" i="4"/>
  <c r="AN1407" i="4"/>
  <c r="AM1407" i="4"/>
  <c r="AQ1406" i="4"/>
  <c r="AP1406" i="4"/>
  <c r="AO1406" i="4"/>
  <c r="AN1406" i="4"/>
  <c r="AM1406" i="4"/>
  <c r="AQ1405" i="4"/>
  <c r="AP1405" i="4"/>
  <c r="AO1405" i="4"/>
  <c r="AN1405" i="4"/>
  <c r="AM1405" i="4"/>
  <c r="AQ1404" i="4"/>
  <c r="AP1404" i="4"/>
  <c r="AO1404" i="4"/>
  <c r="AN1404" i="4"/>
  <c r="AM1404" i="4"/>
  <c r="AQ1403" i="4"/>
  <c r="AP1403" i="4"/>
  <c r="AO1403" i="4"/>
  <c r="AN1403" i="4"/>
  <c r="AM1403" i="4"/>
  <c r="AQ1402" i="4"/>
  <c r="AP1402" i="4"/>
  <c r="AO1402" i="4"/>
  <c r="AN1402" i="4"/>
  <c r="AM1402" i="4"/>
  <c r="AQ1401" i="4"/>
  <c r="AP1401" i="4"/>
  <c r="AO1401" i="4"/>
  <c r="AN1401" i="4"/>
  <c r="AM1401" i="4"/>
  <c r="AQ1400" i="4"/>
  <c r="AP1400" i="4"/>
  <c r="AO1400" i="4"/>
  <c r="AN1400" i="4"/>
  <c r="AM1400" i="4"/>
  <c r="AQ1399" i="4"/>
  <c r="AP1399" i="4"/>
  <c r="AO1399" i="4"/>
  <c r="AN1399" i="4"/>
  <c r="AM1399" i="4"/>
  <c r="AQ1398" i="4"/>
  <c r="AP1398" i="4"/>
  <c r="AO1398" i="4"/>
  <c r="AN1398" i="4"/>
  <c r="AM1398" i="4"/>
  <c r="AQ1397" i="4"/>
  <c r="AP1397" i="4"/>
  <c r="AO1397" i="4"/>
  <c r="AN1397" i="4"/>
  <c r="AM1397" i="4"/>
  <c r="AQ1396" i="4"/>
  <c r="AP1396" i="4"/>
  <c r="AO1396" i="4"/>
  <c r="AN1396" i="4"/>
  <c r="AM1396" i="4"/>
  <c r="AQ1395" i="4"/>
  <c r="AP1395" i="4"/>
  <c r="AO1395" i="4"/>
  <c r="AN1395" i="4"/>
  <c r="AM1395" i="4"/>
  <c r="AQ1394" i="4"/>
  <c r="AP1394" i="4"/>
  <c r="AO1394" i="4"/>
  <c r="AN1394" i="4"/>
  <c r="AM1394" i="4"/>
  <c r="AQ1393" i="4"/>
  <c r="AP1393" i="4"/>
  <c r="AO1393" i="4"/>
  <c r="AN1393" i="4"/>
  <c r="AM1393" i="4"/>
  <c r="AQ1392" i="4"/>
  <c r="AP1392" i="4"/>
  <c r="AO1392" i="4"/>
  <c r="AN1392" i="4"/>
  <c r="AM1392" i="4"/>
  <c r="AQ1391" i="4"/>
  <c r="AP1391" i="4"/>
  <c r="AO1391" i="4"/>
  <c r="AN1391" i="4"/>
  <c r="AM1391" i="4"/>
  <c r="AQ1390" i="4"/>
  <c r="AP1390" i="4"/>
  <c r="AO1390" i="4"/>
  <c r="AN1390" i="4"/>
  <c r="AM1390" i="4"/>
  <c r="AQ1389" i="4"/>
  <c r="AP1389" i="4"/>
  <c r="AO1389" i="4"/>
  <c r="AN1389" i="4"/>
  <c r="AM1389" i="4"/>
  <c r="AQ1388" i="4"/>
  <c r="AP1388" i="4"/>
  <c r="AO1388" i="4"/>
  <c r="AN1388" i="4"/>
  <c r="AM1388" i="4"/>
  <c r="AQ1387" i="4"/>
  <c r="AP1387" i="4"/>
  <c r="AO1387" i="4"/>
  <c r="AN1387" i="4"/>
  <c r="AM1387" i="4"/>
  <c r="AQ1386" i="4"/>
  <c r="AP1386" i="4"/>
  <c r="AO1386" i="4"/>
  <c r="AN1386" i="4"/>
  <c r="AM1386" i="4"/>
  <c r="AQ1385" i="4"/>
  <c r="AP1385" i="4"/>
  <c r="AO1385" i="4"/>
  <c r="AN1385" i="4"/>
  <c r="AM1385" i="4"/>
  <c r="AQ1384" i="4"/>
  <c r="AP1384" i="4"/>
  <c r="AO1384" i="4"/>
  <c r="AN1384" i="4"/>
  <c r="AM1384" i="4"/>
  <c r="AQ1383" i="4"/>
  <c r="AP1383" i="4"/>
  <c r="AO1383" i="4"/>
  <c r="AN1383" i="4"/>
  <c r="AM1383" i="4"/>
  <c r="AQ1382" i="4"/>
  <c r="AP1382" i="4"/>
  <c r="AO1382" i="4"/>
  <c r="AN1382" i="4"/>
  <c r="AM1382" i="4"/>
  <c r="AQ1381" i="4"/>
  <c r="AP1381" i="4"/>
  <c r="AO1381" i="4"/>
  <c r="AN1381" i="4"/>
  <c r="AM1381" i="4"/>
  <c r="AQ1380" i="4"/>
  <c r="AP1380" i="4"/>
  <c r="AO1380" i="4"/>
  <c r="AN1380" i="4"/>
  <c r="AM1380" i="4"/>
  <c r="AQ1379" i="4"/>
  <c r="AP1379" i="4"/>
  <c r="AO1379" i="4"/>
  <c r="AN1379" i="4"/>
  <c r="AM1379" i="4"/>
  <c r="AQ1378" i="4"/>
  <c r="AP1378" i="4"/>
  <c r="AO1378" i="4"/>
  <c r="AN1378" i="4"/>
  <c r="AM1378" i="4"/>
  <c r="AQ1377" i="4"/>
  <c r="AP1377" i="4"/>
  <c r="AO1377" i="4"/>
  <c r="AN1377" i="4"/>
  <c r="AM1377" i="4"/>
  <c r="AQ1376" i="4"/>
  <c r="AP1376" i="4"/>
  <c r="AO1376" i="4"/>
  <c r="AN1376" i="4"/>
  <c r="AM1376" i="4"/>
  <c r="AQ1375" i="4"/>
  <c r="AP1375" i="4"/>
  <c r="AO1375" i="4"/>
  <c r="AN1375" i="4"/>
  <c r="AM1375" i="4"/>
  <c r="AQ1374" i="4"/>
  <c r="AP1374" i="4"/>
  <c r="AO1374" i="4"/>
  <c r="AN1374" i="4"/>
  <c r="AM1374" i="4"/>
  <c r="AQ1373" i="4"/>
  <c r="AP1373" i="4"/>
  <c r="AO1373" i="4"/>
  <c r="AN1373" i="4"/>
  <c r="AM1373" i="4"/>
  <c r="AQ1372" i="4"/>
  <c r="AP1372" i="4"/>
  <c r="AO1372" i="4"/>
  <c r="AN1372" i="4"/>
  <c r="AM1372" i="4"/>
  <c r="AQ1371" i="4"/>
  <c r="AP1371" i="4"/>
  <c r="AO1371" i="4"/>
  <c r="AN1371" i="4"/>
  <c r="AM1371" i="4"/>
  <c r="AQ1370" i="4"/>
  <c r="AP1370" i="4"/>
  <c r="AO1370" i="4"/>
  <c r="AN1370" i="4"/>
  <c r="AM1370" i="4"/>
  <c r="AQ1369" i="4"/>
  <c r="AP1369" i="4"/>
  <c r="AO1369" i="4"/>
  <c r="AN1369" i="4"/>
  <c r="AM1369" i="4"/>
  <c r="AQ1368" i="4"/>
  <c r="AP1368" i="4"/>
  <c r="AO1368" i="4"/>
  <c r="AN1368" i="4"/>
  <c r="AM1368" i="4"/>
  <c r="AQ1367" i="4"/>
  <c r="AP1367" i="4"/>
  <c r="AO1367" i="4"/>
  <c r="AN1367" i="4"/>
  <c r="AM1367" i="4"/>
  <c r="AQ1366" i="4"/>
  <c r="AP1366" i="4"/>
  <c r="AO1366" i="4"/>
  <c r="AN1366" i="4"/>
  <c r="AM1366" i="4"/>
  <c r="AQ1365" i="4"/>
  <c r="AP1365" i="4"/>
  <c r="AO1365" i="4"/>
  <c r="AN1365" i="4"/>
  <c r="AM1365" i="4"/>
  <c r="AQ1364" i="4"/>
  <c r="AP1364" i="4"/>
  <c r="AO1364" i="4"/>
  <c r="AN1364" i="4"/>
  <c r="AM1364" i="4"/>
  <c r="AQ1363" i="4"/>
  <c r="AP1363" i="4"/>
  <c r="AO1363" i="4"/>
  <c r="AN1363" i="4"/>
  <c r="AM1363" i="4"/>
  <c r="AQ1362" i="4"/>
  <c r="AP1362" i="4"/>
  <c r="AO1362" i="4"/>
  <c r="AN1362" i="4"/>
  <c r="AM1362" i="4"/>
  <c r="AQ1361" i="4"/>
  <c r="AP1361" i="4"/>
  <c r="AO1361" i="4"/>
  <c r="AN1361" i="4"/>
  <c r="AM1361" i="4"/>
  <c r="AQ1360" i="4"/>
  <c r="AP1360" i="4"/>
  <c r="AO1360" i="4"/>
  <c r="AN1360" i="4"/>
  <c r="AM1360" i="4"/>
  <c r="AQ1359" i="4"/>
  <c r="AP1359" i="4"/>
  <c r="AO1359" i="4"/>
  <c r="AN1359" i="4"/>
  <c r="AM1359" i="4"/>
  <c r="AQ1358" i="4"/>
  <c r="AP1358" i="4"/>
  <c r="AO1358" i="4"/>
  <c r="AN1358" i="4"/>
  <c r="AM1358" i="4"/>
  <c r="AQ1357" i="4"/>
  <c r="AP1357" i="4"/>
  <c r="AO1357" i="4"/>
  <c r="AN1357" i="4"/>
  <c r="AM1357" i="4"/>
  <c r="AQ1356" i="4"/>
  <c r="AP1356" i="4"/>
  <c r="AO1356" i="4"/>
  <c r="AN1356" i="4"/>
  <c r="AM1356" i="4"/>
  <c r="AQ1355" i="4"/>
  <c r="AP1355" i="4"/>
  <c r="AO1355" i="4"/>
  <c r="AN1355" i="4"/>
  <c r="AM1355" i="4"/>
  <c r="AQ1354" i="4"/>
  <c r="AP1354" i="4"/>
  <c r="AO1354" i="4"/>
  <c r="AN1354" i="4"/>
  <c r="AM1354" i="4"/>
  <c r="AQ1353" i="4"/>
  <c r="AP1353" i="4"/>
  <c r="AO1353" i="4"/>
  <c r="AN1353" i="4"/>
  <c r="AM1353" i="4"/>
  <c r="AQ1352" i="4"/>
  <c r="AP1352" i="4"/>
  <c r="AO1352" i="4"/>
  <c r="AN1352" i="4"/>
  <c r="AM1352" i="4"/>
  <c r="AQ1351" i="4"/>
  <c r="AP1351" i="4"/>
  <c r="AO1351" i="4"/>
  <c r="AN1351" i="4"/>
  <c r="AM1351" i="4"/>
  <c r="AQ1350" i="4"/>
  <c r="AP1350" i="4"/>
  <c r="AO1350" i="4"/>
  <c r="AN1350" i="4"/>
  <c r="AM1350" i="4"/>
  <c r="AQ1349" i="4"/>
  <c r="AP1349" i="4"/>
  <c r="AO1349" i="4"/>
  <c r="AN1349" i="4"/>
  <c r="AM1349" i="4"/>
  <c r="AQ1348" i="4"/>
  <c r="AP1348" i="4"/>
  <c r="AO1348" i="4"/>
  <c r="AN1348" i="4"/>
  <c r="AM1348" i="4"/>
  <c r="AQ1347" i="4"/>
  <c r="AP1347" i="4"/>
  <c r="AO1347" i="4"/>
  <c r="AN1347" i="4"/>
  <c r="AM1347" i="4"/>
  <c r="AQ1346" i="4"/>
  <c r="AP1346" i="4"/>
  <c r="AO1346" i="4"/>
  <c r="AN1346" i="4"/>
  <c r="AM1346" i="4"/>
  <c r="AQ1345" i="4"/>
  <c r="AP1345" i="4"/>
  <c r="AO1345" i="4"/>
  <c r="AN1345" i="4"/>
  <c r="AM1345" i="4"/>
  <c r="AQ1344" i="4"/>
  <c r="AP1344" i="4"/>
  <c r="AO1344" i="4"/>
  <c r="AN1344" i="4"/>
  <c r="AM1344" i="4"/>
  <c r="AQ1343" i="4"/>
  <c r="AP1343" i="4"/>
  <c r="AO1343" i="4"/>
  <c r="AN1343" i="4"/>
  <c r="AM1343" i="4"/>
  <c r="AQ1342" i="4"/>
  <c r="AP1342" i="4"/>
  <c r="AO1342" i="4"/>
  <c r="AN1342" i="4"/>
  <c r="AM1342" i="4"/>
  <c r="AQ1341" i="4"/>
  <c r="AP1341" i="4"/>
  <c r="AO1341" i="4"/>
  <c r="AN1341" i="4"/>
  <c r="AM1341" i="4"/>
  <c r="AQ1340" i="4"/>
  <c r="AP1340" i="4"/>
  <c r="AO1340" i="4"/>
  <c r="AN1340" i="4"/>
  <c r="AM1340" i="4"/>
  <c r="AQ1339" i="4"/>
  <c r="AP1339" i="4"/>
  <c r="AO1339" i="4"/>
  <c r="AN1339" i="4"/>
  <c r="AM1339" i="4"/>
  <c r="AQ1338" i="4"/>
  <c r="AP1338" i="4"/>
  <c r="AO1338" i="4"/>
  <c r="AN1338" i="4"/>
  <c r="AM1338" i="4"/>
  <c r="AQ1337" i="4"/>
  <c r="AP1337" i="4"/>
  <c r="AO1337" i="4"/>
  <c r="AN1337" i="4"/>
  <c r="AM1337" i="4"/>
  <c r="AQ1336" i="4"/>
  <c r="AP1336" i="4"/>
  <c r="AO1336" i="4"/>
  <c r="AN1336" i="4"/>
  <c r="AM1336" i="4"/>
  <c r="AQ1335" i="4"/>
  <c r="AP1335" i="4"/>
  <c r="AO1335" i="4"/>
  <c r="AN1335" i="4"/>
  <c r="AM1335" i="4"/>
  <c r="AQ1334" i="4"/>
  <c r="AP1334" i="4"/>
  <c r="AO1334" i="4"/>
  <c r="AN1334" i="4"/>
  <c r="AM1334" i="4"/>
  <c r="AQ1333" i="4"/>
  <c r="AP1333" i="4"/>
  <c r="AO1333" i="4"/>
  <c r="AN1333" i="4"/>
  <c r="AM1333" i="4"/>
  <c r="AQ1332" i="4"/>
  <c r="AP1332" i="4"/>
  <c r="AO1332" i="4"/>
  <c r="AN1332" i="4"/>
  <c r="AM1332" i="4"/>
  <c r="AQ1331" i="4"/>
  <c r="AP1331" i="4"/>
  <c r="AO1331" i="4"/>
  <c r="AN1331" i="4"/>
  <c r="AM1331" i="4"/>
  <c r="AQ1330" i="4"/>
  <c r="AP1330" i="4"/>
  <c r="AO1330" i="4"/>
  <c r="AN1330" i="4"/>
  <c r="AM1330" i="4"/>
  <c r="AQ1329" i="4"/>
  <c r="AP1329" i="4"/>
  <c r="AO1329" i="4"/>
  <c r="AN1329" i="4"/>
  <c r="AM1329" i="4"/>
  <c r="AQ1328" i="4"/>
  <c r="AP1328" i="4"/>
  <c r="AO1328" i="4"/>
  <c r="AN1328" i="4"/>
  <c r="AM1328" i="4"/>
  <c r="AQ1327" i="4"/>
  <c r="AP1327" i="4"/>
  <c r="AO1327" i="4"/>
  <c r="AN1327" i="4"/>
  <c r="AM1327" i="4"/>
  <c r="AQ1326" i="4"/>
  <c r="AP1326" i="4"/>
  <c r="AO1326" i="4"/>
  <c r="AN1326" i="4"/>
  <c r="AM1326" i="4"/>
  <c r="AQ1325" i="4"/>
  <c r="AP1325" i="4"/>
  <c r="AO1325" i="4"/>
  <c r="AN1325" i="4"/>
  <c r="AM1325" i="4"/>
  <c r="AQ1324" i="4"/>
  <c r="AP1324" i="4"/>
  <c r="AO1324" i="4"/>
  <c r="AN1324" i="4"/>
  <c r="AM1324" i="4"/>
  <c r="AQ1323" i="4"/>
  <c r="AP1323" i="4"/>
  <c r="AO1323" i="4"/>
  <c r="AN1323" i="4"/>
  <c r="AM1323" i="4"/>
  <c r="AQ1322" i="4"/>
  <c r="AP1322" i="4"/>
  <c r="AO1322" i="4"/>
  <c r="AN1322" i="4"/>
  <c r="AM1322" i="4"/>
  <c r="AQ1321" i="4"/>
  <c r="AP1321" i="4"/>
  <c r="AO1321" i="4"/>
  <c r="AN1321" i="4"/>
  <c r="AM1321" i="4"/>
  <c r="AQ1320" i="4"/>
  <c r="AP1320" i="4"/>
  <c r="AO1320" i="4"/>
  <c r="AN1320" i="4"/>
  <c r="AM1320" i="4"/>
  <c r="AQ1319" i="4"/>
  <c r="AP1319" i="4"/>
  <c r="AO1319" i="4"/>
  <c r="AN1319" i="4"/>
  <c r="AM1319" i="4"/>
  <c r="AQ1318" i="4"/>
  <c r="AP1318" i="4"/>
  <c r="AO1318" i="4"/>
  <c r="AN1318" i="4"/>
  <c r="AM1318" i="4"/>
  <c r="AQ1317" i="4"/>
  <c r="AP1317" i="4"/>
  <c r="AO1317" i="4"/>
  <c r="AN1317" i="4"/>
  <c r="AM1317" i="4"/>
  <c r="AQ1316" i="4"/>
  <c r="AP1316" i="4"/>
  <c r="AO1316" i="4"/>
  <c r="AN1316" i="4"/>
  <c r="AM1316" i="4"/>
  <c r="AQ1315" i="4"/>
  <c r="AP1315" i="4"/>
  <c r="AO1315" i="4"/>
  <c r="AN1315" i="4"/>
  <c r="AM1315" i="4"/>
  <c r="AQ1314" i="4"/>
  <c r="AP1314" i="4"/>
  <c r="AO1314" i="4"/>
  <c r="AN1314" i="4"/>
  <c r="AM1314" i="4"/>
  <c r="AQ1313" i="4"/>
  <c r="AP1313" i="4"/>
  <c r="AO1313" i="4"/>
  <c r="AN1313" i="4"/>
  <c r="AM1313" i="4"/>
  <c r="AQ1312" i="4"/>
  <c r="AP1312" i="4"/>
  <c r="AO1312" i="4"/>
  <c r="AN1312" i="4"/>
  <c r="AM1312" i="4"/>
  <c r="AQ1311" i="4"/>
  <c r="AP1311" i="4"/>
  <c r="AO1311" i="4"/>
  <c r="AN1311" i="4"/>
  <c r="AM1311" i="4"/>
  <c r="AQ1310" i="4"/>
  <c r="AP1310" i="4"/>
  <c r="AO1310" i="4"/>
  <c r="AN1310" i="4"/>
  <c r="AM1310" i="4"/>
  <c r="AQ1309" i="4"/>
  <c r="AP1309" i="4"/>
  <c r="AO1309" i="4"/>
  <c r="AN1309" i="4"/>
  <c r="AM1309" i="4"/>
  <c r="AQ1308" i="4"/>
  <c r="AP1308" i="4"/>
  <c r="AO1308" i="4"/>
  <c r="AN1308" i="4"/>
  <c r="AM1308" i="4"/>
  <c r="AQ1307" i="4"/>
  <c r="AP1307" i="4"/>
  <c r="AO1307" i="4"/>
  <c r="AN1307" i="4"/>
  <c r="AM1307" i="4"/>
  <c r="AQ1306" i="4"/>
  <c r="AP1306" i="4"/>
  <c r="AO1306" i="4"/>
  <c r="AN1306" i="4"/>
  <c r="AM1306" i="4"/>
  <c r="AQ1305" i="4"/>
  <c r="AP1305" i="4"/>
  <c r="AO1305" i="4"/>
  <c r="AN1305" i="4"/>
  <c r="AM1305" i="4"/>
  <c r="AQ1304" i="4"/>
  <c r="AP1304" i="4"/>
  <c r="AO1304" i="4"/>
  <c r="AN1304" i="4"/>
  <c r="AM1304" i="4"/>
  <c r="AQ1303" i="4"/>
  <c r="AP1303" i="4"/>
  <c r="AO1303" i="4"/>
  <c r="AN1303" i="4"/>
  <c r="AM1303" i="4"/>
  <c r="AQ1302" i="4"/>
  <c r="AP1302" i="4"/>
  <c r="AO1302" i="4"/>
  <c r="AN1302" i="4"/>
  <c r="AM1302" i="4"/>
  <c r="AQ1301" i="4"/>
  <c r="AP1301" i="4"/>
  <c r="AO1301" i="4"/>
  <c r="AN1301" i="4"/>
  <c r="AM1301" i="4"/>
  <c r="AQ1300" i="4"/>
  <c r="AP1300" i="4"/>
  <c r="AO1300" i="4"/>
  <c r="AN1300" i="4"/>
  <c r="AM1300" i="4"/>
  <c r="AQ1299" i="4"/>
  <c r="AP1299" i="4"/>
  <c r="AO1299" i="4"/>
  <c r="AN1299" i="4"/>
  <c r="AM1299" i="4"/>
  <c r="AQ1298" i="4"/>
  <c r="AP1298" i="4"/>
  <c r="AO1298" i="4"/>
  <c r="AN1298" i="4"/>
  <c r="AM1298" i="4"/>
  <c r="AQ1297" i="4"/>
  <c r="AP1297" i="4"/>
  <c r="AO1297" i="4"/>
  <c r="AN1297" i="4"/>
  <c r="AM1297" i="4"/>
  <c r="AQ1296" i="4"/>
  <c r="AP1296" i="4"/>
  <c r="AO1296" i="4"/>
  <c r="AN1296" i="4"/>
  <c r="AM1296" i="4"/>
  <c r="AQ1295" i="4"/>
  <c r="AP1295" i="4"/>
  <c r="AO1295" i="4"/>
  <c r="AN1295" i="4"/>
  <c r="AM1295" i="4"/>
  <c r="AQ1294" i="4"/>
  <c r="AP1294" i="4"/>
  <c r="AO1294" i="4"/>
  <c r="AN1294" i="4"/>
  <c r="AM1294" i="4"/>
  <c r="AQ1293" i="4"/>
  <c r="AP1293" i="4"/>
  <c r="AO1293" i="4"/>
  <c r="AN1293" i="4"/>
  <c r="AM1293" i="4"/>
  <c r="AQ1292" i="4"/>
  <c r="AP1292" i="4"/>
  <c r="AO1292" i="4"/>
  <c r="AN1292" i="4"/>
  <c r="AM1292" i="4"/>
  <c r="AQ1291" i="4"/>
  <c r="AP1291" i="4"/>
  <c r="AO1291" i="4"/>
  <c r="AN1291" i="4"/>
  <c r="AM1291" i="4"/>
  <c r="AQ1290" i="4"/>
  <c r="AP1290" i="4"/>
  <c r="AO1290" i="4"/>
  <c r="AN1290" i="4"/>
  <c r="AM1290" i="4"/>
  <c r="AQ1289" i="4"/>
  <c r="AP1289" i="4"/>
  <c r="AO1289" i="4"/>
  <c r="AN1289" i="4"/>
  <c r="AM1289" i="4"/>
  <c r="AQ1288" i="4"/>
  <c r="AP1288" i="4"/>
  <c r="AO1288" i="4"/>
  <c r="AN1288" i="4"/>
  <c r="AM1288" i="4"/>
  <c r="AQ1287" i="4"/>
  <c r="AP1287" i="4"/>
  <c r="AO1287" i="4"/>
  <c r="AN1287" i="4"/>
  <c r="AM1287" i="4"/>
  <c r="AQ1286" i="4"/>
  <c r="AP1286" i="4"/>
  <c r="AO1286" i="4"/>
  <c r="AN1286" i="4"/>
  <c r="AM1286" i="4"/>
  <c r="AQ1285" i="4"/>
  <c r="AP1285" i="4"/>
  <c r="AO1285" i="4"/>
  <c r="AN1285" i="4"/>
  <c r="AM1285" i="4"/>
  <c r="AQ1284" i="4"/>
  <c r="AP1284" i="4"/>
  <c r="AO1284" i="4"/>
  <c r="AN1284" i="4"/>
  <c r="AM1284" i="4"/>
  <c r="AQ1283" i="4"/>
  <c r="AP1283" i="4"/>
  <c r="AO1283" i="4"/>
  <c r="AN1283" i="4"/>
  <c r="AM1283" i="4"/>
  <c r="AQ1282" i="4"/>
  <c r="AP1282" i="4"/>
  <c r="AO1282" i="4"/>
  <c r="AN1282" i="4"/>
  <c r="AM1282" i="4"/>
  <c r="AQ1281" i="4"/>
  <c r="AP1281" i="4"/>
  <c r="AO1281" i="4"/>
  <c r="AN1281" i="4"/>
  <c r="AM1281" i="4"/>
  <c r="AQ1280" i="4"/>
  <c r="AP1280" i="4"/>
  <c r="AO1280" i="4"/>
  <c r="AN1280" i="4"/>
  <c r="AM1280" i="4"/>
  <c r="AQ1279" i="4"/>
  <c r="AP1279" i="4"/>
  <c r="AO1279" i="4"/>
  <c r="AN1279" i="4"/>
  <c r="AM1279" i="4"/>
  <c r="AQ1278" i="4"/>
  <c r="AP1278" i="4"/>
  <c r="AO1278" i="4"/>
  <c r="AN1278" i="4"/>
  <c r="AM1278" i="4"/>
  <c r="AQ1277" i="4"/>
  <c r="AP1277" i="4"/>
  <c r="AO1277" i="4"/>
  <c r="AN1277" i="4"/>
  <c r="AM1277" i="4"/>
  <c r="AQ1276" i="4"/>
  <c r="AP1276" i="4"/>
  <c r="AO1276" i="4"/>
  <c r="AN1276" i="4"/>
  <c r="AM1276" i="4"/>
  <c r="AQ1275" i="4"/>
  <c r="AP1275" i="4"/>
  <c r="AO1275" i="4"/>
  <c r="AN1275" i="4"/>
  <c r="AM1275" i="4"/>
  <c r="AQ1274" i="4"/>
  <c r="AP1274" i="4"/>
  <c r="AO1274" i="4"/>
  <c r="AN1274" i="4"/>
  <c r="AM1274" i="4"/>
  <c r="AQ1273" i="4"/>
  <c r="AP1273" i="4"/>
  <c r="AO1273" i="4"/>
  <c r="AN1273" i="4"/>
  <c r="AM1273" i="4"/>
  <c r="AQ1272" i="4"/>
  <c r="AP1272" i="4"/>
  <c r="AO1272" i="4"/>
  <c r="AN1272" i="4"/>
  <c r="AM1272" i="4"/>
  <c r="AQ1271" i="4"/>
  <c r="AP1271" i="4"/>
  <c r="AO1271" i="4"/>
  <c r="AN1271" i="4"/>
  <c r="AM1271" i="4"/>
  <c r="AQ1270" i="4"/>
  <c r="AP1270" i="4"/>
  <c r="AO1270" i="4"/>
  <c r="AN1270" i="4"/>
  <c r="AM1270" i="4"/>
  <c r="AQ1269" i="4"/>
  <c r="AP1269" i="4"/>
  <c r="AO1269" i="4"/>
  <c r="AN1269" i="4"/>
  <c r="AM1269" i="4"/>
  <c r="AQ1268" i="4"/>
  <c r="AP1268" i="4"/>
  <c r="AO1268" i="4"/>
  <c r="AN1268" i="4"/>
  <c r="AM1268" i="4"/>
  <c r="AQ1267" i="4"/>
  <c r="AP1267" i="4"/>
  <c r="AO1267" i="4"/>
  <c r="AN1267" i="4"/>
  <c r="AM1267" i="4"/>
  <c r="AQ1266" i="4"/>
  <c r="AP1266" i="4"/>
  <c r="AO1266" i="4"/>
  <c r="AN1266" i="4"/>
  <c r="AM1266" i="4"/>
  <c r="AQ1265" i="4"/>
  <c r="AP1265" i="4"/>
  <c r="AO1265" i="4"/>
  <c r="AN1265" i="4"/>
  <c r="AM1265" i="4"/>
  <c r="AQ1264" i="4"/>
  <c r="AP1264" i="4"/>
  <c r="AO1264" i="4"/>
  <c r="AN1264" i="4"/>
  <c r="AM1264" i="4"/>
  <c r="AQ1263" i="4"/>
  <c r="AP1263" i="4"/>
  <c r="AO1263" i="4"/>
  <c r="AN1263" i="4"/>
  <c r="AM1263" i="4"/>
  <c r="AQ1262" i="4"/>
  <c r="AP1262" i="4"/>
  <c r="AO1262" i="4"/>
  <c r="AN1262" i="4"/>
  <c r="AM1262" i="4"/>
  <c r="AQ1261" i="4"/>
  <c r="AP1261" i="4"/>
  <c r="AO1261" i="4"/>
  <c r="AN1261" i="4"/>
  <c r="AM1261" i="4"/>
  <c r="AQ1260" i="4"/>
  <c r="AP1260" i="4"/>
  <c r="AO1260" i="4"/>
  <c r="AN1260" i="4"/>
  <c r="AM1260" i="4"/>
  <c r="AQ1259" i="4"/>
  <c r="AP1259" i="4"/>
  <c r="AO1259" i="4"/>
  <c r="AN1259" i="4"/>
  <c r="AM1259" i="4"/>
  <c r="AQ1258" i="4"/>
  <c r="AP1258" i="4"/>
  <c r="AO1258" i="4"/>
  <c r="AN1258" i="4"/>
  <c r="AM1258" i="4"/>
  <c r="AQ1257" i="4"/>
  <c r="AP1257" i="4"/>
  <c r="AO1257" i="4"/>
  <c r="AN1257" i="4"/>
  <c r="AM1257" i="4"/>
  <c r="AQ1256" i="4"/>
  <c r="AP1256" i="4"/>
  <c r="AO1256" i="4"/>
  <c r="AN1256" i="4"/>
  <c r="AM1256" i="4"/>
  <c r="AQ1255" i="4"/>
  <c r="AP1255" i="4"/>
  <c r="AO1255" i="4"/>
  <c r="AN1255" i="4"/>
  <c r="AM1255" i="4"/>
  <c r="AQ1254" i="4"/>
  <c r="AP1254" i="4"/>
  <c r="AO1254" i="4"/>
  <c r="AN1254" i="4"/>
  <c r="AM1254" i="4"/>
  <c r="AQ1253" i="4"/>
  <c r="AP1253" i="4"/>
  <c r="AO1253" i="4"/>
  <c r="AN1253" i="4"/>
  <c r="AM1253" i="4"/>
  <c r="AQ1252" i="4"/>
  <c r="AP1252" i="4"/>
  <c r="AO1252" i="4"/>
  <c r="AN1252" i="4"/>
  <c r="AM1252" i="4"/>
  <c r="AQ1251" i="4"/>
  <c r="AP1251" i="4"/>
  <c r="AO1251" i="4"/>
  <c r="AN1251" i="4"/>
  <c r="AM1251" i="4"/>
  <c r="AQ1250" i="4"/>
  <c r="AP1250" i="4"/>
  <c r="AO1250" i="4"/>
  <c r="AN1250" i="4"/>
  <c r="AM1250" i="4"/>
  <c r="AQ1249" i="4"/>
  <c r="AP1249" i="4"/>
  <c r="AO1249" i="4"/>
  <c r="AN1249" i="4"/>
  <c r="AM1249" i="4"/>
  <c r="AQ1248" i="4"/>
  <c r="AP1248" i="4"/>
  <c r="AO1248" i="4"/>
  <c r="AN1248" i="4"/>
  <c r="AM1248" i="4"/>
  <c r="AQ1247" i="4"/>
  <c r="AP1247" i="4"/>
  <c r="AO1247" i="4"/>
  <c r="AN1247" i="4"/>
  <c r="AM1247" i="4"/>
  <c r="AQ1246" i="4"/>
  <c r="AP1246" i="4"/>
  <c r="AO1246" i="4"/>
  <c r="AN1246" i="4"/>
  <c r="AM1246" i="4"/>
  <c r="AQ1245" i="4"/>
  <c r="AP1245" i="4"/>
  <c r="AO1245" i="4"/>
  <c r="AN1245" i="4"/>
  <c r="AM1245" i="4"/>
  <c r="AQ1244" i="4"/>
  <c r="AP1244" i="4"/>
  <c r="AO1244" i="4"/>
  <c r="AN1244" i="4"/>
  <c r="AM1244" i="4"/>
  <c r="AQ1243" i="4"/>
  <c r="AP1243" i="4"/>
  <c r="AO1243" i="4"/>
  <c r="AN1243" i="4"/>
  <c r="AM1243" i="4"/>
  <c r="AQ1242" i="4"/>
  <c r="AP1242" i="4"/>
  <c r="AO1242" i="4"/>
  <c r="AN1242" i="4"/>
  <c r="AM1242" i="4"/>
  <c r="AQ1241" i="4"/>
  <c r="AP1241" i="4"/>
  <c r="AO1241" i="4"/>
  <c r="AN1241" i="4"/>
  <c r="AM1241" i="4"/>
  <c r="AQ1240" i="4"/>
  <c r="AP1240" i="4"/>
  <c r="AO1240" i="4"/>
  <c r="AN1240" i="4"/>
  <c r="AM1240" i="4"/>
  <c r="AQ1239" i="4"/>
  <c r="AP1239" i="4"/>
  <c r="AO1239" i="4"/>
  <c r="AN1239" i="4"/>
  <c r="AM1239" i="4"/>
  <c r="AQ1238" i="4"/>
  <c r="AP1238" i="4"/>
  <c r="AO1238" i="4"/>
  <c r="AN1238" i="4"/>
  <c r="AM1238" i="4"/>
  <c r="AQ1237" i="4"/>
  <c r="AP1237" i="4"/>
  <c r="AO1237" i="4"/>
  <c r="AN1237" i="4"/>
  <c r="AM1237" i="4"/>
  <c r="AQ1236" i="4"/>
  <c r="AP1236" i="4"/>
  <c r="AO1236" i="4"/>
  <c r="AN1236" i="4"/>
  <c r="AM1236" i="4"/>
  <c r="AQ1235" i="4"/>
  <c r="AP1235" i="4"/>
  <c r="AO1235" i="4"/>
  <c r="AN1235" i="4"/>
  <c r="AM1235" i="4"/>
  <c r="AQ1234" i="4"/>
  <c r="AP1234" i="4"/>
  <c r="AO1234" i="4"/>
  <c r="AN1234" i="4"/>
  <c r="AM1234" i="4"/>
  <c r="AQ1233" i="4"/>
  <c r="AP1233" i="4"/>
  <c r="AO1233" i="4"/>
  <c r="AN1233" i="4"/>
  <c r="AM1233" i="4"/>
  <c r="AQ1232" i="4"/>
  <c r="AP1232" i="4"/>
  <c r="AO1232" i="4"/>
  <c r="AN1232" i="4"/>
  <c r="AM1232" i="4"/>
  <c r="AQ1231" i="4"/>
  <c r="AP1231" i="4"/>
  <c r="AO1231" i="4"/>
  <c r="AN1231" i="4"/>
  <c r="AM1231" i="4"/>
  <c r="AQ1230" i="4"/>
  <c r="AP1230" i="4"/>
  <c r="AO1230" i="4"/>
  <c r="AN1230" i="4"/>
  <c r="AM1230" i="4"/>
  <c r="AQ1229" i="4"/>
  <c r="AP1229" i="4"/>
  <c r="AO1229" i="4"/>
  <c r="AN1229" i="4"/>
  <c r="AM1229" i="4"/>
  <c r="AQ1228" i="4"/>
  <c r="AP1228" i="4"/>
  <c r="AO1228" i="4"/>
  <c r="AN1228" i="4"/>
  <c r="AM1228" i="4"/>
  <c r="AQ1227" i="4"/>
  <c r="AP1227" i="4"/>
  <c r="AO1227" i="4"/>
  <c r="AN1227" i="4"/>
  <c r="AM1227" i="4"/>
  <c r="AQ1226" i="4"/>
  <c r="AP1226" i="4"/>
  <c r="AO1226" i="4"/>
  <c r="AN1226" i="4"/>
  <c r="AM1226" i="4"/>
  <c r="AQ1225" i="4"/>
  <c r="AP1225" i="4"/>
  <c r="AO1225" i="4"/>
  <c r="AN1225" i="4"/>
  <c r="AM1225" i="4"/>
  <c r="AQ1224" i="4"/>
  <c r="AP1224" i="4"/>
  <c r="AO1224" i="4"/>
  <c r="AN1224" i="4"/>
  <c r="AM1224" i="4"/>
  <c r="AQ1223" i="4"/>
  <c r="AP1223" i="4"/>
  <c r="AO1223" i="4"/>
  <c r="AN1223" i="4"/>
  <c r="AM1223" i="4"/>
  <c r="AQ1222" i="4"/>
  <c r="AP1222" i="4"/>
  <c r="AO1222" i="4"/>
  <c r="AN1222" i="4"/>
  <c r="AM1222" i="4"/>
  <c r="AQ1221" i="4"/>
  <c r="AP1221" i="4"/>
  <c r="AO1221" i="4"/>
  <c r="AN1221" i="4"/>
  <c r="AM1221" i="4"/>
  <c r="AQ1220" i="4"/>
  <c r="AP1220" i="4"/>
  <c r="AO1220" i="4"/>
  <c r="AN1220" i="4"/>
  <c r="AM1220" i="4"/>
  <c r="AQ1219" i="4"/>
  <c r="AP1219" i="4"/>
  <c r="AO1219" i="4"/>
  <c r="AN1219" i="4"/>
  <c r="AM1219" i="4"/>
  <c r="AQ1218" i="4"/>
  <c r="AP1218" i="4"/>
  <c r="AO1218" i="4"/>
  <c r="AN1218" i="4"/>
  <c r="AM1218" i="4"/>
  <c r="AQ1217" i="4"/>
  <c r="AP1217" i="4"/>
  <c r="AO1217" i="4"/>
  <c r="AN1217" i="4"/>
  <c r="AM1217" i="4"/>
  <c r="AQ1216" i="4"/>
  <c r="AP1216" i="4"/>
  <c r="AO1216" i="4"/>
  <c r="AN1216" i="4"/>
  <c r="AM1216" i="4"/>
  <c r="AQ1215" i="4"/>
  <c r="AP1215" i="4"/>
  <c r="AO1215" i="4"/>
  <c r="AN1215" i="4"/>
  <c r="AM1215" i="4"/>
  <c r="AQ1214" i="4"/>
  <c r="AP1214" i="4"/>
  <c r="AO1214" i="4"/>
  <c r="AN1214" i="4"/>
  <c r="AM1214" i="4"/>
  <c r="AQ1213" i="4"/>
  <c r="AP1213" i="4"/>
  <c r="AO1213" i="4"/>
  <c r="AN1213" i="4"/>
  <c r="AM1213" i="4"/>
  <c r="AQ1212" i="4"/>
  <c r="AP1212" i="4"/>
  <c r="AO1212" i="4"/>
  <c r="AN1212" i="4"/>
  <c r="AM1212" i="4"/>
  <c r="AQ1211" i="4"/>
  <c r="AP1211" i="4"/>
  <c r="AO1211" i="4"/>
  <c r="AN1211" i="4"/>
  <c r="AM1211" i="4"/>
  <c r="AQ1210" i="4"/>
  <c r="AP1210" i="4"/>
  <c r="AO1210" i="4"/>
  <c r="AN1210" i="4"/>
  <c r="AM1210" i="4"/>
  <c r="AQ1209" i="4"/>
  <c r="AP1209" i="4"/>
  <c r="AO1209" i="4"/>
  <c r="AN1209" i="4"/>
  <c r="AM1209" i="4"/>
  <c r="AQ1208" i="4"/>
  <c r="AP1208" i="4"/>
  <c r="AO1208" i="4"/>
  <c r="AN1208" i="4"/>
  <c r="AM1208" i="4"/>
  <c r="AQ1207" i="4"/>
  <c r="AP1207" i="4"/>
  <c r="AO1207" i="4"/>
  <c r="AN1207" i="4"/>
  <c r="AM1207" i="4"/>
  <c r="AQ1206" i="4"/>
  <c r="AP1206" i="4"/>
  <c r="AO1206" i="4"/>
  <c r="AN1206" i="4"/>
  <c r="AM1206" i="4"/>
  <c r="AQ1205" i="4"/>
  <c r="AP1205" i="4"/>
  <c r="AO1205" i="4"/>
  <c r="AN1205" i="4"/>
  <c r="AM1205" i="4"/>
  <c r="AQ1204" i="4"/>
  <c r="AP1204" i="4"/>
  <c r="AO1204" i="4"/>
  <c r="AN1204" i="4"/>
  <c r="AM1204" i="4"/>
  <c r="AQ1203" i="4"/>
  <c r="AP1203" i="4"/>
  <c r="AO1203" i="4"/>
  <c r="AN1203" i="4"/>
  <c r="AM1203" i="4"/>
  <c r="AQ1202" i="4"/>
  <c r="AP1202" i="4"/>
  <c r="AO1202" i="4"/>
  <c r="AN1202" i="4"/>
  <c r="AM1202" i="4"/>
  <c r="AQ1201" i="4"/>
  <c r="AP1201" i="4"/>
  <c r="AO1201" i="4"/>
  <c r="AN1201" i="4"/>
  <c r="AM1201" i="4"/>
  <c r="AQ1200" i="4"/>
  <c r="AP1200" i="4"/>
  <c r="AO1200" i="4"/>
  <c r="AN1200" i="4"/>
  <c r="AM1200" i="4"/>
  <c r="AQ1199" i="4"/>
  <c r="AP1199" i="4"/>
  <c r="AO1199" i="4"/>
  <c r="AN1199" i="4"/>
  <c r="AM1199" i="4"/>
  <c r="AQ1198" i="4"/>
  <c r="AP1198" i="4"/>
  <c r="AO1198" i="4"/>
  <c r="AN1198" i="4"/>
  <c r="AM1198" i="4"/>
  <c r="AQ1197" i="4"/>
  <c r="AP1197" i="4"/>
  <c r="AO1197" i="4"/>
  <c r="AN1197" i="4"/>
  <c r="AM1197" i="4"/>
  <c r="AQ1196" i="4"/>
  <c r="AP1196" i="4"/>
  <c r="AO1196" i="4"/>
  <c r="AN1196" i="4"/>
  <c r="AM1196" i="4"/>
  <c r="AQ1195" i="4"/>
  <c r="AP1195" i="4"/>
  <c r="AO1195" i="4"/>
  <c r="AN1195" i="4"/>
  <c r="AM1195" i="4"/>
  <c r="AQ1194" i="4"/>
  <c r="AP1194" i="4"/>
  <c r="AO1194" i="4"/>
  <c r="AN1194" i="4"/>
  <c r="AM1194" i="4"/>
  <c r="AQ1193" i="4"/>
  <c r="AP1193" i="4"/>
  <c r="AO1193" i="4"/>
  <c r="AN1193" i="4"/>
  <c r="AM1193" i="4"/>
  <c r="AQ1192" i="4"/>
  <c r="AP1192" i="4"/>
  <c r="AO1192" i="4"/>
  <c r="AN1192" i="4"/>
  <c r="AM1192" i="4"/>
  <c r="AQ1191" i="4"/>
  <c r="AP1191" i="4"/>
  <c r="AO1191" i="4"/>
  <c r="AN1191" i="4"/>
  <c r="AM1191" i="4"/>
  <c r="AQ1190" i="4"/>
  <c r="AP1190" i="4"/>
  <c r="AO1190" i="4"/>
  <c r="AN1190" i="4"/>
  <c r="AM1190" i="4"/>
  <c r="AQ1189" i="4"/>
  <c r="AP1189" i="4"/>
  <c r="AO1189" i="4"/>
  <c r="AN1189" i="4"/>
  <c r="AM1189" i="4"/>
  <c r="AQ1188" i="4"/>
  <c r="AP1188" i="4"/>
  <c r="AO1188" i="4"/>
  <c r="AN1188" i="4"/>
  <c r="AM1188" i="4"/>
  <c r="AQ1187" i="4"/>
  <c r="AP1187" i="4"/>
  <c r="AO1187" i="4"/>
  <c r="AN1187" i="4"/>
  <c r="AM1187" i="4"/>
  <c r="AQ1186" i="4"/>
  <c r="AP1186" i="4"/>
  <c r="AO1186" i="4"/>
  <c r="AN1186" i="4"/>
  <c r="AM1186" i="4"/>
  <c r="AQ1185" i="4"/>
  <c r="AP1185" i="4"/>
  <c r="AO1185" i="4"/>
  <c r="AN1185" i="4"/>
  <c r="AM1185" i="4"/>
  <c r="AQ1184" i="4"/>
  <c r="AP1184" i="4"/>
  <c r="AO1184" i="4"/>
  <c r="AN1184" i="4"/>
  <c r="AM1184" i="4"/>
  <c r="AQ1183" i="4"/>
  <c r="AP1183" i="4"/>
  <c r="AO1183" i="4"/>
  <c r="AN1183" i="4"/>
  <c r="AM1183" i="4"/>
  <c r="AQ1182" i="4"/>
  <c r="AP1182" i="4"/>
  <c r="AO1182" i="4"/>
  <c r="AN1182" i="4"/>
  <c r="AM1182" i="4"/>
  <c r="AQ1181" i="4"/>
  <c r="AP1181" i="4"/>
  <c r="AO1181" i="4"/>
  <c r="AN1181" i="4"/>
  <c r="AM1181" i="4"/>
  <c r="AQ1180" i="4"/>
  <c r="AP1180" i="4"/>
  <c r="AO1180" i="4"/>
  <c r="AN1180" i="4"/>
  <c r="AM1180" i="4"/>
  <c r="AQ1179" i="4"/>
  <c r="AP1179" i="4"/>
  <c r="AO1179" i="4"/>
  <c r="AN1179" i="4"/>
  <c r="AM1179" i="4"/>
  <c r="AQ1178" i="4"/>
  <c r="AP1178" i="4"/>
  <c r="AO1178" i="4"/>
  <c r="AN1178" i="4"/>
  <c r="AM1178" i="4"/>
  <c r="AQ1177" i="4"/>
  <c r="AP1177" i="4"/>
  <c r="AO1177" i="4"/>
  <c r="AN1177" i="4"/>
  <c r="AM1177" i="4"/>
  <c r="AQ1176" i="4"/>
  <c r="AP1176" i="4"/>
  <c r="AO1176" i="4"/>
  <c r="AN1176" i="4"/>
  <c r="AM1176" i="4"/>
  <c r="AQ1175" i="4"/>
  <c r="AP1175" i="4"/>
  <c r="AO1175" i="4"/>
  <c r="AN1175" i="4"/>
  <c r="AM1175" i="4"/>
  <c r="AQ1174" i="4"/>
  <c r="AP1174" i="4"/>
  <c r="AO1174" i="4"/>
  <c r="AN1174" i="4"/>
  <c r="AM1174" i="4"/>
  <c r="AQ1173" i="4"/>
  <c r="AP1173" i="4"/>
  <c r="AO1173" i="4"/>
  <c r="AN1173" i="4"/>
  <c r="AM1173" i="4"/>
  <c r="AQ1172" i="4"/>
  <c r="AP1172" i="4"/>
  <c r="AO1172" i="4"/>
  <c r="AN1172" i="4"/>
  <c r="AM1172" i="4"/>
  <c r="AQ1171" i="4"/>
  <c r="AP1171" i="4"/>
  <c r="AO1171" i="4"/>
  <c r="AN1171" i="4"/>
  <c r="AM1171" i="4"/>
  <c r="AQ1170" i="4"/>
  <c r="AP1170" i="4"/>
  <c r="AO1170" i="4"/>
  <c r="AN1170" i="4"/>
  <c r="AM1170" i="4"/>
  <c r="AQ1169" i="4"/>
  <c r="AP1169" i="4"/>
  <c r="AO1169" i="4"/>
  <c r="AN1169" i="4"/>
  <c r="AM1169" i="4"/>
  <c r="AQ1168" i="4"/>
  <c r="AP1168" i="4"/>
  <c r="AO1168" i="4"/>
  <c r="AN1168" i="4"/>
  <c r="AM1168" i="4"/>
  <c r="AQ1167" i="4"/>
  <c r="AP1167" i="4"/>
  <c r="AO1167" i="4"/>
  <c r="AN1167" i="4"/>
  <c r="AM1167" i="4"/>
  <c r="AQ1166" i="4"/>
  <c r="AP1166" i="4"/>
  <c r="AO1166" i="4"/>
  <c r="AN1166" i="4"/>
  <c r="AM1166" i="4"/>
  <c r="AQ1165" i="4"/>
  <c r="AP1165" i="4"/>
  <c r="AO1165" i="4"/>
  <c r="AN1165" i="4"/>
  <c r="AM1165" i="4"/>
  <c r="AQ1164" i="4"/>
  <c r="AP1164" i="4"/>
  <c r="AO1164" i="4"/>
  <c r="AN1164" i="4"/>
  <c r="AM1164" i="4"/>
  <c r="AQ1163" i="4"/>
  <c r="AP1163" i="4"/>
  <c r="AO1163" i="4"/>
  <c r="AN1163" i="4"/>
  <c r="AM1163" i="4"/>
  <c r="AQ1162" i="4"/>
  <c r="AP1162" i="4"/>
  <c r="AO1162" i="4"/>
  <c r="AN1162" i="4"/>
  <c r="AM1162" i="4"/>
  <c r="AQ1161" i="4"/>
  <c r="AP1161" i="4"/>
  <c r="AO1161" i="4"/>
  <c r="AN1161" i="4"/>
  <c r="AM1161" i="4"/>
  <c r="AQ1160" i="4"/>
  <c r="AP1160" i="4"/>
  <c r="AO1160" i="4"/>
  <c r="AN1160" i="4"/>
  <c r="AM1160" i="4"/>
  <c r="AQ1159" i="4"/>
  <c r="AP1159" i="4"/>
  <c r="AO1159" i="4"/>
  <c r="AN1159" i="4"/>
  <c r="AM1159" i="4"/>
  <c r="AQ1158" i="4"/>
  <c r="AP1158" i="4"/>
  <c r="AO1158" i="4"/>
  <c r="AN1158" i="4"/>
  <c r="AM1158" i="4"/>
  <c r="AQ1157" i="4"/>
  <c r="AP1157" i="4"/>
  <c r="AO1157" i="4"/>
  <c r="AN1157" i="4"/>
  <c r="AM1157" i="4"/>
  <c r="AQ1156" i="4"/>
  <c r="AP1156" i="4"/>
  <c r="AO1156" i="4"/>
  <c r="AN1156" i="4"/>
  <c r="AM1156" i="4"/>
  <c r="AQ1155" i="4"/>
  <c r="AP1155" i="4"/>
  <c r="AO1155" i="4"/>
  <c r="AN1155" i="4"/>
  <c r="AM1155" i="4"/>
  <c r="AQ1154" i="4"/>
  <c r="AP1154" i="4"/>
  <c r="AO1154" i="4"/>
  <c r="AN1154" i="4"/>
  <c r="AM1154" i="4"/>
  <c r="AQ1153" i="4"/>
  <c r="AP1153" i="4"/>
  <c r="AO1153" i="4"/>
  <c r="AN1153" i="4"/>
  <c r="AM1153" i="4"/>
  <c r="AQ1152" i="4"/>
  <c r="AP1152" i="4"/>
  <c r="AO1152" i="4"/>
  <c r="AN1152" i="4"/>
  <c r="AM1152" i="4"/>
  <c r="AQ1151" i="4"/>
  <c r="AP1151" i="4"/>
  <c r="AO1151" i="4"/>
  <c r="AN1151" i="4"/>
  <c r="AM1151" i="4"/>
  <c r="AQ1150" i="4"/>
  <c r="AP1150" i="4"/>
  <c r="AO1150" i="4"/>
  <c r="AN1150" i="4"/>
  <c r="AM1150" i="4"/>
  <c r="AQ1149" i="4"/>
  <c r="AP1149" i="4"/>
  <c r="AO1149" i="4"/>
  <c r="AN1149" i="4"/>
  <c r="AM1149" i="4"/>
  <c r="AQ1148" i="4"/>
  <c r="AP1148" i="4"/>
  <c r="AO1148" i="4"/>
  <c r="AN1148" i="4"/>
  <c r="AM1148" i="4"/>
  <c r="AQ1147" i="4"/>
  <c r="AP1147" i="4"/>
  <c r="AO1147" i="4"/>
  <c r="AN1147" i="4"/>
  <c r="AM1147" i="4"/>
  <c r="AQ1146" i="4"/>
  <c r="AP1146" i="4"/>
  <c r="AO1146" i="4"/>
  <c r="AN1146" i="4"/>
  <c r="AM1146" i="4"/>
  <c r="AQ1145" i="4"/>
  <c r="AP1145" i="4"/>
  <c r="AO1145" i="4"/>
  <c r="AN1145" i="4"/>
  <c r="AM1145" i="4"/>
  <c r="AQ1144" i="4"/>
  <c r="AP1144" i="4"/>
  <c r="AO1144" i="4"/>
  <c r="AN1144" i="4"/>
  <c r="AM1144" i="4"/>
  <c r="AQ1143" i="4"/>
  <c r="AP1143" i="4"/>
  <c r="AO1143" i="4"/>
  <c r="AN1143" i="4"/>
  <c r="AM1143" i="4"/>
  <c r="AQ1142" i="4"/>
  <c r="AP1142" i="4"/>
  <c r="AO1142" i="4"/>
  <c r="AN1142" i="4"/>
  <c r="AM1142" i="4"/>
  <c r="AQ1141" i="4"/>
  <c r="AP1141" i="4"/>
  <c r="AO1141" i="4"/>
  <c r="AN1141" i="4"/>
  <c r="AM1141" i="4"/>
  <c r="AQ1140" i="4"/>
  <c r="AP1140" i="4"/>
  <c r="AO1140" i="4"/>
  <c r="AN1140" i="4"/>
  <c r="AM1140" i="4"/>
  <c r="AQ1139" i="4"/>
  <c r="AP1139" i="4"/>
  <c r="AO1139" i="4"/>
  <c r="AN1139" i="4"/>
  <c r="AM1139" i="4"/>
  <c r="AQ1138" i="4"/>
  <c r="AP1138" i="4"/>
  <c r="AO1138" i="4"/>
  <c r="AN1138" i="4"/>
  <c r="AM1138" i="4"/>
  <c r="AQ1137" i="4"/>
  <c r="AP1137" i="4"/>
  <c r="AO1137" i="4"/>
  <c r="AN1137" i="4"/>
  <c r="AM1137" i="4"/>
  <c r="AQ1136" i="4"/>
  <c r="AP1136" i="4"/>
  <c r="AO1136" i="4"/>
  <c r="AN1136" i="4"/>
  <c r="AM1136" i="4"/>
  <c r="AQ1135" i="4"/>
  <c r="AP1135" i="4"/>
  <c r="AO1135" i="4"/>
  <c r="AN1135" i="4"/>
  <c r="AM1135" i="4"/>
  <c r="AQ1134" i="4"/>
  <c r="AP1134" i="4"/>
  <c r="AO1134" i="4"/>
  <c r="AN1134" i="4"/>
  <c r="AM1134" i="4"/>
  <c r="AQ1133" i="4"/>
  <c r="AP1133" i="4"/>
  <c r="AO1133" i="4"/>
  <c r="AN1133" i="4"/>
  <c r="AM1133" i="4"/>
  <c r="AQ1132" i="4"/>
  <c r="AP1132" i="4"/>
  <c r="AO1132" i="4"/>
  <c r="AN1132" i="4"/>
  <c r="AM1132" i="4"/>
  <c r="AQ1131" i="4"/>
  <c r="AP1131" i="4"/>
  <c r="AO1131" i="4"/>
  <c r="AN1131" i="4"/>
  <c r="AM1131" i="4"/>
  <c r="AQ1130" i="4"/>
  <c r="AP1130" i="4"/>
  <c r="AO1130" i="4"/>
  <c r="AN1130" i="4"/>
  <c r="AM1130" i="4"/>
  <c r="AQ1129" i="4"/>
  <c r="AP1129" i="4"/>
  <c r="AO1129" i="4"/>
  <c r="AN1129" i="4"/>
  <c r="AM1129" i="4"/>
  <c r="AQ1128" i="4"/>
  <c r="AP1128" i="4"/>
  <c r="AO1128" i="4"/>
  <c r="AN1128" i="4"/>
  <c r="AM1128" i="4"/>
  <c r="AQ1127" i="4"/>
  <c r="AP1127" i="4"/>
  <c r="AO1127" i="4"/>
  <c r="AN1127" i="4"/>
  <c r="AM1127" i="4"/>
  <c r="AQ1126" i="4"/>
  <c r="AP1126" i="4"/>
  <c r="AO1126" i="4"/>
  <c r="AN1126" i="4"/>
  <c r="AM1126" i="4"/>
  <c r="AQ1125" i="4"/>
  <c r="AP1125" i="4"/>
  <c r="AO1125" i="4"/>
  <c r="AN1125" i="4"/>
  <c r="AM1125" i="4"/>
  <c r="AQ1124" i="4"/>
  <c r="AP1124" i="4"/>
  <c r="AO1124" i="4"/>
  <c r="AN1124" i="4"/>
  <c r="AM1124" i="4"/>
  <c r="AQ1123" i="4"/>
  <c r="AP1123" i="4"/>
  <c r="AO1123" i="4"/>
  <c r="AN1123" i="4"/>
  <c r="AM1123" i="4"/>
  <c r="AQ1122" i="4"/>
  <c r="AP1122" i="4"/>
  <c r="AO1122" i="4"/>
  <c r="AN1122" i="4"/>
  <c r="AM1122" i="4"/>
  <c r="AQ1121" i="4"/>
  <c r="AP1121" i="4"/>
  <c r="AO1121" i="4"/>
  <c r="AN1121" i="4"/>
  <c r="AM1121" i="4"/>
  <c r="AQ1120" i="4"/>
  <c r="AP1120" i="4"/>
  <c r="AO1120" i="4"/>
  <c r="AN1120" i="4"/>
  <c r="AM1120" i="4"/>
  <c r="AQ1119" i="4"/>
  <c r="AP1119" i="4"/>
  <c r="AO1119" i="4"/>
  <c r="AN1119" i="4"/>
  <c r="AM1119" i="4"/>
  <c r="AQ1118" i="4"/>
  <c r="AP1118" i="4"/>
  <c r="AO1118" i="4"/>
  <c r="AN1118" i="4"/>
  <c r="AM1118" i="4"/>
  <c r="AQ1117" i="4"/>
  <c r="AP1117" i="4"/>
  <c r="AO1117" i="4"/>
  <c r="AN1117" i="4"/>
  <c r="AM1117" i="4"/>
  <c r="AQ1116" i="4"/>
  <c r="AP1116" i="4"/>
  <c r="AO1116" i="4"/>
  <c r="AN1116" i="4"/>
  <c r="AM1116" i="4"/>
  <c r="AQ1115" i="4"/>
  <c r="AP1115" i="4"/>
  <c r="AO1115" i="4"/>
  <c r="AN1115" i="4"/>
  <c r="AM1115" i="4"/>
  <c r="AQ1114" i="4"/>
  <c r="AP1114" i="4"/>
  <c r="AO1114" i="4"/>
  <c r="AN1114" i="4"/>
  <c r="AM1114" i="4"/>
  <c r="AQ1113" i="4"/>
  <c r="AP1113" i="4"/>
  <c r="AO1113" i="4"/>
  <c r="AN1113" i="4"/>
  <c r="AM1113" i="4"/>
  <c r="AQ1112" i="4"/>
  <c r="AP1112" i="4"/>
  <c r="AO1112" i="4"/>
  <c r="AN1112" i="4"/>
  <c r="AM1112" i="4"/>
  <c r="AQ1111" i="4"/>
  <c r="AP1111" i="4"/>
  <c r="AO1111" i="4"/>
  <c r="AN1111" i="4"/>
  <c r="AM1111" i="4"/>
  <c r="AQ1110" i="4"/>
  <c r="AP1110" i="4"/>
  <c r="AO1110" i="4"/>
  <c r="AN1110" i="4"/>
  <c r="AM1110" i="4"/>
  <c r="AQ1109" i="4"/>
  <c r="AP1109" i="4"/>
  <c r="AO1109" i="4"/>
  <c r="AN1109" i="4"/>
  <c r="AM1109" i="4"/>
  <c r="AQ1108" i="4"/>
  <c r="AP1108" i="4"/>
  <c r="AO1108" i="4"/>
  <c r="AN1108" i="4"/>
  <c r="AM1108" i="4"/>
  <c r="AQ1107" i="4"/>
  <c r="AP1107" i="4"/>
  <c r="AO1107" i="4"/>
  <c r="AN1107" i="4"/>
  <c r="AM1107" i="4"/>
  <c r="AQ1106" i="4"/>
  <c r="AP1106" i="4"/>
  <c r="AO1106" i="4"/>
  <c r="AN1106" i="4"/>
  <c r="AM1106" i="4"/>
  <c r="AQ1105" i="4"/>
  <c r="AP1105" i="4"/>
  <c r="AO1105" i="4"/>
  <c r="AN1105" i="4"/>
  <c r="AM1105" i="4"/>
  <c r="AQ1104" i="4"/>
  <c r="AP1104" i="4"/>
  <c r="AO1104" i="4"/>
  <c r="AN1104" i="4"/>
  <c r="AM1104" i="4"/>
  <c r="AQ1103" i="4"/>
  <c r="AP1103" i="4"/>
  <c r="AO1103" i="4"/>
  <c r="AN1103" i="4"/>
  <c r="AM1103" i="4"/>
  <c r="AQ1102" i="4"/>
  <c r="AP1102" i="4"/>
  <c r="AO1102" i="4"/>
  <c r="AN1102" i="4"/>
  <c r="AM1102" i="4"/>
  <c r="AQ1101" i="4"/>
  <c r="AP1101" i="4"/>
  <c r="AO1101" i="4"/>
  <c r="AN1101" i="4"/>
  <c r="AM1101" i="4"/>
  <c r="AQ1100" i="4"/>
  <c r="AP1100" i="4"/>
  <c r="AO1100" i="4"/>
  <c r="AN1100" i="4"/>
  <c r="AM1100" i="4"/>
  <c r="AQ1099" i="4"/>
  <c r="AP1099" i="4"/>
  <c r="AO1099" i="4"/>
  <c r="AN1099" i="4"/>
  <c r="AM1099" i="4"/>
  <c r="AQ1098" i="4"/>
  <c r="AP1098" i="4"/>
  <c r="AO1098" i="4"/>
  <c r="AN1098" i="4"/>
  <c r="AM1098" i="4"/>
  <c r="AQ1097" i="4"/>
  <c r="AP1097" i="4"/>
  <c r="AO1097" i="4"/>
  <c r="AN1097" i="4"/>
  <c r="AM1097" i="4"/>
  <c r="AQ1096" i="4"/>
  <c r="AP1096" i="4"/>
  <c r="AO1096" i="4"/>
  <c r="AN1096" i="4"/>
  <c r="AM1096" i="4"/>
  <c r="AQ1095" i="4"/>
  <c r="AP1095" i="4"/>
  <c r="AO1095" i="4"/>
  <c r="AN1095" i="4"/>
  <c r="AM1095" i="4"/>
  <c r="AQ1094" i="4"/>
  <c r="AP1094" i="4"/>
  <c r="AO1094" i="4"/>
  <c r="AN1094" i="4"/>
  <c r="AM1094" i="4"/>
  <c r="AQ1093" i="4"/>
  <c r="AP1093" i="4"/>
  <c r="AO1093" i="4"/>
  <c r="AN1093" i="4"/>
  <c r="AM1093" i="4"/>
  <c r="AQ1092" i="4"/>
  <c r="AP1092" i="4"/>
  <c r="AO1092" i="4"/>
  <c r="AN1092" i="4"/>
  <c r="AM1092" i="4"/>
  <c r="AQ1091" i="4"/>
  <c r="AP1091" i="4"/>
  <c r="AO1091" i="4"/>
  <c r="AN1091" i="4"/>
  <c r="AM1091" i="4"/>
  <c r="AQ1090" i="4"/>
  <c r="AP1090" i="4"/>
  <c r="AO1090" i="4"/>
  <c r="AN1090" i="4"/>
  <c r="AM1090" i="4"/>
  <c r="AQ1089" i="4"/>
  <c r="AP1089" i="4"/>
  <c r="AO1089" i="4"/>
  <c r="AN1089" i="4"/>
  <c r="AM1089" i="4"/>
  <c r="AQ1088" i="4"/>
  <c r="AP1088" i="4"/>
  <c r="AO1088" i="4"/>
  <c r="AN1088" i="4"/>
  <c r="AM1088" i="4"/>
  <c r="AQ1087" i="4"/>
  <c r="AP1087" i="4"/>
  <c r="AO1087" i="4"/>
  <c r="AN1087" i="4"/>
  <c r="AM1087" i="4"/>
  <c r="AQ1086" i="4"/>
  <c r="AP1086" i="4"/>
  <c r="AO1086" i="4"/>
  <c r="AN1086" i="4"/>
  <c r="AM1086" i="4"/>
  <c r="AQ1085" i="4"/>
  <c r="AP1085" i="4"/>
  <c r="AO1085" i="4"/>
  <c r="AN1085" i="4"/>
  <c r="AM1085" i="4"/>
  <c r="AQ1084" i="4"/>
  <c r="AP1084" i="4"/>
  <c r="AO1084" i="4"/>
  <c r="AN1084" i="4"/>
  <c r="AM1084" i="4"/>
  <c r="AQ1083" i="4"/>
  <c r="AP1083" i="4"/>
  <c r="AO1083" i="4"/>
  <c r="AN1083" i="4"/>
  <c r="AM1083" i="4"/>
  <c r="AQ1082" i="4"/>
  <c r="AP1082" i="4"/>
  <c r="AO1082" i="4"/>
  <c r="AN1082" i="4"/>
  <c r="AM1082" i="4"/>
  <c r="AQ1081" i="4"/>
  <c r="AP1081" i="4"/>
  <c r="AO1081" i="4"/>
  <c r="AN1081" i="4"/>
  <c r="AM1081" i="4"/>
  <c r="AQ1080" i="4"/>
  <c r="AP1080" i="4"/>
  <c r="AO1080" i="4"/>
  <c r="AN1080" i="4"/>
  <c r="AM1080" i="4"/>
  <c r="AQ1079" i="4"/>
  <c r="AP1079" i="4"/>
  <c r="AO1079" i="4"/>
  <c r="AN1079" i="4"/>
  <c r="AM1079" i="4"/>
  <c r="AQ1078" i="4"/>
  <c r="AP1078" i="4"/>
  <c r="AO1078" i="4"/>
  <c r="AN1078" i="4"/>
  <c r="AM1078" i="4"/>
  <c r="AQ1077" i="4"/>
  <c r="AP1077" i="4"/>
  <c r="AO1077" i="4"/>
  <c r="AN1077" i="4"/>
  <c r="AM1077" i="4"/>
  <c r="AQ1076" i="4"/>
  <c r="AP1076" i="4"/>
  <c r="AO1076" i="4"/>
  <c r="AN1076" i="4"/>
  <c r="AM1076" i="4"/>
  <c r="AQ1075" i="4"/>
  <c r="AP1075" i="4"/>
  <c r="AO1075" i="4"/>
  <c r="AN1075" i="4"/>
  <c r="AM1075" i="4"/>
  <c r="AQ1074" i="4"/>
  <c r="AP1074" i="4"/>
  <c r="AO1074" i="4"/>
  <c r="AN1074" i="4"/>
  <c r="AM1074" i="4"/>
  <c r="AQ1073" i="4"/>
  <c r="AP1073" i="4"/>
  <c r="AO1073" i="4"/>
  <c r="AN1073" i="4"/>
  <c r="AM1073" i="4"/>
  <c r="AQ1072" i="4"/>
  <c r="AP1072" i="4"/>
  <c r="AO1072" i="4"/>
  <c r="AN1072" i="4"/>
  <c r="AM1072" i="4"/>
  <c r="AQ1071" i="4"/>
  <c r="AP1071" i="4"/>
  <c r="AO1071" i="4"/>
  <c r="AN1071" i="4"/>
  <c r="AM1071" i="4"/>
  <c r="AQ1070" i="4"/>
  <c r="AP1070" i="4"/>
  <c r="AO1070" i="4"/>
  <c r="AN1070" i="4"/>
  <c r="AM1070" i="4"/>
  <c r="AQ1069" i="4"/>
  <c r="AP1069" i="4"/>
  <c r="AO1069" i="4"/>
  <c r="AN1069" i="4"/>
  <c r="AM1069" i="4"/>
  <c r="AQ1068" i="4"/>
  <c r="AP1068" i="4"/>
  <c r="AO1068" i="4"/>
  <c r="AN1068" i="4"/>
  <c r="AM1068" i="4"/>
  <c r="AQ1067" i="4"/>
  <c r="AP1067" i="4"/>
  <c r="AO1067" i="4"/>
  <c r="AN1067" i="4"/>
  <c r="AM1067" i="4"/>
  <c r="AQ1066" i="4"/>
  <c r="AP1066" i="4"/>
  <c r="AO1066" i="4"/>
  <c r="AN1066" i="4"/>
  <c r="AM1066" i="4"/>
  <c r="AQ1065" i="4"/>
  <c r="AP1065" i="4"/>
  <c r="AO1065" i="4"/>
  <c r="AN1065" i="4"/>
  <c r="AM1065" i="4"/>
  <c r="AQ1064" i="4"/>
  <c r="AP1064" i="4"/>
  <c r="AO1064" i="4"/>
  <c r="AN1064" i="4"/>
  <c r="AM1064" i="4"/>
  <c r="AQ1063" i="4"/>
  <c r="AP1063" i="4"/>
  <c r="AO1063" i="4"/>
  <c r="AN1063" i="4"/>
  <c r="AM1063" i="4"/>
  <c r="AQ1062" i="4"/>
  <c r="AP1062" i="4"/>
  <c r="AO1062" i="4"/>
  <c r="AN1062" i="4"/>
  <c r="AM1062" i="4"/>
  <c r="AQ1061" i="4"/>
  <c r="AP1061" i="4"/>
  <c r="AO1061" i="4"/>
  <c r="AN1061" i="4"/>
  <c r="AM1061" i="4"/>
  <c r="AQ1060" i="4"/>
  <c r="AP1060" i="4"/>
  <c r="AO1060" i="4"/>
  <c r="AN1060" i="4"/>
  <c r="AM1060" i="4"/>
  <c r="AQ1059" i="4"/>
  <c r="AP1059" i="4"/>
  <c r="AO1059" i="4"/>
  <c r="AN1059" i="4"/>
  <c r="AM1059" i="4"/>
  <c r="AQ1058" i="4"/>
  <c r="AP1058" i="4"/>
  <c r="AO1058" i="4"/>
  <c r="AN1058" i="4"/>
  <c r="AM1058" i="4"/>
  <c r="AQ1057" i="4"/>
  <c r="AP1057" i="4"/>
  <c r="AO1057" i="4"/>
  <c r="AN1057" i="4"/>
  <c r="AM1057" i="4"/>
  <c r="AQ1056" i="4"/>
  <c r="AP1056" i="4"/>
  <c r="AO1056" i="4"/>
  <c r="AN1056" i="4"/>
  <c r="AM1056" i="4"/>
  <c r="AQ1055" i="4"/>
  <c r="AP1055" i="4"/>
  <c r="AO1055" i="4"/>
  <c r="AN1055" i="4"/>
  <c r="AM1055" i="4"/>
  <c r="AQ1054" i="4"/>
  <c r="AP1054" i="4"/>
  <c r="AO1054" i="4"/>
  <c r="AN1054" i="4"/>
  <c r="AM1054" i="4"/>
  <c r="AQ1053" i="4"/>
  <c r="AP1053" i="4"/>
  <c r="AO1053" i="4"/>
  <c r="AN1053" i="4"/>
  <c r="AM1053" i="4"/>
  <c r="AQ1052" i="4"/>
  <c r="AP1052" i="4"/>
  <c r="AO1052" i="4"/>
  <c r="AN1052" i="4"/>
  <c r="AM1052" i="4"/>
  <c r="AQ1051" i="4"/>
  <c r="AP1051" i="4"/>
  <c r="AO1051" i="4"/>
  <c r="AN1051" i="4"/>
  <c r="AM1051" i="4"/>
  <c r="AQ1050" i="4"/>
  <c r="AP1050" i="4"/>
  <c r="AO1050" i="4"/>
  <c r="AN1050" i="4"/>
  <c r="AM1050" i="4"/>
  <c r="AQ1049" i="4"/>
  <c r="AP1049" i="4"/>
  <c r="AO1049" i="4"/>
  <c r="AN1049" i="4"/>
  <c r="AM1049" i="4"/>
  <c r="AQ1048" i="4"/>
  <c r="AP1048" i="4"/>
  <c r="AO1048" i="4"/>
  <c r="AN1048" i="4"/>
  <c r="AM1048" i="4"/>
  <c r="AQ1047" i="4"/>
  <c r="AP1047" i="4"/>
  <c r="AO1047" i="4"/>
  <c r="AN1047" i="4"/>
  <c r="AM1047" i="4"/>
  <c r="AQ1046" i="4"/>
  <c r="AP1046" i="4"/>
  <c r="AO1046" i="4"/>
  <c r="AN1046" i="4"/>
  <c r="AM1046" i="4"/>
  <c r="AQ1045" i="4"/>
  <c r="AP1045" i="4"/>
  <c r="AO1045" i="4"/>
  <c r="AN1045" i="4"/>
  <c r="AM1045" i="4"/>
  <c r="AQ1044" i="4"/>
  <c r="AP1044" i="4"/>
  <c r="AO1044" i="4"/>
  <c r="AN1044" i="4"/>
  <c r="AM1044" i="4"/>
  <c r="AQ1043" i="4"/>
  <c r="AP1043" i="4"/>
  <c r="AO1043" i="4"/>
  <c r="AN1043" i="4"/>
  <c r="AM1043" i="4"/>
  <c r="AQ1042" i="4"/>
  <c r="AP1042" i="4"/>
  <c r="AO1042" i="4"/>
  <c r="AN1042" i="4"/>
  <c r="AM1042" i="4"/>
  <c r="AQ1041" i="4"/>
  <c r="AP1041" i="4"/>
  <c r="AO1041" i="4"/>
  <c r="AN1041" i="4"/>
  <c r="AM1041" i="4"/>
  <c r="AQ1040" i="4"/>
  <c r="AP1040" i="4"/>
  <c r="AO1040" i="4"/>
  <c r="AN1040" i="4"/>
  <c r="AM1040" i="4"/>
  <c r="AQ1039" i="4"/>
  <c r="AP1039" i="4"/>
  <c r="AO1039" i="4"/>
  <c r="AN1039" i="4"/>
  <c r="AM1039" i="4"/>
  <c r="AQ1038" i="4"/>
  <c r="AP1038" i="4"/>
  <c r="AO1038" i="4"/>
  <c r="AN1038" i="4"/>
  <c r="AM1038" i="4"/>
  <c r="AQ1037" i="4"/>
  <c r="AP1037" i="4"/>
  <c r="AO1037" i="4"/>
  <c r="AN1037" i="4"/>
  <c r="AM1037" i="4"/>
  <c r="AQ1036" i="4"/>
  <c r="AP1036" i="4"/>
  <c r="AO1036" i="4"/>
  <c r="AN1036" i="4"/>
  <c r="AM1036" i="4"/>
  <c r="AQ1035" i="4"/>
  <c r="AP1035" i="4"/>
  <c r="AO1035" i="4"/>
  <c r="AN1035" i="4"/>
  <c r="AM1035" i="4"/>
  <c r="AQ1034" i="4"/>
  <c r="AP1034" i="4"/>
  <c r="AO1034" i="4"/>
  <c r="AN1034" i="4"/>
  <c r="AM1034" i="4"/>
  <c r="AQ1033" i="4"/>
  <c r="AP1033" i="4"/>
  <c r="AO1033" i="4"/>
  <c r="AN1033" i="4"/>
  <c r="AM1033" i="4"/>
  <c r="AQ1032" i="4"/>
  <c r="AP1032" i="4"/>
  <c r="AO1032" i="4"/>
  <c r="AN1032" i="4"/>
  <c r="AM1032" i="4"/>
  <c r="AQ1031" i="4"/>
  <c r="AP1031" i="4"/>
  <c r="AO1031" i="4"/>
  <c r="AN1031" i="4"/>
  <c r="AM1031" i="4"/>
  <c r="AQ1030" i="4"/>
  <c r="AP1030" i="4"/>
  <c r="AO1030" i="4"/>
  <c r="AN1030" i="4"/>
  <c r="AM1030" i="4"/>
  <c r="AQ1029" i="4"/>
  <c r="AP1029" i="4"/>
  <c r="AO1029" i="4"/>
  <c r="AN1029" i="4"/>
  <c r="AM1029" i="4"/>
  <c r="AQ1028" i="4"/>
  <c r="AP1028" i="4"/>
  <c r="AO1028" i="4"/>
  <c r="AN1028" i="4"/>
  <c r="AM1028" i="4"/>
  <c r="AQ1027" i="4"/>
  <c r="AP1027" i="4"/>
  <c r="AO1027" i="4"/>
  <c r="AN1027" i="4"/>
  <c r="AM1027" i="4"/>
  <c r="AQ1026" i="4"/>
  <c r="AP1026" i="4"/>
  <c r="AO1026" i="4"/>
  <c r="AN1026" i="4"/>
  <c r="AM1026" i="4"/>
  <c r="AQ1025" i="4"/>
  <c r="AP1025" i="4"/>
  <c r="AO1025" i="4"/>
  <c r="AN1025" i="4"/>
  <c r="AM1025" i="4"/>
  <c r="AQ1024" i="4"/>
  <c r="AP1024" i="4"/>
  <c r="AO1024" i="4"/>
  <c r="AN1024" i="4"/>
  <c r="AM1024" i="4"/>
  <c r="AQ1023" i="4"/>
  <c r="AP1023" i="4"/>
  <c r="AO1023" i="4"/>
  <c r="AN1023" i="4"/>
  <c r="AM1023" i="4"/>
  <c r="AQ1022" i="4"/>
  <c r="AP1022" i="4"/>
  <c r="AO1022" i="4"/>
  <c r="AN1022" i="4"/>
  <c r="AM1022" i="4"/>
  <c r="AQ1021" i="4"/>
  <c r="AP1021" i="4"/>
  <c r="AO1021" i="4"/>
  <c r="AN1021" i="4"/>
  <c r="AM1021" i="4"/>
  <c r="AQ1020" i="4"/>
  <c r="AP1020" i="4"/>
  <c r="AO1020" i="4"/>
  <c r="AN1020" i="4"/>
  <c r="AM1020" i="4"/>
  <c r="AQ1019" i="4"/>
  <c r="AP1019" i="4"/>
  <c r="AO1019" i="4"/>
  <c r="AN1019" i="4"/>
  <c r="AM1019" i="4"/>
  <c r="AQ1018" i="4"/>
  <c r="AP1018" i="4"/>
  <c r="AO1018" i="4"/>
  <c r="AN1018" i="4"/>
  <c r="AM1018" i="4"/>
  <c r="AQ1017" i="4"/>
  <c r="AP1017" i="4"/>
  <c r="AO1017" i="4"/>
  <c r="AN1017" i="4"/>
  <c r="AM1017" i="4"/>
  <c r="AQ1016" i="4"/>
  <c r="AP1016" i="4"/>
  <c r="AO1016" i="4"/>
  <c r="AN1016" i="4"/>
  <c r="AM1016" i="4"/>
  <c r="AQ1015" i="4"/>
  <c r="AP1015" i="4"/>
  <c r="AO1015" i="4"/>
  <c r="AN1015" i="4"/>
  <c r="AM1015" i="4"/>
  <c r="AQ1014" i="4"/>
  <c r="AP1014" i="4"/>
  <c r="AO1014" i="4"/>
  <c r="AN1014" i="4"/>
  <c r="AM1014" i="4"/>
  <c r="AQ1013" i="4"/>
  <c r="AP1013" i="4"/>
  <c r="AO1013" i="4"/>
  <c r="AN1013" i="4"/>
  <c r="AM1013" i="4"/>
  <c r="AQ1012" i="4"/>
  <c r="AP1012" i="4"/>
  <c r="AO1012" i="4"/>
  <c r="AN1012" i="4"/>
  <c r="AM1012" i="4"/>
  <c r="AQ1011" i="4"/>
  <c r="AP1011" i="4"/>
  <c r="AO1011" i="4"/>
  <c r="AN1011" i="4"/>
  <c r="AM1011" i="4"/>
  <c r="AQ1010" i="4"/>
  <c r="AP1010" i="4"/>
  <c r="AO1010" i="4"/>
  <c r="AN1010" i="4"/>
  <c r="AM1010" i="4"/>
  <c r="AQ1009" i="4"/>
  <c r="AP1009" i="4"/>
  <c r="AO1009" i="4"/>
  <c r="AN1009" i="4"/>
  <c r="AM1009" i="4"/>
  <c r="AQ1008" i="4"/>
  <c r="AP1008" i="4"/>
  <c r="AO1008" i="4"/>
  <c r="AN1008" i="4"/>
  <c r="AM1008" i="4"/>
  <c r="AQ1007" i="4"/>
  <c r="AP1007" i="4"/>
  <c r="AO1007" i="4"/>
  <c r="AN1007" i="4"/>
  <c r="AM1007" i="4"/>
  <c r="AQ1006" i="4"/>
  <c r="AP1006" i="4"/>
  <c r="AO1006" i="4"/>
  <c r="AN1006" i="4"/>
  <c r="AM1006" i="4"/>
  <c r="AQ1005" i="4"/>
  <c r="AP1005" i="4"/>
  <c r="AO1005" i="4"/>
  <c r="AN1005" i="4"/>
  <c r="AM1005" i="4"/>
  <c r="AQ1004" i="4"/>
  <c r="AP1004" i="4"/>
  <c r="AO1004" i="4"/>
  <c r="AN1004" i="4"/>
  <c r="AM1004" i="4"/>
  <c r="AQ1003" i="4"/>
  <c r="AP1003" i="4"/>
  <c r="AO1003" i="4"/>
  <c r="AN1003" i="4"/>
  <c r="AM1003" i="4"/>
  <c r="AQ1002" i="4"/>
  <c r="AP1002" i="4"/>
  <c r="AO1002" i="4"/>
  <c r="AN1002" i="4"/>
  <c r="AM1002" i="4"/>
  <c r="AQ1001" i="4"/>
  <c r="AP1001" i="4"/>
  <c r="AO1001" i="4"/>
  <c r="AN1001" i="4"/>
  <c r="AM1001" i="4"/>
  <c r="AQ1000" i="4"/>
  <c r="AP1000" i="4"/>
  <c r="AO1000" i="4"/>
  <c r="AN1000" i="4"/>
  <c r="AM1000" i="4"/>
  <c r="AQ999" i="4"/>
  <c r="AP999" i="4"/>
  <c r="AO999" i="4"/>
  <c r="AN999" i="4"/>
  <c r="AM999" i="4"/>
  <c r="AQ998" i="4"/>
  <c r="AP998" i="4"/>
  <c r="AO998" i="4"/>
  <c r="AN998" i="4"/>
  <c r="AM998" i="4"/>
  <c r="AQ997" i="4"/>
  <c r="AP997" i="4"/>
  <c r="AO997" i="4"/>
  <c r="AN997" i="4"/>
  <c r="AM997" i="4"/>
  <c r="AQ996" i="4"/>
  <c r="AP996" i="4"/>
  <c r="AO996" i="4"/>
  <c r="AN996" i="4"/>
  <c r="AM996" i="4"/>
  <c r="AQ995" i="4"/>
  <c r="AP995" i="4"/>
  <c r="AO995" i="4"/>
  <c r="AN995" i="4"/>
  <c r="AM995" i="4"/>
  <c r="AQ994" i="4"/>
  <c r="AP994" i="4"/>
  <c r="AO994" i="4"/>
  <c r="AN994" i="4"/>
  <c r="AM994" i="4"/>
  <c r="AQ993" i="4"/>
  <c r="AP993" i="4"/>
  <c r="AO993" i="4"/>
  <c r="AN993" i="4"/>
  <c r="AM993" i="4"/>
  <c r="AQ992" i="4"/>
  <c r="AP992" i="4"/>
  <c r="AO992" i="4"/>
  <c r="AN992" i="4"/>
  <c r="AM992" i="4"/>
  <c r="AQ991" i="4"/>
  <c r="AP991" i="4"/>
  <c r="AO991" i="4"/>
  <c r="AN991" i="4"/>
  <c r="AM991" i="4"/>
  <c r="AQ990" i="4"/>
  <c r="AP990" i="4"/>
  <c r="AO990" i="4"/>
  <c r="AN990" i="4"/>
  <c r="AM990" i="4"/>
  <c r="AQ989" i="4"/>
  <c r="AP989" i="4"/>
  <c r="AO989" i="4"/>
  <c r="AN989" i="4"/>
  <c r="AM989" i="4"/>
  <c r="AQ988" i="4"/>
  <c r="AP988" i="4"/>
  <c r="AO988" i="4"/>
  <c r="AN988" i="4"/>
  <c r="AM988" i="4"/>
  <c r="AQ987" i="4"/>
  <c r="AP987" i="4"/>
  <c r="AO987" i="4"/>
  <c r="AN987" i="4"/>
  <c r="AM987" i="4"/>
  <c r="AQ986" i="4"/>
  <c r="AP986" i="4"/>
  <c r="AO986" i="4"/>
  <c r="AN986" i="4"/>
  <c r="AM986" i="4"/>
  <c r="AQ985" i="4"/>
  <c r="AP985" i="4"/>
  <c r="AO985" i="4"/>
  <c r="AN985" i="4"/>
  <c r="AM985" i="4"/>
  <c r="AQ984" i="4"/>
  <c r="AP984" i="4"/>
  <c r="AO984" i="4"/>
  <c r="AN984" i="4"/>
  <c r="AM984" i="4"/>
  <c r="AQ983" i="4"/>
  <c r="AP983" i="4"/>
  <c r="AO983" i="4"/>
  <c r="AN983" i="4"/>
  <c r="AM983" i="4"/>
  <c r="AQ982" i="4"/>
  <c r="AP982" i="4"/>
  <c r="AO982" i="4"/>
  <c r="AN982" i="4"/>
  <c r="AM982" i="4"/>
  <c r="AQ981" i="4"/>
  <c r="AP981" i="4"/>
  <c r="AO981" i="4"/>
  <c r="AN981" i="4"/>
  <c r="AM981" i="4"/>
  <c r="AQ980" i="4"/>
  <c r="AP980" i="4"/>
  <c r="AO980" i="4"/>
  <c r="AN980" i="4"/>
  <c r="AM980" i="4"/>
  <c r="AQ979" i="4"/>
  <c r="AP979" i="4"/>
  <c r="AO979" i="4"/>
  <c r="AN979" i="4"/>
  <c r="AM979" i="4"/>
  <c r="AQ978" i="4"/>
  <c r="AP978" i="4"/>
  <c r="AO978" i="4"/>
  <c r="AN978" i="4"/>
  <c r="AM978" i="4"/>
  <c r="AQ977" i="4"/>
  <c r="AP977" i="4"/>
  <c r="AO977" i="4"/>
  <c r="AN977" i="4"/>
  <c r="AM977" i="4"/>
  <c r="AQ976" i="4"/>
  <c r="AP976" i="4"/>
  <c r="AO976" i="4"/>
  <c r="AN976" i="4"/>
  <c r="AM976" i="4"/>
  <c r="AQ975" i="4"/>
  <c r="AP975" i="4"/>
  <c r="AO975" i="4"/>
  <c r="AN975" i="4"/>
  <c r="AM975" i="4"/>
  <c r="AQ974" i="4"/>
  <c r="AP974" i="4"/>
  <c r="AO974" i="4"/>
  <c r="AN974" i="4"/>
  <c r="AM974" i="4"/>
  <c r="AQ973" i="4"/>
  <c r="AP973" i="4"/>
  <c r="AO973" i="4"/>
  <c r="AN973" i="4"/>
  <c r="AM973" i="4"/>
  <c r="AQ972" i="4"/>
  <c r="AP972" i="4"/>
  <c r="AO972" i="4"/>
  <c r="AN972" i="4"/>
  <c r="AM972" i="4"/>
  <c r="AQ971" i="4"/>
  <c r="AP971" i="4"/>
  <c r="AO971" i="4"/>
  <c r="AN971" i="4"/>
  <c r="AM971" i="4"/>
  <c r="AQ970" i="4"/>
  <c r="AP970" i="4"/>
  <c r="AO970" i="4"/>
  <c r="AN970" i="4"/>
  <c r="AM970" i="4"/>
  <c r="AQ969" i="4"/>
  <c r="AP969" i="4"/>
  <c r="AO969" i="4"/>
  <c r="AN969" i="4"/>
  <c r="AM969" i="4"/>
  <c r="AQ968" i="4"/>
  <c r="AP968" i="4"/>
  <c r="AO968" i="4"/>
  <c r="AN968" i="4"/>
  <c r="AM968" i="4"/>
  <c r="AQ967" i="4"/>
  <c r="AP967" i="4"/>
  <c r="AO967" i="4"/>
  <c r="AN967" i="4"/>
  <c r="AM967" i="4"/>
  <c r="AQ966" i="4"/>
  <c r="AP966" i="4"/>
  <c r="AO966" i="4"/>
  <c r="AN966" i="4"/>
  <c r="AM966" i="4"/>
  <c r="AQ965" i="4"/>
  <c r="AP965" i="4"/>
  <c r="AO965" i="4"/>
  <c r="AN965" i="4"/>
  <c r="AM965" i="4"/>
  <c r="AQ964" i="4"/>
  <c r="AP964" i="4"/>
  <c r="AO964" i="4"/>
  <c r="AN964" i="4"/>
  <c r="AM964" i="4"/>
  <c r="AQ963" i="4"/>
  <c r="AP963" i="4"/>
  <c r="AO963" i="4"/>
  <c r="AN963" i="4"/>
  <c r="AM963" i="4"/>
  <c r="AQ962" i="4"/>
  <c r="AP962" i="4"/>
  <c r="AO962" i="4"/>
  <c r="AN962" i="4"/>
  <c r="AM962" i="4"/>
  <c r="AQ961" i="4"/>
  <c r="AP961" i="4"/>
  <c r="AO961" i="4"/>
  <c r="AN961" i="4"/>
  <c r="AM961" i="4"/>
  <c r="AQ960" i="4"/>
  <c r="AP960" i="4"/>
  <c r="AO960" i="4"/>
  <c r="AN960" i="4"/>
  <c r="AM960" i="4"/>
  <c r="AQ959" i="4"/>
  <c r="AP959" i="4"/>
  <c r="AO959" i="4"/>
  <c r="AN959" i="4"/>
  <c r="AM959" i="4"/>
  <c r="AQ958" i="4"/>
  <c r="AP958" i="4"/>
  <c r="AO958" i="4"/>
  <c r="AN958" i="4"/>
  <c r="AM958" i="4"/>
  <c r="AQ957" i="4"/>
  <c r="AP957" i="4"/>
  <c r="AO957" i="4"/>
  <c r="AN957" i="4"/>
  <c r="AM957" i="4"/>
  <c r="AQ956" i="4"/>
  <c r="AP956" i="4"/>
  <c r="AO956" i="4"/>
  <c r="AN956" i="4"/>
  <c r="AM956" i="4"/>
  <c r="AQ955" i="4"/>
  <c r="AP955" i="4"/>
  <c r="AO955" i="4"/>
  <c r="AN955" i="4"/>
  <c r="AM955" i="4"/>
  <c r="AQ954" i="4"/>
  <c r="AP954" i="4"/>
  <c r="AO954" i="4"/>
  <c r="AN954" i="4"/>
  <c r="AM954" i="4"/>
  <c r="AQ953" i="4"/>
  <c r="AP953" i="4"/>
  <c r="AO953" i="4"/>
  <c r="AN953" i="4"/>
  <c r="AM953" i="4"/>
  <c r="AQ952" i="4"/>
  <c r="AP952" i="4"/>
  <c r="AO952" i="4"/>
  <c r="AN952" i="4"/>
  <c r="AM952" i="4"/>
  <c r="AQ951" i="4"/>
  <c r="AP951" i="4"/>
  <c r="AO951" i="4"/>
  <c r="AN951" i="4"/>
  <c r="AM951" i="4"/>
  <c r="AQ950" i="4"/>
  <c r="AP950" i="4"/>
  <c r="AO950" i="4"/>
  <c r="AN950" i="4"/>
  <c r="AM950" i="4"/>
  <c r="AQ949" i="4"/>
  <c r="AP949" i="4"/>
  <c r="AO949" i="4"/>
  <c r="AN949" i="4"/>
  <c r="AM949" i="4"/>
  <c r="AQ948" i="4"/>
  <c r="AP948" i="4"/>
  <c r="AO948" i="4"/>
  <c r="AN948" i="4"/>
  <c r="AM948" i="4"/>
  <c r="AQ947" i="4"/>
  <c r="AP947" i="4"/>
  <c r="AO947" i="4"/>
  <c r="AN947" i="4"/>
  <c r="AM947" i="4"/>
  <c r="AQ946" i="4"/>
  <c r="AP946" i="4"/>
  <c r="AO946" i="4"/>
  <c r="AN946" i="4"/>
  <c r="AM946" i="4"/>
  <c r="AQ945" i="4"/>
  <c r="AP945" i="4"/>
  <c r="AO945" i="4"/>
  <c r="AN945" i="4"/>
  <c r="AM945" i="4"/>
  <c r="AQ944" i="4"/>
  <c r="AP944" i="4"/>
  <c r="AO944" i="4"/>
  <c r="AN944" i="4"/>
  <c r="AM944" i="4"/>
  <c r="AQ943" i="4"/>
  <c r="AP943" i="4"/>
  <c r="AO943" i="4"/>
  <c r="AN943" i="4"/>
  <c r="AM943" i="4"/>
  <c r="AQ942" i="4"/>
  <c r="AP942" i="4"/>
  <c r="AO942" i="4"/>
  <c r="AN942" i="4"/>
  <c r="AM942" i="4"/>
  <c r="AQ941" i="4"/>
  <c r="AP941" i="4"/>
  <c r="AO941" i="4"/>
  <c r="AN941" i="4"/>
  <c r="AM941" i="4"/>
  <c r="AQ940" i="4"/>
  <c r="AP940" i="4"/>
  <c r="AO940" i="4"/>
  <c r="AN940" i="4"/>
  <c r="AM940" i="4"/>
  <c r="AQ939" i="4"/>
  <c r="AP939" i="4"/>
  <c r="AO939" i="4"/>
  <c r="AN939" i="4"/>
  <c r="AM939" i="4"/>
  <c r="AQ938" i="4"/>
  <c r="AP938" i="4"/>
  <c r="AO938" i="4"/>
  <c r="AN938" i="4"/>
  <c r="AM938" i="4"/>
  <c r="AQ937" i="4"/>
  <c r="AP937" i="4"/>
  <c r="AO937" i="4"/>
  <c r="AN937" i="4"/>
  <c r="AM937" i="4"/>
  <c r="AQ936" i="4"/>
  <c r="AP936" i="4"/>
  <c r="AO936" i="4"/>
  <c r="AN936" i="4"/>
  <c r="AM936" i="4"/>
  <c r="AQ935" i="4"/>
  <c r="AP935" i="4"/>
  <c r="AO935" i="4"/>
  <c r="AN935" i="4"/>
  <c r="AM935" i="4"/>
  <c r="AQ934" i="4"/>
  <c r="AP934" i="4"/>
  <c r="AO934" i="4"/>
  <c r="AN934" i="4"/>
  <c r="AM934" i="4"/>
  <c r="AQ933" i="4"/>
  <c r="AP933" i="4"/>
  <c r="AO933" i="4"/>
  <c r="AN933" i="4"/>
  <c r="AM933" i="4"/>
  <c r="AQ932" i="4"/>
  <c r="AP932" i="4"/>
  <c r="AO932" i="4"/>
  <c r="AN932" i="4"/>
  <c r="AM932" i="4"/>
  <c r="AQ931" i="4"/>
  <c r="AP931" i="4"/>
  <c r="AO931" i="4"/>
  <c r="AN931" i="4"/>
  <c r="AM931" i="4"/>
  <c r="AQ930" i="4"/>
  <c r="AP930" i="4"/>
  <c r="AO930" i="4"/>
  <c r="AN930" i="4"/>
  <c r="AM930" i="4"/>
  <c r="AQ929" i="4"/>
  <c r="AP929" i="4"/>
  <c r="AO929" i="4"/>
  <c r="AN929" i="4"/>
  <c r="AM929" i="4"/>
  <c r="AQ928" i="4"/>
  <c r="AP928" i="4"/>
  <c r="AO928" i="4"/>
  <c r="AN928" i="4"/>
  <c r="AM928" i="4"/>
  <c r="AQ927" i="4"/>
  <c r="AP927" i="4"/>
  <c r="AO927" i="4"/>
  <c r="AN927" i="4"/>
  <c r="AM927" i="4"/>
  <c r="AQ926" i="4"/>
  <c r="AP926" i="4"/>
  <c r="AO926" i="4"/>
  <c r="AN926" i="4"/>
  <c r="AM926" i="4"/>
  <c r="AQ925" i="4"/>
  <c r="AP925" i="4"/>
  <c r="AO925" i="4"/>
  <c r="AN925" i="4"/>
  <c r="AM925" i="4"/>
  <c r="AQ924" i="4"/>
  <c r="AP924" i="4"/>
  <c r="AO924" i="4"/>
  <c r="AN924" i="4"/>
  <c r="AM924" i="4"/>
  <c r="AQ923" i="4"/>
  <c r="AP923" i="4"/>
  <c r="AO923" i="4"/>
  <c r="AN923" i="4"/>
  <c r="AM923" i="4"/>
  <c r="AQ922" i="4"/>
  <c r="AP922" i="4"/>
  <c r="AO922" i="4"/>
  <c r="AN922" i="4"/>
  <c r="AM922" i="4"/>
  <c r="AQ921" i="4"/>
  <c r="AP921" i="4"/>
  <c r="AO921" i="4"/>
  <c r="AN921" i="4"/>
  <c r="AM921" i="4"/>
  <c r="AQ920" i="4"/>
  <c r="AP920" i="4"/>
  <c r="AO920" i="4"/>
  <c r="AN920" i="4"/>
  <c r="AM920" i="4"/>
  <c r="AQ919" i="4"/>
  <c r="AP919" i="4"/>
  <c r="AO919" i="4"/>
  <c r="AN919" i="4"/>
  <c r="AM919" i="4"/>
  <c r="AQ918" i="4"/>
  <c r="AP918" i="4"/>
  <c r="AO918" i="4"/>
  <c r="AN918" i="4"/>
  <c r="AM918" i="4"/>
  <c r="AQ917" i="4"/>
  <c r="AP917" i="4"/>
  <c r="AO917" i="4"/>
  <c r="AN917" i="4"/>
  <c r="AM917" i="4"/>
  <c r="AQ916" i="4"/>
  <c r="AP916" i="4"/>
  <c r="AO916" i="4"/>
  <c r="AN916" i="4"/>
  <c r="AM916" i="4"/>
  <c r="AQ915" i="4"/>
  <c r="AP915" i="4"/>
  <c r="AO915" i="4"/>
  <c r="AN915" i="4"/>
  <c r="AM915" i="4"/>
  <c r="AQ914" i="4"/>
  <c r="AP914" i="4"/>
  <c r="AO914" i="4"/>
  <c r="AN914" i="4"/>
  <c r="AM914" i="4"/>
  <c r="AQ913" i="4"/>
  <c r="AP913" i="4"/>
  <c r="AO913" i="4"/>
  <c r="AN913" i="4"/>
  <c r="AM913" i="4"/>
  <c r="AQ912" i="4"/>
  <c r="AP912" i="4"/>
  <c r="AO912" i="4"/>
  <c r="AN912" i="4"/>
  <c r="AM912" i="4"/>
  <c r="AQ911" i="4"/>
  <c r="AP911" i="4"/>
  <c r="AO911" i="4"/>
  <c r="AN911" i="4"/>
  <c r="AM911" i="4"/>
  <c r="AQ910" i="4"/>
  <c r="AP910" i="4"/>
  <c r="AO910" i="4"/>
  <c r="AN910" i="4"/>
  <c r="AM910" i="4"/>
  <c r="AQ909" i="4"/>
  <c r="AP909" i="4"/>
  <c r="AO909" i="4"/>
  <c r="AN909" i="4"/>
  <c r="AM909" i="4"/>
  <c r="AQ908" i="4"/>
  <c r="AP908" i="4"/>
  <c r="AO908" i="4"/>
  <c r="AN908" i="4"/>
  <c r="AM908" i="4"/>
  <c r="AQ907" i="4"/>
  <c r="AP907" i="4"/>
  <c r="AO907" i="4"/>
  <c r="AN907" i="4"/>
  <c r="AM907" i="4"/>
  <c r="AQ906" i="4"/>
  <c r="AP906" i="4"/>
  <c r="AO906" i="4"/>
  <c r="AN906" i="4"/>
  <c r="AM906" i="4"/>
  <c r="AQ905" i="4"/>
  <c r="AP905" i="4"/>
  <c r="AO905" i="4"/>
  <c r="AN905" i="4"/>
  <c r="AM905" i="4"/>
  <c r="AQ904" i="4"/>
  <c r="AP904" i="4"/>
  <c r="AO904" i="4"/>
  <c r="AN904" i="4"/>
  <c r="AM904" i="4"/>
  <c r="AQ903" i="4"/>
  <c r="AP903" i="4"/>
  <c r="AO903" i="4"/>
  <c r="AN903" i="4"/>
  <c r="AM903" i="4"/>
  <c r="AQ902" i="4"/>
  <c r="AP902" i="4"/>
  <c r="AO902" i="4"/>
  <c r="AN902" i="4"/>
  <c r="AM902" i="4"/>
  <c r="AQ901" i="4"/>
  <c r="AP901" i="4"/>
  <c r="AO901" i="4"/>
  <c r="AN901" i="4"/>
  <c r="AM901" i="4"/>
  <c r="AQ900" i="4"/>
  <c r="AP900" i="4"/>
  <c r="AO900" i="4"/>
  <c r="AN900" i="4"/>
  <c r="AM900" i="4"/>
  <c r="AQ899" i="4"/>
  <c r="AP899" i="4"/>
  <c r="AO899" i="4"/>
  <c r="AN899" i="4"/>
  <c r="AM899" i="4"/>
  <c r="AQ898" i="4"/>
  <c r="AP898" i="4"/>
  <c r="AO898" i="4"/>
  <c r="AN898" i="4"/>
  <c r="AM898" i="4"/>
  <c r="AQ897" i="4"/>
  <c r="AP897" i="4"/>
  <c r="AO897" i="4"/>
  <c r="AN897" i="4"/>
  <c r="AM897" i="4"/>
  <c r="AQ896" i="4"/>
  <c r="AP896" i="4"/>
  <c r="AO896" i="4"/>
  <c r="AN896" i="4"/>
  <c r="AM896" i="4"/>
  <c r="AQ895" i="4"/>
  <c r="AP895" i="4"/>
  <c r="AO895" i="4"/>
  <c r="AN895" i="4"/>
  <c r="AM895" i="4"/>
  <c r="AQ894" i="4"/>
  <c r="AP894" i="4"/>
  <c r="AO894" i="4"/>
  <c r="AN894" i="4"/>
  <c r="AM894" i="4"/>
  <c r="AQ893" i="4"/>
  <c r="AP893" i="4"/>
  <c r="AO893" i="4"/>
  <c r="AN893" i="4"/>
  <c r="AM893" i="4"/>
  <c r="AQ892" i="4"/>
  <c r="AP892" i="4"/>
  <c r="AO892" i="4"/>
  <c r="AN892" i="4"/>
  <c r="AM892" i="4"/>
  <c r="AQ891" i="4"/>
  <c r="AP891" i="4"/>
  <c r="AO891" i="4"/>
  <c r="AN891" i="4"/>
  <c r="AM891" i="4"/>
  <c r="AQ890" i="4"/>
  <c r="AP890" i="4"/>
  <c r="AO890" i="4"/>
  <c r="AN890" i="4"/>
  <c r="AM890" i="4"/>
  <c r="AQ889" i="4"/>
  <c r="AP889" i="4"/>
  <c r="AO889" i="4"/>
  <c r="AN889" i="4"/>
  <c r="AM889" i="4"/>
  <c r="AQ888" i="4"/>
  <c r="AP888" i="4"/>
  <c r="AO888" i="4"/>
  <c r="AN888" i="4"/>
  <c r="AM888" i="4"/>
  <c r="AQ887" i="4"/>
  <c r="AP887" i="4"/>
  <c r="AO887" i="4"/>
  <c r="AN887" i="4"/>
  <c r="AM887" i="4"/>
  <c r="AQ886" i="4"/>
  <c r="AP886" i="4"/>
  <c r="AO886" i="4"/>
  <c r="AN886" i="4"/>
  <c r="AM886" i="4"/>
  <c r="AQ885" i="4"/>
  <c r="AP885" i="4"/>
  <c r="AO885" i="4"/>
  <c r="AN885" i="4"/>
  <c r="AM885" i="4"/>
  <c r="AQ884" i="4"/>
  <c r="AP884" i="4"/>
  <c r="AO884" i="4"/>
  <c r="AN884" i="4"/>
  <c r="AM884" i="4"/>
  <c r="AQ883" i="4"/>
  <c r="AP883" i="4"/>
  <c r="AO883" i="4"/>
  <c r="AN883" i="4"/>
  <c r="AM883" i="4"/>
  <c r="AQ882" i="4"/>
  <c r="AP882" i="4"/>
  <c r="AO882" i="4"/>
  <c r="AN882" i="4"/>
  <c r="AM882" i="4"/>
  <c r="AQ881" i="4"/>
  <c r="AP881" i="4"/>
  <c r="AO881" i="4"/>
  <c r="AN881" i="4"/>
  <c r="AM881" i="4"/>
  <c r="AQ880" i="4"/>
  <c r="AP880" i="4"/>
  <c r="AO880" i="4"/>
  <c r="AN880" i="4"/>
  <c r="AM880" i="4"/>
  <c r="AQ879" i="4"/>
  <c r="AP879" i="4"/>
  <c r="AO879" i="4"/>
  <c r="AN879" i="4"/>
  <c r="AM879" i="4"/>
  <c r="AQ878" i="4"/>
  <c r="AP878" i="4"/>
  <c r="AO878" i="4"/>
  <c r="AN878" i="4"/>
  <c r="AM878" i="4"/>
  <c r="AQ877" i="4"/>
  <c r="AP877" i="4"/>
  <c r="AO877" i="4"/>
  <c r="AN877" i="4"/>
  <c r="AM877" i="4"/>
  <c r="AQ876" i="4"/>
  <c r="AP876" i="4"/>
  <c r="AO876" i="4"/>
  <c r="AN876" i="4"/>
  <c r="AM876" i="4"/>
  <c r="AQ875" i="4"/>
  <c r="AP875" i="4"/>
  <c r="AO875" i="4"/>
  <c r="AN875" i="4"/>
  <c r="AM875" i="4"/>
  <c r="AQ874" i="4"/>
  <c r="AP874" i="4"/>
  <c r="AO874" i="4"/>
  <c r="AN874" i="4"/>
  <c r="AM874" i="4"/>
  <c r="AQ873" i="4"/>
  <c r="AP873" i="4"/>
  <c r="AO873" i="4"/>
  <c r="AN873" i="4"/>
  <c r="AM873" i="4"/>
  <c r="AQ872" i="4"/>
  <c r="AP872" i="4"/>
  <c r="AO872" i="4"/>
  <c r="AN872" i="4"/>
  <c r="AM872" i="4"/>
  <c r="AQ871" i="4"/>
  <c r="AP871" i="4"/>
  <c r="AO871" i="4"/>
  <c r="AN871" i="4"/>
  <c r="AM871" i="4"/>
  <c r="AQ870" i="4"/>
  <c r="AP870" i="4"/>
  <c r="AO870" i="4"/>
  <c r="AN870" i="4"/>
  <c r="AM870" i="4"/>
  <c r="AQ869" i="4"/>
  <c r="AP869" i="4"/>
  <c r="AO869" i="4"/>
  <c r="AN869" i="4"/>
  <c r="AM869" i="4"/>
  <c r="AQ868" i="4"/>
  <c r="AP868" i="4"/>
  <c r="AO868" i="4"/>
  <c r="AN868" i="4"/>
  <c r="AM868" i="4"/>
  <c r="AQ867" i="4"/>
  <c r="AP867" i="4"/>
  <c r="AO867" i="4"/>
  <c r="AN867" i="4"/>
  <c r="AM867" i="4"/>
  <c r="AQ866" i="4"/>
  <c r="AP866" i="4"/>
  <c r="AO866" i="4"/>
  <c r="AN866" i="4"/>
  <c r="AM866" i="4"/>
  <c r="AQ865" i="4"/>
  <c r="AP865" i="4"/>
  <c r="AO865" i="4"/>
  <c r="AN865" i="4"/>
  <c r="AM865" i="4"/>
  <c r="AQ864" i="4"/>
  <c r="AP864" i="4"/>
  <c r="AO864" i="4"/>
  <c r="AN864" i="4"/>
  <c r="AM864" i="4"/>
  <c r="AQ863" i="4"/>
  <c r="AP863" i="4"/>
  <c r="AO863" i="4"/>
  <c r="AN863" i="4"/>
  <c r="AM863" i="4"/>
  <c r="AQ862" i="4"/>
  <c r="AP862" i="4"/>
  <c r="AO862" i="4"/>
  <c r="AN862" i="4"/>
  <c r="AM862" i="4"/>
  <c r="AQ861" i="4"/>
  <c r="AP861" i="4"/>
  <c r="AO861" i="4"/>
  <c r="AN861" i="4"/>
  <c r="AM861" i="4"/>
  <c r="AQ860" i="4"/>
  <c r="AP860" i="4"/>
  <c r="AO860" i="4"/>
  <c r="AN860" i="4"/>
  <c r="AM860" i="4"/>
  <c r="AQ859" i="4"/>
  <c r="AP859" i="4"/>
  <c r="AO859" i="4"/>
  <c r="AN859" i="4"/>
  <c r="AM859" i="4"/>
  <c r="AQ858" i="4"/>
  <c r="AP858" i="4"/>
  <c r="AO858" i="4"/>
  <c r="AN858" i="4"/>
  <c r="AM858" i="4"/>
  <c r="AQ857" i="4"/>
  <c r="AP857" i="4"/>
  <c r="AO857" i="4"/>
  <c r="AN857" i="4"/>
  <c r="AM857" i="4"/>
  <c r="AQ856" i="4"/>
  <c r="AP856" i="4"/>
  <c r="AO856" i="4"/>
  <c r="AN856" i="4"/>
  <c r="AM856" i="4"/>
  <c r="AQ855" i="4"/>
  <c r="AP855" i="4"/>
  <c r="AO855" i="4"/>
  <c r="AN855" i="4"/>
  <c r="AM855" i="4"/>
  <c r="AQ854" i="4"/>
  <c r="AP854" i="4"/>
  <c r="AO854" i="4"/>
  <c r="AN854" i="4"/>
  <c r="AM854" i="4"/>
  <c r="AQ853" i="4"/>
  <c r="AP853" i="4"/>
  <c r="AO853" i="4"/>
  <c r="AN853" i="4"/>
  <c r="AM853" i="4"/>
  <c r="AQ852" i="4"/>
  <c r="AP852" i="4"/>
  <c r="AO852" i="4"/>
  <c r="AN852" i="4"/>
  <c r="AM852" i="4"/>
  <c r="AQ851" i="4"/>
  <c r="AP851" i="4"/>
  <c r="AO851" i="4"/>
  <c r="AN851" i="4"/>
  <c r="AM851" i="4"/>
  <c r="AQ850" i="4"/>
  <c r="AP850" i="4"/>
  <c r="AO850" i="4"/>
  <c r="AN850" i="4"/>
  <c r="AM850" i="4"/>
  <c r="AQ849" i="4"/>
  <c r="AP849" i="4"/>
  <c r="AO849" i="4"/>
  <c r="AN849" i="4"/>
  <c r="AM849" i="4"/>
  <c r="AQ848" i="4"/>
  <c r="AP848" i="4"/>
  <c r="AO848" i="4"/>
  <c r="AN848" i="4"/>
  <c r="AM848" i="4"/>
  <c r="AQ847" i="4"/>
  <c r="AP847" i="4"/>
  <c r="AO847" i="4"/>
  <c r="AN847" i="4"/>
  <c r="AM847" i="4"/>
  <c r="AQ846" i="4"/>
  <c r="AP846" i="4"/>
  <c r="AO846" i="4"/>
  <c r="AN846" i="4"/>
  <c r="AM846" i="4"/>
  <c r="AQ845" i="4"/>
  <c r="AP845" i="4"/>
  <c r="AO845" i="4"/>
  <c r="AN845" i="4"/>
  <c r="AM845" i="4"/>
  <c r="AQ844" i="4"/>
  <c r="AP844" i="4"/>
  <c r="AO844" i="4"/>
  <c r="AN844" i="4"/>
  <c r="AM844" i="4"/>
  <c r="AQ843" i="4"/>
  <c r="AP843" i="4"/>
  <c r="AO843" i="4"/>
  <c r="AN843" i="4"/>
  <c r="AM843" i="4"/>
  <c r="AQ842" i="4"/>
  <c r="AP842" i="4"/>
  <c r="AO842" i="4"/>
  <c r="AN842" i="4"/>
  <c r="AM842" i="4"/>
  <c r="AQ841" i="4"/>
  <c r="AP841" i="4"/>
  <c r="AO841" i="4"/>
  <c r="AN841" i="4"/>
  <c r="AM841" i="4"/>
  <c r="AQ840" i="4"/>
  <c r="AP840" i="4"/>
  <c r="AO840" i="4"/>
  <c r="AN840" i="4"/>
  <c r="AM840" i="4"/>
  <c r="AQ839" i="4"/>
  <c r="AP839" i="4"/>
  <c r="AO839" i="4"/>
  <c r="AN839" i="4"/>
  <c r="AM839" i="4"/>
  <c r="AQ838" i="4"/>
  <c r="AP838" i="4"/>
  <c r="AO838" i="4"/>
  <c r="AN838" i="4"/>
  <c r="AM838" i="4"/>
  <c r="AQ837" i="4"/>
  <c r="AP837" i="4"/>
  <c r="AO837" i="4"/>
  <c r="AN837" i="4"/>
  <c r="AM837" i="4"/>
  <c r="AQ836" i="4"/>
  <c r="AP836" i="4"/>
  <c r="AO836" i="4"/>
  <c r="AN836" i="4"/>
  <c r="AM836" i="4"/>
  <c r="AQ835" i="4"/>
  <c r="AP835" i="4"/>
  <c r="AO835" i="4"/>
  <c r="AN835" i="4"/>
  <c r="AM835" i="4"/>
  <c r="AQ834" i="4"/>
  <c r="AP834" i="4"/>
  <c r="AO834" i="4"/>
  <c r="AN834" i="4"/>
  <c r="AM834" i="4"/>
  <c r="AQ833" i="4"/>
  <c r="AP833" i="4"/>
  <c r="AO833" i="4"/>
  <c r="AN833" i="4"/>
  <c r="AM833" i="4"/>
  <c r="AQ832" i="4"/>
  <c r="AP832" i="4"/>
  <c r="AO832" i="4"/>
  <c r="AN832" i="4"/>
  <c r="AM832" i="4"/>
  <c r="AQ831" i="4"/>
  <c r="AP831" i="4"/>
  <c r="AO831" i="4"/>
  <c r="AN831" i="4"/>
  <c r="AM831" i="4"/>
  <c r="AQ830" i="4"/>
  <c r="AP830" i="4"/>
  <c r="AO830" i="4"/>
  <c r="AN830" i="4"/>
  <c r="AM830" i="4"/>
  <c r="AQ829" i="4"/>
  <c r="AP829" i="4"/>
  <c r="AO829" i="4"/>
  <c r="AN829" i="4"/>
  <c r="AM829" i="4"/>
  <c r="AQ828" i="4"/>
  <c r="AP828" i="4"/>
  <c r="AO828" i="4"/>
  <c r="AN828" i="4"/>
  <c r="AM828" i="4"/>
  <c r="AQ827" i="4"/>
  <c r="AP827" i="4"/>
  <c r="AO827" i="4"/>
  <c r="AN827" i="4"/>
  <c r="AM827" i="4"/>
  <c r="AQ826" i="4"/>
  <c r="AP826" i="4"/>
  <c r="AO826" i="4"/>
  <c r="AN826" i="4"/>
  <c r="AM826" i="4"/>
  <c r="AQ825" i="4"/>
  <c r="AP825" i="4"/>
  <c r="AO825" i="4"/>
  <c r="AN825" i="4"/>
  <c r="AM825" i="4"/>
  <c r="AQ824" i="4"/>
  <c r="AP824" i="4"/>
  <c r="AO824" i="4"/>
  <c r="AN824" i="4"/>
  <c r="AM824" i="4"/>
  <c r="AQ823" i="4"/>
  <c r="AP823" i="4"/>
  <c r="AO823" i="4"/>
  <c r="AN823" i="4"/>
  <c r="AM823" i="4"/>
  <c r="AQ822" i="4"/>
  <c r="AP822" i="4"/>
  <c r="AO822" i="4"/>
  <c r="AN822" i="4"/>
  <c r="AM822" i="4"/>
  <c r="AQ821" i="4"/>
  <c r="AP821" i="4"/>
  <c r="AO821" i="4"/>
  <c r="AN821" i="4"/>
  <c r="AM821" i="4"/>
  <c r="AQ820" i="4"/>
  <c r="AP820" i="4"/>
  <c r="AO820" i="4"/>
  <c r="AN820" i="4"/>
  <c r="AM820" i="4"/>
  <c r="AQ819" i="4"/>
  <c r="AP819" i="4"/>
  <c r="AO819" i="4"/>
  <c r="AN819" i="4"/>
  <c r="AM819" i="4"/>
  <c r="AQ818" i="4"/>
  <c r="AP818" i="4"/>
  <c r="AO818" i="4"/>
  <c r="AN818" i="4"/>
  <c r="AM818" i="4"/>
  <c r="AQ817" i="4"/>
  <c r="AP817" i="4"/>
  <c r="AO817" i="4"/>
  <c r="AN817" i="4"/>
  <c r="AM817" i="4"/>
  <c r="AQ816" i="4"/>
  <c r="AP816" i="4"/>
  <c r="AO816" i="4"/>
  <c r="AN816" i="4"/>
  <c r="AM816" i="4"/>
  <c r="AQ815" i="4"/>
  <c r="AP815" i="4"/>
  <c r="AO815" i="4"/>
  <c r="AN815" i="4"/>
  <c r="AM815" i="4"/>
  <c r="AQ814" i="4"/>
  <c r="AP814" i="4"/>
  <c r="AO814" i="4"/>
  <c r="AN814" i="4"/>
  <c r="AM814" i="4"/>
  <c r="AQ813" i="4"/>
  <c r="AP813" i="4"/>
  <c r="AO813" i="4"/>
  <c r="AN813" i="4"/>
  <c r="AM813" i="4"/>
  <c r="AQ812" i="4"/>
  <c r="AP812" i="4"/>
  <c r="AO812" i="4"/>
  <c r="AN812" i="4"/>
  <c r="AM812" i="4"/>
  <c r="AQ811" i="4"/>
  <c r="AP811" i="4"/>
  <c r="AO811" i="4"/>
  <c r="AN811" i="4"/>
  <c r="AM811" i="4"/>
  <c r="AQ810" i="4"/>
  <c r="AP810" i="4"/>
  <c r="AO810" i="4"/>
  <c r="AN810" i="4"/>
  <c r="AM810" i="4"/>
  <c r="AQ809" i="4"/>
  <c r="AP809" i="4"/>
  <c r="AO809" i="4"/>
  <c r="AN809" i="4"/>
  <c r="AM809" i="4"/>
  <c r="AQ808" i="4"/>
  <c r="AP808" i="4"/>
  <c r="AO808" i="4"/>
  <c r="AN808" i="4"/>
  <c r="AM808" i="4"/>
  <c r="AQ807" i="4"/>
  <c r="AP807" i="4"/>
  <c r="AO807" i="4"/>
  <c r="AN807" i="4"/>
  <c r="AM807" i="4"/>
  <c r="AQ806" i="4"/>
  <c r="AP806" i="4"/>
  <c r="AO806" i="4"/>
  <c r="AN806" i="4"/>
  <c r="AM806" i="4"/>
  <c r="AQ805" i="4"/>
  <c r="AP805" i="4"/>
  <c r="AO805" i="4"/>
  <c r="AN805" i="4"/>
  <c r="AM805" i="4"/>
  <c r="AQ804" i="4"/>
  <c r="AP804" i="4"/>
  <c r="AO804" i="4"/>
  <c r="AN804" i="4"/>
  <c r="AM804" i="4"/>
  <c r="AQ803" i="4"/>
  <c r="AP803" i="4"/>
  <c r="AO803" i="4"/>
  <c r="AN803" i="4"/>
  <c r="AM803" i="4"/>
  <c r="AQ802" i="4"/>
  <c r="AP802" i="4"/>
  <c r="AO802" i="4"/>
  <c r="AN802" i="4"/>
  <c r="AM802" i="4"/>
  <c r="AQ801" i="4"/>
  <c r="AP801" i="4"/>
  <c r="AO801" i="4"/>
  <c r="AN801" i="4"/>
  <c r="AM801" i="4"/>
  <c r="AQ800" i="4"/>
  <c r="AP800" i="4"/>
  <c r="AO800" i="4"/>
  <c r="AN800" i="4"/>
  <c r="AM800" i="4"/>
  <c r="AQ799" i="4"/>
  <c r="AP799" i="4"/>
  <c r="AO799" i="4"/>
  <c r="AN799" i="4"/>
  <c r="AM799" i="4"/>
  <c r="AQ798" i="4"/>
  <c r="AP798" i="4"/>
  <c r="AO798" i="4"/>
  <c r="AN798" i="4"/>
  <c r="AM798" i="4"/>
  <c r="AQ797" i="4"/>
  <c r="AP797" i="4"/>
  <c r="AO797" i="4"/>
  <c r="AN797" i="4"/>
  <c r="AM797" i="4"/>
  <c r="AQ796" i="4"/>
  <c r="AP796" i="4"/>
  <c r="AO796" i="4"/>
  <c r="AN796" i="4"/>
  <c r="AM796" i="4"/>
  <c r="AQ795" i="4"/>
  <c r="AP795" i="4"/>
  <c r="AO795" i="4"/>
  <c r="AN795" i="4"/>
  <c r="AM795" i="4"/>
  <c r="AQ794" i="4"/>
  <c r="AP794" i="4"/>
  <c r="AO794" i="4"/>
  <c r="AN794" i="4"/>
  <c r="AM794" i="4"/>
  <c r="AQ793" i="4"/>
  <c r="AP793" i="4"/>
  <c r="AO793" i="4"/>
  <c r="AN793" i="4"/>
  <c r="AM793" i="4"/>
  <c r="AQ792" i="4"/>
  <c r="AP792" i="4"/>
  <c r="AO792" i="4"/>
  <c r="AN792" i="4"/>
  <c r="AM792" i="4"/>
  <c r="AQ791" i="4"/>
  <c r="AP791" i="4"/>
  <c r="AO791" i="4"/>
  <c r="AN791" i="4"/>
  <c r="AM791" i="4"/>
  <c r="AQ790" i="4"/>
  <c r="AP790" i="4"/>
  <c r="AO790" i="4"/>
  <c r="AN790" i="4"/>
  <c r="AM790" i="4"/>
  <c r="AQ789" i="4"/>
  <c r="AP789" i="4"/>
  <c r="AO789" i="4"/>
  <c r="AN789" i="4"/>
  <c r="AM789" i="4"/>
  <c r="AQ788" i="4"/>
  <c r="AP788" i="4"/>
  <c r="AO788" i="4"/>
  <c r="AN788" i="4"/>
  <c r="AM788" i="4"/>
  <c r="AQ787" i="4"/>
  <c r="AP787" i="4"/>
  <c r="AO787" i="4"/>
  <c r="AN787" i="4"/>
  <c r="AM787" i="4"/>
  <c r="AQ786" i="4"/>
  <c r="AP786" i="4"/>
  <c r="AO786" i="4"/>
  <c r="AN786" i="4"/>
  <c r="AM786" i="4"/>
  <c r="AQ785" i="4"/>
  <c r="AP785" i="4"/>
  <c r="AO785" i="4"/>
  <c r="AN785" i="4"/>
  <c r="AM785" i="4"/>
  <c r="AQ784" i="4"/>
  <c r="AP784" i="4"/>
  <c r="AO784" i="4"/>
  <c r="AN784" i="4"/>
  <c r="AM784" i="4"/>
  <c r="AQ783" i="4"/>
  <c r="AP783" i="4"/>
  <c r="AO783" i="4"/>
  <c r="AN783" i="4"/>
  <c r="AM783" i="4"/>
  <c r="AQ782" i="4"/>
  <c r="AP782" i="4"/>
  <c r="AO782" i="4"/>
  <c r="AN782" i="4"/>
  <c r="AM782" i="4"/>
  <c r="AQ781" i="4"/>
  <c r="AP781" i="4"/>
  <c r="AO781" i="4"/>
  <c r="AN781" i="4"/>
  <c r="AM781" i="4"/>
  <c r="AQ780" i="4"/>
  <c r="AP780" i="4"/>
  <c r="AO780" i="4"/>
  <c r="AN780" i="4"/>
  <c r="AM780" i="4"/>
  <c r="AQ779" i="4"/>
  <c r="AP779" i="4"/>
  <c r="AO779" i="4"/>
  <c r="AN779" i="4"/>
  <c r="AM779" i="4"/>
  <c r="AQ778" i="4"/>
  <c r="AP778" i="4"/>
  <c r="AO778" i="4"/>
  <c r="AN778" i="4"/>
  <c r="AM778" i="4"/>
  <c r="AQ777" i="4"/>
  <c r="AP777" i="4"/>
  <c r="AO777" i="4"/>
  <c r="AN777" i="4"/>
  <c r="AM777" i="4"/>
  <c r="AQ776" i="4"/>
  <c r="AP776" i="4"/>
  <c r="AO776" i="4"/>
  <c r="AN776" i="4"/>
  <c r="AM776" i="4"/>
  <c r="AQ775" i="4"/>
  <c r="AP775" i="4"/>
  <c r="AO775" i="4"/>
  <c r="AN775" i="4"/>
  <c r="AM775" i="4"/>
  <c r="AQ774" i="4"/>
  <c r="AP774" i="4"/>
  <c r="AO774" i="4"/>
  <c r="AN774" i="4"/>
  <c r="AM774" i="4"/>
  <c r="AQ773" i="4"/>
  <c r="AP773" i="4"/>
  <c r="AO773" i="4"/>
  <c r="AN773" i="4"/>
  <c r="AM773" i="4"/>
  <c r="AQ772" i="4"/>
  <c r="AP772" i="4"/>
  <c r="AO772" i="4"/>
  <c r="AN772" i="4"/>
  <c r="AM772" i="4"/>
  <c r="AQ771" i="4"/>
  <c r="AP771" i="4"/>
  <c r="AO771" i="4"/>
  <c r="AN771" i="4"/>
  <c r="AM771" i="4"/>
  <c r="AQ770" i="4"/>
  <c r="AP770" i="4"/>
  <c r="AO770" i="4"/>
  <c r="AN770" i="4"/>
  <c r="AM770" i="4"/>
  <c r="AQ769" i="4"/>
  <c r="AP769" i="4"/>
  <c r="AO769" i="4"/>
  <c r="AN769" i="4"/>
  <c r="AM769" i="4"/>
  <c r="AQ768" i="4"/>
  <c r="AP768" i="4"/>
  <c r="AO768" i="4"/>
  <c r="AN768" i="4"/>
  <c r="AM768" i="4"/>
  <c r="AQ767" i="4"/>
  <c r="AP767" i="4"/>
  <c r="AO767" i="4"/>
  <c r="AN767" i="4"/>
  <c r="AM767" i="4"/>
  <c r="AQ766" i="4"/>
  <c r="AP766" i="4"/>
  <c r="AO766" i="4"/>
  <c r="AN766" i="4"/>
  <c r="AM766" i="4"/>
  <c r="AQ765" i="4"/>
  <c r="AP765" i="4"/>
  <c r="AO765" i="4"/>
  <c r="AN765" i="4"/>
  <c r="AM765" i="4"/>
  <c r="AQ764" i="4"/>
  <c r="AP764" i="4"/>
  <c r="AO764" i="4"/>
  <c r="AN764" i="4"/>
  <c r="AM764" i="4"/>
  <c r="AQ763" i="4"/>
  <c r="AP763" i="4"/>
  <c r="AO763" i="4"/>
  <c r="AN763" i="4"/>
  <c r="AM763" i="4"/>
  <c r="AQ762" i="4"/>
  <c r="AP762" i="4"/>
  <c r="AO762" i="4"/>
  <c r="AN762" i="4"/>
  <c r="AM762" i="4"/>
  <c r="AQ761" i="4"/>
  <c r="AP761" i="4"/>
  <c r="AO761" i="4"/>
  <c r="AN761" i="4"/>
  <c r="AM761" i="4"/>
  <c r="AQ760" i="4"/>
  <c r="AP760" i="4"/>
  <c r="AO760" i="4"/>
  <c r="AN760" i="4"/>
  <c r="AM760" i="4"/>
  <c r="AQ759" i="4"/>
  <c r="AP759" i="4"/>
  <c r="AO759" i="4"/>
  <c r="AN759" i="4"/>
  <c r="AM759" i="4"/>
  <c r="AQ758" i="4"/>
  <c r="AP758" i="4"/>
  <c r="AO758" i="4"/>
  <c r="AN758" i="4"/>
  <c r="AM758" i="4"/>
  <c r="AQ757" i="4"/>
  <c r="AP757" i="4"/>
  <c r="AO757" i="4"/>
  <c r="AN757" i="4"/>
  <c r="AM757" i="4"/>
  <c r="AQ756" i="4"/>
  <c r="AP756" i="4"/>
  <c r="AO756" i="4"/>
  <c r="AN756" i="4"/>
  <c r="AM756" i="4"/>
  <c r="AQ755" i="4"/>
  <c r="AP755" i="4"/>
  <c r="AO755" i="4"/>
  <c r="AN755" i="4"/>
  <c r="AM755" i="4"/>
  <c r="AQ754" i="4"/>
  <c r="AP754" i="4"/>
  <c r="AO754" i="4"/>
  <c r="AN754" i="4"/>
  <c r="AM754" i="4"/>
  <c r="AQ753" i="4"/>
  <c r="AP753" i="4"/>
  <c r="AO753" i="4"/>
  <c r="AN753" i="4"/>
  <c r="AM753" i="4"/>
  <c r="AQ752" i="4"/>
  <c r="AP752" i="4"/>
  <c r="AO752" i="4"/>
  <c r="AN752" i="4"/>
  <c r="AM752" i="4"/>
  <c r="AQ751" i="4"/>
  <c r="AP751" i="4"/>
  <c r="AO751" i="4"/>
  <c r="AN751" i="4"/>
  <c r="AM751" i="4"/>
  <c r="AQ750" i="4"/>
  <c r="AP750" i="4"/>
  <c r="AO750" i="4"/>
  <c r="AN750" i="4"/>
  <c r="AM750" i="4"/>
  <c r="AQ749" i="4"/>
  <c r="AP749" i="4"/>
  <c r="AO749" i="4"/>
  <c r="AN749" i="4"/>
  <c r="AM749" i="4"/>
  <c r="AQ748" i="4"/>
  <c r="AP748" i="4"/>
  <c r="AO748" i="4"/>
  <c r="AN748" i="4"/>
  <c r="AM748" i="4"/>
  <c r="AQ747" i="4"/>
  <c r="AP747" i="4"/>
  <c r="AO747" i="4"/>
  <c r="AN747" i="4"/>
  <c r="AM747" i="4"/>
  <c r="AQ746" i="4"/>
  <c r="AP746" i="4"/>
  <c r="AO746" i="4"/>
  <c r="AN746" i="4"/>
  <c r="AM746" i="4"/>
  <c r="AQ745" i="4"/>
  <c r="AP745" i="4"/>
  <c r="AO745" i="4"/>
  <c r="AN745" i="4"/>
  <c r="AM745" i="4"/>
  <c r="AQ744" i="4"/>
  <c r="AP744" i="4"/>
  <c r="AO744" i="4"/>
  <c r="AN744" i="4"/>
  <c r="AM744" i="4"/>
  <c r="AQ743" i="4"/>
  <c r="AP743" i="4"/>
  <c r="AO743" i="4"/>
  <c r="AN743" i="4"/>
  <c r="AM743" i="4"/>
  <c r="AQ742" i="4"/>
  <c r="AP742" i="4"/>
  <c r="AO742" i="4"/>
  <c r="AN742" i="4"/>
  <c r="AM742" i="4"/>
  <c r="AQ741" i="4"/>
  <c r="AP741" i="4"/>
  <c r="AO741" i="4"/>
  <c r="AN741" i="4"/>
  <c r="AM741" i="4"/>
  <c r="AQ740" i="4"/>
  <c r="AP740" i="4"/>
  <c r="AO740" i="4"/>
  <c r="AN740" i="4"/>
  <c r="AM740" i="4"/>
  <c r="AQ739" i="4"/>
  <c r="AP739" i="4"/>
  <c r="AO739" i="4"/>
  <c r="AN739" i="4"/>
  <c r="AM739" i="4"/>
  <c r="AQ738" i="4"/>
  <c r="AP738" i="4"/>
  <c r="AO738" i="4"/>
  <c r="AN738" i="4"/>
  <c r="AM738" i="4"/>
  <c r="AQ737" i="4"/>
  <c r="AP737" i="4"/>
  <c r="AO737" i="4"/>
  <c r="AN737" i="4"/>
  <c r="AM737" i="4"/>
  <c r="AQ736" i="4"/>
  <c r="AP736" i="4"/>
  <c r="AO736" i="4"/>
  <c r="AN736" i="4"/>
  <c r="AM736" i="4"/>
  <c r="AQ735" i="4"/>
  <c r="AP735" i="4"/>
  <c r="AO735" i="4"/>
  <c r="AN735" i="4"/>
  <c r="AM735" i="4"/>
  <c r="AQ734" i="4"/>
  <c r="AP734" i="4"/>
  <c r="AO734" i="4"/>
  <c r="AN734" i="4"/>
  <c r="AM734" i="4"/>
  <c r="AQ733" i="4"/>
  <c r="AP733" i="4"/>
  <c r="AO733" i="4"/>
  <c r="AN733" i="4"/>
  <c r="AM733" i="4"/>
  <c r="AQ732" i="4"/>
  <c r="AP732" i="4"/>
  <c r="AO732" i="4"/>
  <c r="AN732" i="4"/>
  <c r="AM732" i="4"/>
  <c r="AQ731" i="4"/>
  <c r="AP731" i="4"/>
  <c r="AO731" i="4"/>
  <c r="AN731" i="4"/>
  <c r="AM731" i="4"/>
  <c r="AQ730" i="4"/>
  <c r="AP730" i="4"/>
  <c r="AO730" i="4"/>
  <c r="AN730" i="4"/>
  <c r="AM730" i="4"/>
  <c r="AQ729" i="4"/>
  <c r="AP729" i="4"/>
  <c r="AO729" i="4"/>
  <c r="AN729" i="4"/>
  <c r="AM729" i="4"/>
  <c r="AQ728" i="4"/>
  <c r="AP728" i="4"/>
  <c r="AO728" i="4"/>
  <c r="AN728" i="4"/>
  <c r="AM728" i="4"/>
  <c r="AQ727" i="4"/>
  <c r="AP727" i="4"/>
  <c r="AO727" i="4"/>
  <c r="AN727" i="4"/>
  <c r="AM727" i="4"/>
  <c r="AQ726" i="4"/>
  <c r="AP726" i="4"/>
  <c r="AO726" i="4"/>
  <c r="AN726" i="4"/>
  <c r="AM726" i="4"/>
  <c r="AQ725" i="4"/>
  <c r="AP725" i="4"/>
  <c r="AO725" i="4"/>
  <c r="AN725" i="4"/>
  <c r="AM725" i="4"/>
  <c r="AQ724" i="4"/>
  <c r="AP724" i="4"/>
  <c r="AO724" i="4"/>
  <c r="AN724" i="4"/>
  <c r="AM724" i="4"/>
  <c r="AQ723" i="4"/>
  <c r="AP723" i="4"/>
  <c r="AO723" i="4"/>
  <c r="AN723" i="4"/>
  <c r="AM723" i="4"/>
  <c r="AQ722" i="4"/>
  <c r="AP722" i="4"/>
  <c r="AO722" i="4"/>
  <c r="AN722" i="4"/>
  <c r="AM722" i="4"/>
  <c r="AQ721" i="4"/>
  <c r="AP721" i="4"/>
  <c r="AO721" i="4"/>
  <c r="AN721" i="4"/>
  <c r="AM721" i="4"/>
  <c r="AQ720" i="4"/>
  <c r="AP720" i="4"/>
  <c r="AO720" i="4"/>
  <c r="AN720" i="4"/>
  <c r="AM720" i="4"/>
  <c r="AQ719" i="4"/>
  <c r="AP719" i="4"/>
  <c r="AO719" i="4"/>
  <c r="AN719" i="4"/>
  <c r="AM719" i="4"/>
  <c r="AQ718" i="4"/>
  <c r="AP718" i="4"/>
  <c r="AO718" i="4"/>
  <c r="AN718" i="4"/>
  <c r="AM718" i="4"/>
  <c r="AQ717" i="4"/>
  <c r="AP717" i="4"/>
  <c r="AO717" i="4"/>
  <c r="AN717" i="4"/>
  <c r="AM717" i="4"/>
  <c r="AQ716" i="4"/>
  <c r="AP716" i="4"/>
  <c r="AO716" i="4"/>
  <c r="AN716" i="4"/>
  <c r="AM716" i="4"/>
  <c r="AQ715" i="4"/>
  <c r="AP715" i="4"/>
  <c r="AO715" i="4"/>
  <c r="AN715" i="4"/>
  <c r="AM715" i="4"/>
  <c r="AQ714" i="4"/>
  <c r="AP714" i="4"/>
  <c r="AO714" i="4"/>
  <c r="AN714" i="4"/>
  <c r="AM714" i="4"/>
  <c r="AQ713" i="4"/>
  <c r="AP713" i="4"/>
  <c r="AO713" i="4"/>
  <c r="AN713" i="4"/>
  <c r="AM713" i="4"/>
  <c r="AQ712" i="4"/>
  <c r="AP712" i="4"/>
  <c r="AO712" i="4"/>
  <c r="AN712" i="4"/>
  <c r="AM712" i="4"/>
  <c r="AQ711" i="4"/>
  <c r="AP711" i="4"/>
  <c r="AO711" i="4"/>
  <c r="AN711" i="4"/>
  <c r="AM711" i="4"/>
  <c r="AQ710" i="4"/>
  <c r="AP710" i="4"/>
  <c r="AO710" i="4"/>
  <c r="AN710" i="4"/>
  <c r="AM710" i="4"/>
  <c r="AQ709" i="4"/>
  <c r="AP709" i="4"/>
  <c r="AO709" i="4"/>
  <c r="AN709" i="4"/>
  <c r="AM709" i="4"/>
  <c r="AQ708" i="4"/>
  <c r="AP708" i="4"/>
  <c r="AO708" i="4"/>
  <c r="AN708" i="4"/>
  <c r="AM708" i="4"/>
  <c r="AQ707" i="4"/>
  <c r="AP707" i="4"/>
  <c r="AO707" i="4"/>
  <c r="AN707" i="4"/>
  <c r="AM707" i="4"/>
  <c r="AQ706" i="4"/>
  <c r="AP706" i="4"/>
  <c r="AO706" i="4"/>
  <c r="AN706" i="4"/>
  <c r="AM706" i="4"/>
  <c r="AQ705" i="4"/>
  <c r="AP705" i="4"/>
  <c r="AO705" i="4"/>
  <c r="AN705" i="4"/>
  <c r="AM705" i="4"/>
  <c r="AQ704" i="4"/>
  <c r="AP704" i="4"/>
  <c r="AO704" i="4"/>
  <c r="AN704" i="4"/>
  <c r="AM704" i="4"/>
  <c r="AQ703" i="4"/>
  <c r="AP703" i="4"/>
  <c r="AO703" i="4"/>
  <c r="AN703" i="4"/>
  <c r="AM703" i="4"/>
  <c r="AQ702" i="4"/>
  <c r="AP702" i="4"/>
  <c r="AO702" i="4"/>
  <c r="AN702" i="4"/>
  <c r="AM702" i="4"/>
  <c r="AQ701" i="4"/>
  <c r="AP701" i="4"/>
  <c r="AO701" i="4"/>
  <c r="AN701" i="4"/>
  <c r="AM701" i="4"/>
  <c r="AQ700" i="4"/>
  <c r="AP700" i="4"/>
  <c r="AO700" i="4"/>
  <c r="AN700" i="4"/>
  <c r="AM700" i="4"/>
  <c r="AQ699" i="4"/>
  <c r="AP699" i="4"/>
  <c r="AO699" i="4"/>
  <c r="AN699" i="4"/>
  <c r="AM699" i="4"/>
  <c r="AQ698" i="4"/>
  <c r="AP698" i="4"/>
  <c r="AO698" i="4"/>
  <c r="AN698" i="4"/>
  <c r="AM698" i="4"/>
  <c r="AQ697" i="4"/>
  <c r="AP697" i="4"/>
  <c r="AO697" i="4"/>
  <c r="AN697" i="4"/>
  <c r="AM697" i="4"/>
  <c r="AQ696" i="4"/>
  <c r="AP696" i="4"/>
  <c r="AO696" i="4"/>
  <c r="AN696" i="4"/>
  <c r="AM696" i="4"/>
  <c r="AQ695" i="4"/>
  <c r="AP695" i="4"/>
  <c r="AO695" i="4"/>
  <c r="AN695" i="4"/>
  <c r="AM695" i="4"/>
  <c r="AQ694" i="4"/>
  <c r="AP694" i="4"/>
  <c r="AO694" i="4"/>
  <c r="AN694" i="4"/>
  <c r="AM694" i="4"/>
  <c r="AQ693" i="4"/>
  <c r="AP693" i="4"/>
  <c r="AO693" i="4"/>
  <c r="AN693" i="4"/>
  <c r="AM693" i="4"/>
  <c r="AQ692" i="4"/>
  <c r="AP692" i="4"/>
  <c r="AO692" i="4"/>
  <c r="AN692" i="4"/>
  <c r="AM692" i="4"/>
  <c r="AQ691" i="4"/>
  <c r="AP691" i="4"/>
  <c r="AO691" i="4"/>
  <c r="AN691" i="4"/>
  <c r="AM691" i="4"/>
  <c r="AQ690" i="4"/>
  <c r="AP690" i="4"/>
  <c r="AO690" i="4"/>
  <c r="AN690" i="4"/>
  <c r="AM690" i="4"/>
  <c r="AQ689" i="4"/>
  <c r="AP689" i="4"/>
  <c r="AO689" i="4"/>
  <c r="AN689" i="4"/>
  <c r="AM689" i="4"/>
  <c r="AQ688" i="4"/>
  <c r="AP688" i="4"/>
  <c r="AO688" i="4"/>
  <c r="AN688" i="4"/>
  <c r="AM688" i="4"/>
  <c r="AQ687" i="4"/>
  <c r="AP687" i="4"/>
  <c r="AO687" i="4"/>
  <c r="AN687" i="4"/>
  <c r="AM687" i="4"/>
  <c r="AQ686" i="4"/>
  <c r="AP686" i="4"/>
  <c r="AO686" i="4"/>
  <c r="AN686" i="4"/>
  <c r="AM686" i="4"/>
  <c r="AQ685" i="4"/>
  <c r="AP685" i="4"/>
  <c r="AO685" i="4"/>
  <c r="AN685" i="4"/>
  <c r="AM685" i="4"/>
  <c r="AQ684" i="4"/>
  <c r="AP684" i="4"/>
  <c r="AO684" i="4"/>
  <c r="AN684" i="4"/>
  <c r="AM684" i="4"/>
  <c r="AQ683" i="4"/>
  <c r="AP683" i="4"/>
  <c r="AO683" i="4"/>
  <c r="AN683" i="4"/>
  <c r="AM683" i="4"/>
  <c r="AQ682" i="4"/>
  <c r="AP682" i="4"/>
  <c r="AO682" i="4"/>
  <c r="AN682" i="4"/>
  <c r="AM682" i="4"/>
  <c r="AQ681" i="4"/>
  <c r="AP681" i="4"/>
  <c r="AO681" i="4"/>
  <c r="AN681" i="4"/>
  <c r="AM681" i="4"/>
  <c r="AQ680" i="4"/>
  <c r="AP680" i="4"/>
  <c r="AO680" i="4"/>
  <c r="AN680" i="4"/>
  <c r="AM680" i="4"/>
  <c r="AQ679" i="4"/>
  <c r="AP679" i="4"/>
  <c r="AO679" i="4"/>
  <c r="AN679" i="4"/>
  <c r="AM679" i="4"/>
  <c r="AQ678" i="4"/>
  <c r="AP678" i="4"/>
  <c r="AO678" i="4"/>
  <c r="AN678" i="4"/>
  <c r="AM678" i="4"/>
  <c r="AQ677" i="4"/>
  <c r="AP677" i="4"/>
  <c r="AO677" i="4"/>
  <c r="AN677" i="4"/>
  <c r="AM677" i="4"/>
  <c r="AQ676" i="4"/>
  <c r="AP676" i="4"/>
  <c r="AO676" i="4"/>
  <c r="AN676" i="4"/>
  <c r="AM676" i="4"/>
  <c r="AQ675" i="4"/>
  <c r="AP675" i="4"/>
  <c r="AO675" i="4"/>
  <c r="AN675" i="4"/>
  <c r="AM675" i="4"/>
  <c r="AQ674" i="4"/>
  <c r="AP674" i="4"/>
  <c r="AO674" i="4"/>
  <c r="AN674" i="4"/>
  <c r="AM674" i="4"/>
  <c r="AQ673" i="4"/>
  <c r="AP673" i="4"/>
  <c r="AO673" i="4"/>
  <c r="AN673" i="4"/>
  <c r="AM673" i="4"/>
  <c r="AQ672" i="4"/>
  <c r="AP672" i="4"/>
  <c r="AO672" i="4"/>
  <c r="AN672" i="4"/>
  <c r="AM672" i="4"/>
  <c r="AQ671" i="4"/>
  <c r="AP671" i="4"/>
  <c r="AO671" i="4"/>
  <c r="AN671" i="4"/>
  <c r="AM671" i="4"/>
  <c r="AQ670" i="4"/>
  <c r="AP670" i="4"/>
  <c r="AO670" i="4"/>
  <c r="AN670" i="4"/>
  <c r="AM670" i="4"/>
  <c r="AQ669" i="4"/>
  <c r="AP669" i="4"/>
  <c r="AO669" i="4"/>
  <c r="AN669" i="4"/>
  <c r="AM669" i="4"/>
  <c r="AQ668" i="4"/>
  <c r="AP668" i="4"/>
  <c r="AO668" i="4"/>
  <c r="AN668" i="4"/>
  <c r="AM668" i="4"/>
  <c r="AQ667" i="4"/>
  <c r="AP667" i="4"/>
  <c r="AO667" i="4"/>
  <c r="AN667" i="4"/>
  <c r="AM667" i="4"/>
  <c r="AQ666" i="4"/>
  <c r="AP666" i="4"/>
  <c r="AO666" i="4"/>
  <c r="AN666" i="4"/>
  <c r="AM666" i="4"/>
  <c r="AQ665" i="4"/>
  <c r="AP665" i="4"/>
  <c r="AO665" i="4"/>
  <c r="AN665" i="4"/>
  <c r="AM665" i="4"/>
  <c r="AQ664" i="4"/>
  <c r="AP664" i="4"/>
  <c r="AO664" i="4"/>
  <c r="AN664" i="4"/>
  <c r="AM664" i="4"/>
  <c r="AQ663" i="4"/>
  <c r="AP663" i="4"/>
  <c r="AO663" i="4"/>
  <c r="AN663" i="4"/>
  <c r="AM663" i="4"/>
  <c r="AQ662" i="4"/>
  <c r="AP662" i="4"/>
  <c r="AO662" i="4"/>
  <c r="AN662" i="4"/>
  <c r="AM662" i="4"/>
  <c r="AQ661" i="4"/>
  <c r="AP661" i="4"/>
  <c r="AO661" i="4"/>
  <c r="AN661" i="4"/>
  <c r="AM661" i="4"/>
  <c r="AQ660" i="4"/>
  <c r="AP660" i="4"/>
  <c r="AO660" i="4"/>
  <c r="AN660" i="4"/>
  <c r="AM660" i="4"/>
  <c r="AQ659" i="4"/>
  <c r="AP659" i="4"/>
  <c r="AO659" i="4"/>
  <c r="AN659" i="4"/>
  <c r="AM659" i="4"/>
  <c r="AQ658" i="4"/>
  <c r="AP658" i="4"/>
  <c r="AO658" i="4"/>
  <c r="AN658" i="4"/>
  <c r="AM658" i="4"/>
  <c r="AQ657" i="4"/>
  <c r="AP657" i="4"/>
  <c r="AO657" i="4"/>
  <c r="AN657" i="4"/>
  <c r="AM657" i="4"/>
  <c r="AQ656" i="4"/>
  <c r="AP656" i="4"/>
  <c r="AO656" i="4"/>
  <c r="AN656" i="4"/>
  <c r="AM656" i="4"/>
  <c r="AQ655" i="4"/>
  <c r="AP655" i="4"/>
  <c r="AO655" i="4"/>
  <c r="AN655" i="4"/>
  <c r="AM655" i="4"/>
  <c r="AQ654" i="4"/>
  <c r="AP654" i="4"/>
  <c r="AO654" i="4"/>
  <c r="AN654" i="4"/>
  <c r="AM654" i="4"/>
  <c r="AQ653" i="4"/>
  <c r="AP653" i="4"/>
  <c r="AO653" i="4"/>
  <c r="AN653" i="4"/>
  <c r="AM653" i="4"/>
  <c r="AQ652" i="4"/>
  <c r="AP652" i="4"/>
  <c r="AO652" i="4"/>
  <c r="AN652" i="4"/>
  <c r="AM652" i="4"/>
  <c r="AQ651" i="4"/>
  <c r="AP651" i="4"/>
  <c r="AO651" i="4"/>
  <c r="AN651" i="4"/>
  <c r="AM651" i="4"/>
  <c r="AQ650" i="4"/>
  <c r="AP650" i="4"/>
  <c r="AO650" i="4"/>
  <c r="AN650" i="4"/>
  <c r="AM650" i="4"/>
  <c r="AQ649" i="4"/>
  <c r="AP649" i="4"/>
  <c r="AO649" i="4"/>
  <c r="AN649" i="4"/>
  <c r="AM649" i="4"/>
  <c r="AQ648" i="4"/>
  <c r="AP648" i="4"/>
  <c r="AO648" i="4"/>
  <c r="AN648" i="4"/>
  <c r="AM648" i="4"/>
  <c r="AQ647" i="4"/>
  <c r="AP647" i="4"/>
  <c r="AO647" i="4"/>
  <c r="AN647" i="4"/>
  <c r="AM647" i="4"/>
  <c r="AQ646" i="4"/>
  <c r="AP646" i="4"/>
  <c r="AO646" i="4"/>
  <c r="AN646" i="4"/>
  <c r="AM646" i="4"/>
  <c r="AQ645" i="4"/>
  <c r="AP645" i="4"/>
  <c r="AO645" i="4"/>
  <c r="AN645" i="4"/>
  <c r="AM645" i="4"/>
  <c r="AQ644" i="4"/>
  <c r="AP644" i="4"/>
  <c r="AO644" i="4"/>
  <c r="AN644" i="4"/>
  <c r="AM644" i="4"/>
  <c r="AQ643" i="4"/>
  <c r="AP643" i="4"/>
  <c r="AO643" i="4"/>
  <c r="AN643" i="4"/>
  <c r="AM643" i="4"/>
  <c r="AQ642" i="4"/>
  <c r="AP642" i="4"/>
  <c r="AO642" i="4"/>
  <c r="AN642" i="4"/>
  <c r="AM642" i="4"/>
  <c r="AQ641" i="4"/>
  <c r="AP641" i="4"/>
  <c r="AO641" i="4"/>
  <c r="AN641" i="4"/>
  <c r="AM641" i="4"/>
  <c r="AQ640" i="4"/>
  <c r="AP640" i="4"/>
  <c r="AO640" i="4"/>
  <c r="AN640" i="4"/>
  <c r="AM640" i="4"/>
  <c r="AQ639" i="4"/>
  <c r="AP639" i="4"/>
  <c r="AO639" i="4"/>
  <c r="AN639" i="4"/>
  <c r="AM639" i="4"/>
  <c r="AQ638" i="4"/>
  <c r="AP638" i="4"/>
  <c r="AO638" i="4"/>
  <c r="AN638" i="4"/>
  <c r="AM638" i="4"/>
  <c r="AQ637" i="4"/>
  <c r="AP637" i="4"/>
  <c r="AO637" i="4"/>
  <c r="AN637" i="4"/>
  <c r="AM637" i="4"/>
  <c r="AQ636" i="4"/>
  <c r="AP636" i="4"/>
  <c r="AO636" i="4"/>
  <c r="AN636" i="4"/>
  <c r="AM636" i="4"/>
  <c r="AQ635" i="4"/>
  <c r="AP635" i="4"/>
  <c r="AO635" i="4"/>
  <c r="AN635" i="4"/>
  <c r="AM635" i="4"/>
  <c r="AQ634" i="4"/>
  <c r="AP634" i="4"/>
  <c r="AO634" i="4"/>
  <c r="AN634" i="4"/>
  <c r="AM634" i="4"/>
  <c r="AQ633" i="4"/>
  <c r="AP633" i="4"/>
  <c r="AO633" i="4"/>
  <c r="AN633" i="4"/>
  <c r="AM633" i="4"/>
  <c r="AQ632" i="4"/>
  <c r="AP632" i="4"/>
  <c r="AO632" i="4"/>
  <c r="AN632" i="4"/>
  <c r="AM632" i="4"/>
  <c r="AQ631" i="4"/>
  <c r="AP631" i="4"/>
  <c r="AO631" i="4"/>
  <c r="AN631" i="4"/>
  <c r="AM631" i="4"/>
  <c r="AQ630" i="4"/>
  <c r="AP630" i="4"/>
  <c r="AO630" i="4"/>
  <c r="AN630" i="4"/>
  <c r="AM630" i="4"/>
  <c r="AQ629" i="4"/>
  <c r="AP629" i="4"/>
  <c r="AO629" i="4"/>
  <c r="AN629" i="4"/>
  <c r="AM629" i="4"/>
  <c r="AQ628" i="4"/>
  <c r="AP628" i="4"/>
  <c r="AO628" i="4"/>
  <c r="AN628" i="4"/>
  <c r="AM628" i="4"/>
  <c r="AQ627" i="4"/>
  <c r="AP627" i="4"/>
  <c r="AO627" i="4"/>
  <c r="AN627" i="4"/>
  <c r="AM627" i="4"/>
  <c r="AQ626" i="4"/>
  <c r="AP626" i="4"/>
  <c r="AO626" i="4"/>
  <c r="AN626" i="4"/>
  <c r="AM626" i="4"/>
  <c r="AQ625" i="4"/>
  <c r="AP625" i="4"/>
  <c r="AO625" i="4"/>
  <c r="AN625" i="4"/>
  <c r="AM625" i="4"/>
  <c r="AQ624" i="4"/>
  <c r="AP624" i="4"/>
  <c r="AO624" i="4"/>
  <c r="AN624" i="4"/>
  <c r="AM624" i="4"/>
  <c r="AQ623" i="4"/>
  <c r="AP623" i="4"/>
  <c r="AO623" i="4"/>
  <c r="AN623" i="4"/>
  <c r="AM623" i="4"/>
  <c r="AQ622" i="4"/>
  <c r="AP622" i="4"/>
  <c r="AO622" i="4"/>
  <c r="AN622" i="4"/>
  <c r="AM622" i="4"/>
  <c r="AQ621" i="4"/>
  <c r="AP621" i="4"/>
  <c r="AO621" i="4"/>
  <c r="AN621" i="4"/>
  <c r="AM621" i="4"/>
  <c r="AQ620" i="4"/>
  <c r="AP620" i="4"/>
  <c r="AO620" i="4"/>
  <c r="AN620" i="4"/>
  <c r="AM620" i="4"/>
  <c r="AQ619" i="4"/>
  <c r="AP619" i="4"/>
  <c r="AO619" i="4"/>
  <c r="AN619" i="4"/>
  <c r="AM619" i="4"/>
  <c r="AQ618" i="4"/>
  <c r="AP618" i="4"/>
  <c r="AO618" i="4"/>
  <c r="AN618" i="4"/>
  <c r="AM618" i="4"/>
  <c r="AQ617" i="4"/>
  <c r="AP617" i="4"/>
  <c r="AO617" i="4"/>
  <c r="AN617" i="4"/>
  <c r="AM617" i="4"/>
  <c r="AQ616" i="4"/>
  <c r="AP616" i="4"/>
  <c r="AO616" i="4"/>
  <c r="AN616" i="4"/>
  <c r="AM616" i="4"/>
  <c r="AQ615" i="4"/>
  <c r="AP615" i="4"/>
  <c r="AO615" i="4"/>
  <c r="AN615" i="4"/>
  <c r="AM615" i="4"/>
  <c r="AQ614" i="4"/>
  <c r="AP614" i="4"/>
  <c r="AO614" i="4"/>
  <c r="AN614" i="4"/>
  <c r="AM614" i="4"/>
  <c r="AQ613" i="4"/>
  <c r="AP613" i="4"/>
  <c r="AO613" i="4"/>
  <c r="AN613" i="4"/>
  <c r="AM613" i="4"/>
  <c r="AQ612" i="4"/>
  <c r="AP612" i="4"/>
  <c r="AO612" i="4"/>
  <c r="AN612" i="4"/>
  <c r="AM612" i="4"/>
  <c r="AQ611" i="4"/>
  <c r="AP611" i="4"/>
  <c r="AO611" i="4"/>
  <c r="AN611" i="4"/>
  <c r="AM611" i="4"/>
  <c r="AQ610" i="4"/>
  <c r="AP610" i="4"/>
  <c r="AO610" i="4"/>
  <c r="AN610" i="4"/>
  <c r="AM610" i="4"/>
  <c r="AQ609" i="4"/>
  <c r="AP609" i="4"/>
  <c r="AO609" i="4"/>
  <c r="AN609" i="4"/>
  <c r="AM609" i="4"/>
  <c r="AQ608" i="4"/>
  <c r="AP608" i="4"/>
  <c r="AO608" i="4"/>
  <c r="AN608" i="4"/>
  <c r="AM608" i="4"/>
  <c r="AQ607" i="4"/>
  <c r="AP607" i="4"/>
  <c r="AO607" i="4"/>
  <c r="AN607" i="4"/>
  <c r="AM607" i="4"/>
  <c r="AQ606" i="4"/>
  <c r="AP606" i="4"/>
  <c r="AO606" i="4"/>
  <c r="AN606" i="4"/>
  <c r="AM606" i="4"/>
  <c r="AQ605" i="4"/>
  <c r="AP605" i="4"/>
  <c r="AO605" i="4"/>
  <c r="AN605" i="4"/>
  <c r="AM605" i="4"/>
  <c r="AQ604" i="4"/>
  <c r="AP604" i="4"/>
  <c r="AO604" i="4"/>
  <c r="AN604" i="4"/>
  <c r="AM604" i="4"/>
  <c r="AQ603" i="4"/>
  <c r="AP603" i="4"/>
  <c r="AO603" i="4"/>
  <c r="AN603" i="4"/>
  <c r="AM603" i="4"/>
  <c r="AQ602" i="4"/>
  <c r="AP602" i="4"/>
  <c r="AO602" i="4"/>
  <c r="AN602" i="4"/>
  <c r="AM602" i="4"/>
  <c r="AQ601" i="4"/>
  <c r="AP601" i="4"/>
  <c r="AO601" i="4"/>
  <c r="AN601" i="4"/>
  <c r="AM601" i="4"/>
  <c r="AQ600" i="4"/>
  <c r="AP600" i="4"/>
  <c r="AO600" i="4"/>
  <c r="AN600" i="4"/>
  <c r="AM600" i="4"/>
  <c r="AQ599" i="4"/>
  <c r="AP599" i="4"/>
  <c r="AO599" i="4"/>
  <c r="AN599" i="4"/>
  <c r="AM599" i="4"/>
  <c r="AQ598" i="4"/>
  <c r="AP598" i="4"/>
  <c r="AO598" i="4"/>
  <c r="AN598" i="4"/>
  <c r="AM598" i="4"/>
  <c r="AQ597" i="4"/>
  <c r="AP597" i="4"/>
  <c r="AO597" i="4"/>
  <c r="AN597" i="4"/>
  <c r="AM597" i="4"/>
  <c r="AQ596" i="4"/>
  <c r="AP596" i="4"/>
  <c r="AO596" i="4"/>
  <c r="AN596" i="4"/>
  <c r="AM596" i="4"/>
  <c r="AQ595" i="4"/>
  <c r="AP595" i="4"/>
  <c r="AO595" i="4"/>
  <c r="AN595" i="4"/>
  <c r="AM595" i="4"/>
  <c r="AQ594" i="4"/>
  <c r="AP594" i="4"/>
  <c r="AO594" i="4"/>
  <c r="AN594" i="4"/>
  <c r="AM594" i="4"/>
  <c r="AQ593" i="4"/>
  <c r="AP593" i="4"/>
  <c r="AO593" i="4"/>
  <c r="AN593" i="4"/>
  <c r="AM593" i="4"/>
  <c r="AQ592" i="4"/>
  <c r="AP592" i="4"/>
  <c r="AO592" i="4"/>
  <c r="AN592" i="4"/>
  <c r="AM592" i="4"/>
  <c r="AQ591" i="4"/>
  <c r="AP591" i="4"/>
  <c r="AO591" i="4"/>
  <c r="AN591" i="4"/>
  <c r="AM591" i="4"/>
  <c r="AQ590" i="4"/>
  <c r="AP590" i="4"/>
  <c r="AO590" i="4"/>
  <c r="AN590" i="4"/>
  <c r="AM590" i="4"/>
  <c r="AQ589" i="4"/>
  <c r="AP589" i="4"/>
  <c r="AO589" i="4"/>
  <c r="AN589" i="4"/>
  <c r="AM589" i="4"/>
  <c r="AQ588" i="4"/>
  <c r="AP588" i="4"/>
  <c r="AO588" i="4"/>
  <c r="AN588" i="4"/>
  <c r="AM588" i="4"/>
  <c r="AQ587" i="4"/>
  <c r="AP587" i="4"/>
  <c r="AO587" i="4"/>
  <c r="AN587" i="4"/>
  <c r="AM587" i="4"/>
  <c r="AQ586" i="4"/>
  <c r="AP586" i="4"/>
  <c r="AO586" i="4"/>
  <c r="AN586" i="4"/>
  <c r="AM586" i="4"/>
  <c r="AQ585" i="4"/>
  <c r="AP585" i="4"/>
  <c r="AO585" i="4"/>
  <c r="AN585" i="4"/>
  <c r="AM585" i="4"/>
  <c r="AQ584" i="4"/>
  <c r="AP584" i="4"/>
  <c r="AO584" i="4"/>
  <c r="AN584" i="4"/>
  <c r="AM584" i="4"/>
  <c r="AQ583" i="4"/>
  <c r="AP583" i="4"/>
  <c r="AO583" i="4"/>
  <c r="AN583" i="4"/>
  <c r="AM583" i="4"/>
  <c r="AQ582" i="4"/>
  <c r="AP582" i="4"/>
  <c r="AO582" i="4"/>
  <c r="AN582" i="4"/>
  <c r="AM582" i="4"/>
  <c r="AQ581" i="4"/>
  <c r="AP581" i="4"/>
  <c r="AO581" i="4"/>
  <c r="AN581" i="4"/>
  <c r="AM581" i="4"/>
  <c r="AQ580" i="4"/>
  <c r="AP580" i="4"/>
  <c r="AO580" i="4"/>
  <c r="AN580" i="4"/>
  <c r="AM580" i="4"/>
  <c r="AQ579" i="4"/>
  <c r="AP579" i="4"/>
  <c r="AO579" i="4"/>
  <c r="AN579" i="4"/>
  <c r="AM579" i="4"/>
  <c r="AQ578" i="4"/>
  <c r="AP578" i="4"/>
  <c r="AO578" i="4"/>
  <c r="AN578" i="4"/>
  <c r="AM578" i="4"/>
  <c r="AQ577" i="4"/>
  <c r="AP577" i="4"/>
  <c r="AO577" i="4"/>
  <c r="AN577" i="4"/>
  <c r="AM577" i="4"/>
  <c r="AQ576" i="4"/>
  <c r="AP576" i="4"/>
  <c r="AO576" i="4"/>
  <c r="AN576" i="4"/>
  <c r="AM576" i="4"/>
  <c r="AQ575" i="4"/>
  <c r="AP575" i="4"/>
  <c r="AO575" i="4"/>
  <c r="AN575" i="4"/>
  <c r="AM575" i="4"/>
  <c r="AQ574" i="4"/>
  <c r="AP574" i="4"/>
  <c r="AO574" i="4"/>
  <c r="AN574" i="4"/>
  <c r="AM574" i="4"/>
  <c r="AQ573" i="4"/>
  <c r="AP573" i="4"/>
  <c r="AO573" i="4"/>
  <c r="AN573" i="4"/>
  <c r="AM573" i="4"/>
  <c r="AQ572" i="4"/>
  <c r="AP572" i="4"/>
  <c r="AO572" i="4"/>
  <c r="AN572" i="4"/>
  <c r="AM572" i="4"/>
  <c r="AQ571" i="4"/>
  <c r="AP571" i="4"/>
  <c r="AO571" i="4"/>
  <c r="AN571" i="4"/>
  <c r="AM571" i="4"/>
  <c r="AQ570" i="4"/>
  <c r="AP570" i="4"/>
  <c r="AO570" i="4"/>
  <c r="AN570" i="4"/>
  <c r="AM570" i="4"/>
  <c r="AQ569" i="4"/>
  <c r="AP569" i="4"/>
  <c r="AO569" i="4"/>
  <c r="AN569" i="4"/>
  <c r="AM569" i="4"/>
  <c r="AQ568" i="4"/>
  <c r="AP568" i="4"/>
  <c r="AO568" i="4"/>
  <c r="AN568" i="4"/>
  <c r="AM568" i="4"/>
  <c r="AQ567" i="4"/>
  <c r="AP567" i="4"/>
  <c r="AO567" i="4"/>
  <c r="AN567" i="4"/>
  <c r="AM567" i="4"/>
  <c r="AQ566" i="4"/>
  <c r="AP566" i="4"/>
  <c r="AO566" i="4"/>
  <c r="AN566" i="4"/>
  <c r="AM566" i="4"/>
  <c r="AQ565" i="4"/>
  <c r="AP565" i="4"/>
  <c r="AO565" i="4"/>
  <c r="AN565" i="4"/>
  <c r="AM565" i="4"/>
  <c r="AQ564" i="4"/>
  <c r="AP564" i="4"/>
  <c r="AO564" i="4"/>
  <c r="AN564" i="4"/>
  <c r="AM564" i="4"/>
  <c r="AQ563" i="4"/>
  <c r="AP563" i="4"/>
  <c r="AO563" i="4"/>
  <c r="AN563" i="4"/>
  <c r="AM563" i="4"/>
  <c r="AQ562" i="4"/>
  <c r="AP562" i="4"/>
  <c r="AO562" i="4"/>
  <c r="AN562" i="4"/>
  <c r="AM562" i="4"/>
  <c r="AQ561" i="4"/>
  <c r="AP561" i="4"/>
  <c r="AO561" i="4"/>
  <c r="AN561" i="4"/>
  <c r="AM561" i="4"/>
  <c r="AQ560" i="4"/>
  <c r="AP560" i="4"/>
  <c r="AO560" i="4"/>
  <c r="AN560" i="4"/>
  <c r="AM560" i="4"/>
  <c r="AQ559" i="4"/>
  <c r="AP559" i="4"/>
  <c r="AO559" i="4"/>
  <c r="AN559" i="4"/>
  <c r="AM559" i="4"/>
  <c r="AQ558" i="4"/>
  <c r="AP558" i="4"/>
  <c r="AO558" i="4"/>
  <c r="AN558" i="4"/>
  <c r="AM558" i="4"/>
  <c r="AQ557" i="4"/>
  <c r="AP557" i="4"/>
  <c r="AO557" i="4"/>
  <c r="AN557" i="4"/>
  <c r="AM557" i="4"/>
  <c r="AQ556" i="4"/>
  <c r="AP556" i="4"/>
  <c r="AO556" i="4"/>
  <c r="AN556" i="4"/>
  <c r="AM556" i="4"/>
  <c r="AQ555" i="4"/>
  <c r="AP555" i="4"/>
  <c r="AO555" i="4"/>
  <c r="AN555" i="4"/>
  <c r="AM555" i="4"/>
  <c r="AQ554" i="4"/>
  <c r="AP554" i="4"/>
  <c r="AO554" i="4"/>
  <c r="AN554" i="4"/>
  <c r="AM554" i="4"/>
  <c r="AQ553" i="4"/>
  <c r="AP553" i="4"/>
  <c r="AO553" i="4"/>
  <c r="AN553" i="4"/>
  <c r="AM553" i="4"/>
  <c r="AQ552" i="4"/>
  <c r="AP552" i="4"/>
  <c r="AO552" i="4"/>
  <c r="AN552" i="4"/>
  <c r="AM552" i="4"/>
  <c r="AQ551" i="4"/>
  <c r="AP551" i="4"/>
  <c r="AO551" i="4"/>
  <c r="AN551" i="4"/>
  <c r="AM551" i="4"/>
  <c r="AQ550" i="4"/>
  <c r="AP550" i="4"/>
  <c r="AO550" i="4"/>
  <c r="AN550" i="4"/>
  <c r="AM550" i="4"/>
  <c r="AQ549" i="4"/>
  <c r="AP549" i="4"/>
  <c r="AO549" i="4"/>
  <c r="AN549" i="4"/>
  <c r="AM549" i="4"/>
  <c r="AQ548" i="4"/>
  <c r="AP548" i="4"/>
  <c r="AO548" i="4"/>
  <c r="AN548" i="4"/>
  <c r="AM548" i="4"/>
  <c r="AQ547" i="4"/>
  <c r="AP547" i="4"/>
  <c r="AO547" i="4"/>
  <c r="AN547" i="4"/>
  <c r="AM547" i="4"/>
  <c r="AQ546" i="4"/>
  <c r="AP546" i="4"/>
  <c r="AO546" i="4"/>
  <c r="AN546" i="4"/>
  <c r="AM546" i="4"/>
  <c r="AQ545" i="4"/>
  <c r="AP545" i="4"/>
  <c r="AO545" i="4"/>
  <c r="AN545" i="4"/>
  <c r="AM545" i="4"/>
  <c r="AQ544" i="4"/>
  <c r="AP544" i="4"/>
  <c r="AO544" i="4"/>
  <c r="AN544" i="4"/>
  <c r="AM544" i="4"/>
  <c r="AQ543" i="4"/>
  <c r="AP543" i="4"/>
  <c r="AO543" i="4"/>
  <c r="AN543" i="4"/>
  <c r="AM543" i="4"/>
  <c r="AQ542" i="4"/>
  <c r="AP542" i="4"/>
  <c r="AO542" i="4"/>
  <c r="AN542" i="4"/>
  <c r="AM542" i="4"/>
  <c r="AQ541" i="4"/>
  <c r="AP541" i="4"/>
  <c r="AO541" i="4"/>
  <c r="AN541" i="4"/>
  <c r="AM541" i="4"/>
  <c r="AQ540" i="4"/>
  <c r="AP540" i="4"/>
  <c r="AO540" i="4"/>
  <c r="AN540" i="4"/>
  <c r="AM540" i="4"/>
  <c r="AQ539" i="4"/>
  <c r="AP539" i="4"/>
  <c r="AO539" i="4"/>
  <c r="AN539" i="4"/>
  <c r="AM539" i="4"/>
  <c r="AQ538" i="4"/>
  <c r="AP538" i="4"/>
  <c r="AO538" i="4"/>
  <c r="AN538" i="4"/>
  <c r="AM538" i="4"/>
  <c r="AQ537" i="4"/>
  <c r="AP537" i="4"/>
  <c r="AO537" i="4"/>
  <c r="AN537" i="4"/>
  <c r="AM537" i="4"/>
  <c r="AQ536" i="4"/>
  <c r="AP536" i="4"/>
  <c r="AO536" i="4"/>
  <c r="AN536" i="4"/>
  <c r="AM536" i="4"/>
  <c r="AQ535" i="4"/>
  <c r="AP535" i="4"/>
  <c r="AO535" i="4"/>
  <c r="AN535" i="4"/>
  <c r="AM535" i="4"/>
  <c r="AQ534" i="4"/>
  <c r="AP534" i="4"/>
  <c r="AO534" i="4"/>
  <c r="AN534" i="4"/>
  <c r="AM534" i="4"/>
  <c r="AQ533" i="4"/>
  <c r="AP533" i="4"/>
  <c r="AO533" i="4"/>
  <c r="AN533" i="4"/>
  <c r="AM533" i="4"/>
  <c r="AQ532" i="4"/>
  <c r="AP532" i="4"/>
  <c r="AO532" i="4"/>
  <c r="AN532" i="4"/>
  <c r="AM532" i="4"/>
  <c r="AQ531" i="4"/>
  <c r="AP531" i="4"/>
  <c r="AO531" i="4"/>
  <c r="AN531" i="4"/>
  <c r="AM531" i="4"/>
  <c r="AQ530" i="4"/>
  <c r="AP530" i="4"/>
  <c r="AO530" i="4"/>
  <c r="AN530" i="4"/>
  <c r="AM530" i="4"/>
  <c r="AQ529" i="4"/>
  <c r="AP529" i="4"/>
  <c r="AO529" i="4"/>
  <c r="AN529" i="4"/>
  <c r="AM529" i="4"/>
  <c r="AQ528" i="4"/>
  <c r="AP528" i="4"/>
  <c r="AO528" i="4"/>
  <c r="AN528" i="4"/>
  <c r="AM528" i="4"/>
  <c r="AQ527" i="4"/>
  <c r="AP527" i="4"/>
  <c r="AO527" i="4"/>
  <c r="AN527" i="4"/>
  <c r="AM527" i="4"/>
  <c r="AQ526" i="4"/>
  <c r="AP526" i="4"/>
  <c r="AO526" i="4"/>
  <c r="AN526" i="4"/>
  <c r="AM526" i="4"/>
  <c r="AQ525" i="4"/>
  <c r="AP525" i="4"/>
  <c r="AO525" i="4"/>
  <c r="AN525" i="4"/>
  <c r="AM525" i="4"/>
  <c r="AQ524" i="4"/>
  <c r="AP524" i="4"/>
  <c r="AO524" i="4"/>
  <c r="AN524" i="4"/>
  <c r="AM524" i="4"/>
  <c r="AQ523" i="4"/>
  <c r="AP523" i="4"/>
  <c r="AO523" i="4"/>
  <c r="AN523" i="4"/>
  <c r="AM523" i="4"/>
  <c r="AQ522" i="4"/>
  <c r="AP522" i="4"/>
  <c r="AO522" i="4"/>
  <c r="AN522" i="4"/>
  <c r="AM522" i="4"/>
  <c r="AQ521" i="4"/>
  <c r="AP521" i="4"/>
  <c r="AO521" i="4"/>
  <c r="AN521" i="4"/>
  <c r="AM521" i="4"/>
  <c r="AQ520" i="4"/>
  <c r="AP520" i="4"/>
  <c r="AO520" i="4"/>
  <c r="AN520" i="4"/>
  <c r="AM520" i="4"/>
  <c r="AQ519" i="4"/>
  <c r="AP519" i="4"/>
  <c r="AO519" i="4"/>
  <c r="AN519" i="4"/>
  <c r="AM519" i="4"/>
  <c r="AQ518" i="4"/>
  <c r="AP518" i="4"/>
  <c r="AO518" i="4"/>
  <c r="AN518" i="4"/>
  <c r="AM518" i="4"/>
  <c r="AQ517" i="4"/>
  <c r="AP517" i="4"/>
  <c r="AO517" i="4"/>
  <c r="AN517" i="4"/>
  <c r="AM517" i="4"/>
  <c r="AQ516" i="4"/>
  <c r="AP516" i="4"/>
  <c r="AO516" i="4"/>
  <c r="AN516" i="4"/>
  <c r="AM516" i="4"/>
  <c r="AQ515" i="4"/>
  <c r="AP515" i="4"/>
  <c r="AO515" i="4"/>
  <c r="AN515" i="4"/>
  <c r="AM515" i="4"/>
  <c r="AQ514" i="4"/>
  <c r="AP514" i="4"/>
  <c r="AO514" i="4"/>
  <c r="AN514" i="4"/>
  <c r="AM514" i="4"/>
  <c r="AQ513" i="4"/>
  <c r="AP513" i="4"/>
  <c r="AO513" i="4"/>
  <c r="AN513" i="4"/>
  <c r="AM513" i="4"/>
  <c r="AQ512" i="4"/>
  <c r="AP512" i="4"/>
  <c r="AO512" i="4"/>
  <c r="AN512" i="4"/>
  <c r="AM512" i="4"/>
  <c r="AQ511" i="4"/>
  <c r="AP511" i="4"/>
  <c r="AO511" i="4"/>
  <c r="AN511" i="4"/>
  <c r="AM511" i="4"/>
  <c r="AQ510" i="4"/>
  <c r="AP510" i="4"/>
  <c r="AO510" i="4"/>
  <c r="AN510" i="4"/>
  <c r="AM510" i="4"/>
  <c r="AQ509" i="4"/>
  <c r="AP509" i="4"/>
  <c r="AO509" i="4"/>
  <c r="AN509" i="4"/>
  <c r="AM509" i="4"/>
  <c r="AQ508" i="4"/>
  <c r="AP508" i="4"/>
  <c r="AO508" i="4"/>
  <c r="AN508" i="4"/>
  <c r="AM508" i="4"/>
  <c r="AQ507" i="4"/>
  <c r="AP507" i="4"/>
  <c r="AO507" i="4"/>
  <c r="AN507" i="4"/>
  <c r="AM507" i="4"/>
  <c r="AQ506" i="4"/>
  <c r="AP506" i="4"/>
  <c r="AO506" i="4"/>
  <c r="AN506" i="4"/>
  <c r="AM506" i="4"/>
  <c r="AQ505" i="4"/>
  <c r="AP505" i="4"/>
  <c r="AO505" i="4"/>
  <c r="AN505" i="4"/>
  <c r="AM505" i="4"/>
  <c r="AQ504" i="4"/>
  <c r="AP504" i="4"/>
  <c r="AO504" i="4"/>
  <c r="AN504" i="4"/>
  <c r="AM504" i="4"/>
  <c r="AQ503" i="4"/>
  <c r="AP503" i="4"/>
  <c r="AO503" i="4"/>
  <c r="AN503" i="4"/>
  <c r="AM503" i="4"/>
  <c r="AQ502" i="4"/>
  <c r="AP502" i="4"/>
  <c r="AO502" i="4"/>
  <c r="AN502" i="4"/>
  <c r="AM502" i="4"/>
  <c r="AQ501" i="4"/>
  <c r="AP501" i="4"/>
  <c r="AO501" i="4"/>
  <c r="AN501" i="4"/>
  <c r="AM501" i="4"/>
  <c r="AQ500" i="4"/>
  <c r="AP500" i="4"/>
  <c r="AO500" i="4"/>
  <c r="AN500" i="4"/>
  <c r="AM500" i="4"/>
  <c r="AQ499" i="4"/>
  <c r="AP499" i="4"/>
  <c r="AO499" i="4"/>
  <c r="AN499" i="4"/>
  <c r="AM499" i="4"/>
  <c r="AQ498" i="4"/>
  <c r="AP498" i="4"/>
  <c r="AO498" i="4"/>
  <c r="AN498" i="4"/>
  <c r="AM498" i="4"/>
  <c r="AQ497" i="4"/>
  <c r="AP497" i="4"/>
  <c r="AO497" i="4"/>
  <c r="AN497" i="4"/>
  <c r="AM497" i="4"/>
  <c r="AQ496" i="4"/>
  <c r="AP496" i="4"/>
  <c r="AO496" i="4"/>
  <c r="AN496" i="4"/>
  <c r="AM496" i="4"/>
  <c r="AQ495" i="4"/>
  <c r="AP495" i="4"/>
  <c r="AO495" i="4"/>
  <c r="AN495" i="4"/>
  <c r="AM495" i="4"/>
  <c r="AQ494" i="4"/>
  <c r="AP494" i="4"/>
  <c r="AO494" i="4"/>
  <c r="AN494" i="4"/>
  <c r="AM494" i="4"/>
  <c r="AQ493" i="4"/>
  <c r="AP493" i="4"/>
  <c r="AO493" i="4"/>
  <c r="AN493" i="4"/>
  <c r="AM493" i="4"/>
  <c r="AQ492" i="4"/>
  <c r="AP492" i="4"/>
  <c r="AO492" i="4"/>
  <c r="AN492" i="4"/>
  <c r="AM492" i="4"/>
  <c r="AQ491" i="4"/>
  <c r="AP491" i="4"/>
  <c r="AO491" i="4"/>
  <c r="AN491" i="4"/>
  <c r="AM491" i="4"/>
  <c r="AQ490" i="4"/>
  <c r="AP490" i="4"/>
  <c r="AO490" i="4"/>
  <c r="AN490" i="4"/>
  <c r="AM490" i="4"/>
  <c r="AQ489" i="4"/>
  <c r="AP489" i="4"/>
  <c r="AO489" i="4"/>
  <c r="AN489" i="4"/>
  <c r="AM489" i="4"/>
  <c r="AQ488" i="4"/>
  <c r="AP488" i="4"/>
  <c r="AO488" i="4"/>
  <c r="AN488" i="4"/>
  <c r="AM488" i="4"/>
  <c r="AQ487" i="4"/>
  <c r="AP487" i="4"/>
  <c r="AO487" i="4"/>
  <c r="AN487" i="4"/>
  <c r="AM487" i="4"/>
  <c r="AQ486" i="4"/>
  <c r="AP486" i="4"/>
  <c r="AO486" i="4"/>
  <c r="AN486" i="4"/>
  <c r="AM486" i="4"/>
  <c r="AQ485" i="4"/>
  <c r="AP485" i="4"/>
  <c r="AO485" i="4"/>
  <c r="AN485" i="4"/>
  <c r="AM485" i="4"/>
  <c r="AQ484" i="4"/>
  <c r="AP484" i="4"/>
  <c r="AO484" i="4"/>
  <c r="AN484" i="4"/>
  <c r="AM484" i="4"/>
  <c r="AQ483" i="4"/>
  <c r="AP483" i="4"/>
  <c r="AO483" i="4"/>
  <c r="AN483" i="4"/>
  <c r="AM483" i="4"/>
  <c r="AQ482" i="4"/>
  <c r="AP482" i="4"/>
  <c r="AO482" i="4"/>
  <c r="AN482" i="4"/>
  <c r="AM482" i="4"/>
  <c r="AQ481" i="4"/>
  <c r="AP481" i="4"/>
  <c r="AO481" i="4"/>
  <c r="AN481" i="4"/>
  <c r="AM481" i="4"/>
  <c r="AQ480" i="4"/>
  <c r="AP480" i="4"/>
  <c r="AO480" i="4"/>
  <c r="AN480" i="4"/>
  <c r="AM480" i="4"/>
  <c r="AQ479" i="4"/>
  <c r="AP479" i="4"/>
  <c r="AO479" i="4"/>
  <c r="AN479" i="4"/>
  <c r="AM479" i="4"/>
  <c r="AQ478" i="4"/>
  <c r="AP478" i="4"/>
  <c r="AO478" i="4"/>
  <c r="AN478" i="4"/>
  <c r="AM478" i="4"/>
  <c r="AQ477" i="4"/>
  <c r="AP477" i="4"/>
  <c r="AO477" i="4"/>
  <c r="AN477" i="4"/>
  <c r="AM477" i="4"/>
  <c r="AQ476" i="4"/>
  <c r="AP476" i="4"/>
  <c r="AO476" i="4"/>
  <c r="AN476" i="4"/>
  <c r="AM476" i="4"/>
  <c r="AQ475" i="4"/>
  <c r="AP475" i="4"/>
  <c r="AO475" i="4"/>
  <c r="AN475" i="4"/>
  <c r="AM475" i="4"/>
  <c r="AQ474" i="4"/>
  <c r="AP474" i="4"/>
  <c r="AO474" i="4"/>
  <c r="AN474" i="4"/>
  <c r="AM474" i="4"/>
  <c r="AQ473" i="4"/>
  <c r="AP473" i="4"/>
  <c r="AO473" i="4"/>
  <c r="AN473" i="4"/>
  <c r="AM473" i="4"/>
  <c r="AQ472" i="4"/>
  <c r="AP472" i="4"/>
  <c r="AO472" i="4"/>
  <c r="AN472" i="4"/>
  <c r="AM472" i="4"/>
  <c r="AQ471" i="4"/>
  <c r="AP471" i="4"/>
  <c r="AO471" i="4"/>
  <c r="AN471" i="4"/>
  <c r="AM471" i="4"/>
  <c r="AQ470" i="4"/>
  <c r="AP470" i="4"/>
  <c r="AO470" i="4"/>
  <c r="AN470" i="4"/>
  <c r="AM470" i="4"/>
  <c r="AQ469" i="4"/>
  <c r="AP469" i="4"/>
  <c r="AO469" i="4"/>
  <c r="AN469" i="4"/>
  <c r="AM469" i="4"/>
  <c r="AQ468" i="4"/>
  <c r="AP468" i="4"/>
  <c r="AO468" i="4"/>
  <c r="AN468" i="4"/>
  <c r="AM468" i="4"/>
  <c r="AQ467" i="4"/>
  <c r="AP467" i="4"/>
  <c r="AO467" i="4"/>
  <c r="AN467" i="4"/>
  <c r="AM467" i="4"/>
  <c r="AQ466" i="4"/>
  <c r="AP466" i="4"/>
  <c r="AO466" i="4"/>
  <c r="AN466" i="4"/>
  <c r="AM466" i="4"/>
  <c r="AQ465" i="4"/>
  <c r="AP465" i="4"/>
  <c r="AO465" i="4"/>
  <c r="AN465" i="4"/>
  <c r="AM465" i="4"/>
  <c r="AQ464" i="4"/>
  <c r="AP464" i="4"/>
  <c r="AO464" i="4"/>
  <c r="AN464" i="4"/>
  <c r="AM464" i="4"/>
  <c r="AQ463" i="4"/>
  <c r="AP463" i="4"/>
  <c r="AO463" i="4"/>
  <c r="AN463" i="4"/>
  <c r="AM463" i="4"/>
  <c r="AQ462" i="4"/>
  <c r="AP462" i="4"/>
  <c r="AO462" i="4"/>
  <c r="AN462" i="4"/>
  <c r="AM462" i="4"/>
  <c r="AQ461" i="4"/>
  <c r="AP461" i="4"/>
  <c r="AO461" i="4"/>
  <c r="AN461" i="4"/>
  <c r="AM461" i="4"/>
  <c r="AQ460" i="4"/>
  <c r="AP460" i="4"/>
  <c r="AO460" i="4"/>
  <c r="AN460" i="4"/>
  <c r="AM460" i="4"/>
  <c r="AQ459" i="4"/>
  <c r="AP459" i="4"/>
  <c r="AO459" i="4"/>
  <c r="AN459" i="4"/>
  <c r="AM459" i="4"/>
  <c r="AQ458" i="4"/>
  <c r="AP458" i="4"/>
  <c r="AO458" i="4"/>
  <c r="AN458" i="4"/>
  <c r="AM458" i="4"/>
  <c r="AQ457" i="4"/>
  <c r="AP457" i="4"/>
  <c r="AO457" i="4"/>
  <c r="AN457" i="4"/>
  <c r="AM457" i="4"/>
  <c r="AQ456" i="4"/>
  <c r="AP456" i="4"/>
  <c r="AO456" i="4"/>
  <c r="AN456" i="4"/>
  <c r="AM456" i="4"/>
  <c r="AQ455" i="4"/>
  <c r="AP455" i="4"/>
  <c r="AO455" i="4"/>
  <c r="AN455" i="4"/>
  <c r="AM455" i="4"/>
  <c r="AQ454" i="4"/>
  <c r="AP454" i="4"/>
  <c r="AO454" i="4"/>
  <c r="AN454" i="4"/>
  <c r="AM454" i="4"/>
  <c r="AQ453" i="4"/>
  <c r="AP453" i="4"/>
  <c r="AO453" i="4"/>
  <c r="AN453" i="4"/>
  <c r="AM453" i="4"/>
  <c r="AQ452" i="4"/>
  <c r="AP452" i="4"/>
  <c r="AO452" i="4"/>
  <c r="AN452" i="4"/>
  <c r="AM452" i="4"/>
  <c r="AQ451" i="4"/>
  <c r="AP451" i="4"/>
  <c r="AO451" i="4"/>
  <c r="AN451" i="4"/>
  <c r="AM451" i="4"/>
  <c r="AQ450" i="4"/>
  <c r="AP450" i="4"/>
  <c r="AO450" i="4"/>
  <c r="AN450" i="4"/>
  <c r="AM450" i="4"/>
  <c r="AQ449" i="4"/>
  <c r="AP449" i="4"/>
  <c r="AO449" i="4"/>
  <c r="AN449" i="4"/>
  <c r="AM449" i="4"/>
  <c r="AQ448" i="4"/>
  <c r="AP448" i="4"/>
  <c r="AO448" i="4"/>
  <c r="AN448" i="4"/>
  <c r="AM448" i="4"/>
  <c r="AQ447" i="4"/>
  <c r="AP447" i="4"/>
  <c r="AO447" i="4"/>
  <c r="AN447" i="4"/>
  <c r="AM447" i="4"/>
  <c r="AQ446" i="4"/>
  <c r="AP446" i="4"/>
  <c r="AO446" i="4"/>
  <c r="AN446" i="4"/>
  <c r="AM446" i="4"/>
  <c r="AQ445" i="4"/>
  <c r="AP445" i="4"/>
  <c r="AO445" i="4"/>
  <c r="AN445" i="4"/>
  <c r="AM445" i="4"/>
  <c r="AQ444" i="4"/>
  <c r="AP444" i="4"/>
  <c r="AO444" i="4"/>
  <c r="AN444" i="4"/>
  <c r="AM444" i="4"/>
  <c r="AQ443" i="4"/>
  <c r="AP443" i="4"/>
  <c r="AO443" i="4"/>
  <c r="AN443" i="4"/>
  <c r="AM443" i="4"/>
  <c r="AQ442" i="4"/>
  <c r="AP442" i="4"/>
  <c r="AO442" i="4"/>
  <c r="AN442" i="4"/>
  <c r="AM442" i="4"/>
  <c r="AQ441" i="4"/>
  <c r="AP441" i="4"/>
  <c r="AO441" i="4"/>
  <c r="AN441" i="4"/>
  <c r="AM441" i="4"/>
  <c r="AQ440" i="4"/>
  <c r="AP440" i="4"/>
  <c r="AO440" i="4"/>
  <c r="AN440" i="4"/>
  <c r="AM440" i="4"/>
  <c r="AQ439" i="4"/>
  <c r="AP439" i="4"/>
  <c r="AO439" i="4"/>
  <c r="AN439" i="4"/>
  <c r="AM439" i="4"/>
  <c r="AQ438" i="4"/>
  <c r="AP438" i="4"/>
  <c r="AO438" i="4"/>
  <c r="AN438" i="4"/>
  <c r="AM438" i="4"/>
  <c r="AQ437" i="4"/>
  <c r="AP437" i="4"/>
  <c r="AO437" i="4"/>
  <c r="AN437" i="4"/>
  <c r="AM437" i="4"/>
  <c r="AQ436" i="4"/>
  <c r="AP436" i="4"/>
  <c r="AO436" i="4"/>
  <c r="AN436" i="4"/>
  <c r="AM436" i="4"/>
  <c r="AQ435" i="4"/>
  <c r="AP435" i="4"/>
  <c r="AO435" i="4"/>
  <c r="AN435" i="4"/>
  <c r="AM435" i="4"/>
  <c r="AQ434" i="4"/>
  <c r="AP434" i="4"/>
  <c r="AO434" i="4"/>
  <c r="AN434" i="4"/>
  <c r="AM434" i="4"/>
  <c r="AQ433" i="4"/>
  <c r="AP433" i="4"/>
  <c r="AO433" i="4"/>
  <c r="AN433" i="4"/>
  <c r="AM433" i="4"/>
  <c r="AQ432" i="4"/>
  <c r="AP432" i="4"/>
  <c r="AO432" i="4"/>
  <c r="AN432" i="4"/>
  <c r="AM432" i="4"/>
  <c r="AQ431" i="4"/>
  <c r="AP431" i="4"/>
  <c r="AO431" i="4"/>
  <c r="AN431" i="4"/>
  <c r="AM431" i="4"/>
  <c r="AQ430" i="4"/>
  <c r="AP430" i="4"/>
  <c r="AO430" i="4"/>
  <c r="AN430" i="4"/>
  <c r="AM430" i="4"/>
  <c r="AQ429" i="4"/>
  <c r="AP429" i="4"/>
  <c r="AO429" i="4"/>
  <c r="AN429" i="4"/>
  <c r="AM429" i="4"/>
  <c r="AQ428" i="4"/>
  <c r="AP428" i="4"/>
  <c r="AO428" i="4"/>
  <c r="AN428" i="4"/>
  <c r="AM428" i="4"/>
  <c r="AQ427" i="4"/>
  <c r="AP427" i="4"/>
  <c r="AO427" i="4"/>
  <c r="AN427" i="4"/>
  <c r="AM427" i="4"/>
  <c r="AQ426" i="4"/>
  <c r="AP426" i="4"/>
  <c r="AO426" i="4"/>
  <c r="AN426" i="4"/>
  <c r="AM426" i="4"/>
  <c r="AQ425" i="4"/>
  <c r="AP425" i="4"/>
  <c r="AO425" i="4"/>
  <c r="AN425" i="4"/>
  <c r="AM425" i="4"/>
  <c r="AQ424" i="4"/>
  <c r="AP424" i="4"/>
  <c r="AO424" i="4"/>
  <c r="AN424" i="4"/>
  <c r="AM424" i="4"/>
  <c r="AQ423" i="4"/>
  <c r="AP423" i="4"/>
  <c r="AO423" i="4"/>
  <c r="AN423" i="4"/>
  <c r="AM423" i="4"/>
  <c r="AQ422" i="4"/>
  <c r="AP422" i="4"/>
  <c r="AO422" i="4"/>
  <c r="AN422" i="4"/>
  <c r="AM422" i="4"/>
  <c r="AQ421" i="4"/>
  <c r="AP421" i="4"/>
  <c r="AO421" i="4"/>
  <c r="AN421" i="4"/>
  <c r="AM421" i="4"/>
  <c r="AQ420" i="4"/>
  <c r="AP420" i="4"/>
  <c r="AO420" i="4"/>
  <c r="AN420" i="4"/>
  <c r="AM420" i="4"/>
  <c r="AQ419" i="4"/>
  <c r="AP419" i="4"/>
  <c r="AO419" i="4"/>
  <c r="AN419" i="4"/>
  <c r="AM419" i="4"/>
  <c r="AQ418" i="4"/>
  <c r="AP418" i="4"/>
  <c r="AO418" i="4"/>
  <c r="AN418" i="4"/>
  <c r="AM418" i="4"/>
  <c r="AQ417" i="4"/>
  <c r="AP417" i="4"/>
  <c r="AO417" i="4"/>
  <c r="AN417" i="4"/>
  <c r="AM417" i="4"/>
  <c r="AQ416" i="4"/>
  <c r="AP416" i="4"/>
  <c r="AO416" i="4"/>
  <c r="AN416" i="4"/>
  <c r="AM416" i="4"/>
  <c r="AQ415" i="4"/>
  <c r="AP415" i="4"/>
  <c r="AO415" i="4"/>
  <c r="AN415" i="4"/>
  <c r="AM415" i="4"/>
  <c r="AQ414" i="4"/>
  <c r="AP414" i="4"/>
  <c r="AO414" i="4"/>
  <c r="AN414" i="4"/>
  <c r="AM414" i="4"/>
  <c r="AQ413" i="4"/>
  <c r="AP413" i="4"/>
  <c r="AO413" i="4"/>
  <c r="AN413" i="4"/>
  <c r="AM413" i="4"/>
  <c r="AQ412" i="4"/>
  <c r="AP412" i="4"/>
  <c r="AO412" i="4"/>
  <c r="AN412" i="4"/>
  <c r="AM412" i="4"/>
  <c r="AQ411" i="4"/>
  <c r="AP411" i="4"/>
  <c r="AO411" i="4"/>
  <c r="AN411" i="4"/>
  <c r="AM411" i="4"/>
  <c r="AQ410" i="4"/>
  <c r="AP410" i="4"/>
  <c r="AO410" i="4"/>
  <c r="AN410" i="4"/>
  <c r="AM410" i="4"/>
  <c r="AQ409" i="4"/>
  <c r="AP409" i="4"/>
  <c r="AO409" i="4"/>
  <c r="AN409" i="4"/>
  <c r="AM409" i="4"/>
  <c r="AQ408" i="4"/>
  <c r="AP408" i="4"/>
  <c r="AO408" i="4"/>
  <c r="AN408" i="4"/>
  <c r="AM408" i="4"/>
  <c r="AQ407" i="4"/>
  <c r="AP407" i="4"/>
  <c r="AO407" i="4"/>
  <c r="AN407" i="4"/>
  <c r="AM407" i="4"/>
  <c r="AQ406" i="4"/>
  <c r="AP406" i="4"/>
  <c r="AO406" i="4"/>
  <c r="AN406" i="4"/>
  <c r="AM406" i="4"/>
  <c r="AQ405" i="4"/>
  <c r="AP405" i="4"/>
  <c r="AO405" i="4"/>
  <c r="AN405" i="4"/>
  <c r="AM405" i="4"/>
  <c r="AQ404" i="4"/>
  <c r="AP404" i="4"/>
  <c r="AO404" i="4"/>
  <c r="AN404" i="4"/>
  <c r="AM404" i="4"/>
  <c r="AQ403" i="4"/>
  <c r="AP403" i="4"/>
  <c r="AO403" i="4"/>
  <c r="AN403" i="4"/>
  <c r="AM403" i="4"/>
  <c r="AQ402" i="4"/>
  <c r="AP402" i="4"/>
  <c r="AO402" i="4"/>
  <c r="AN402" i="4"/>
  <c r="AM402" i="4"/>
  <c r="AQ401" i="4"/>
  <c r="AP401" i="4"/>
  <c r="AO401" i="4"/>
  <c r="AN401" i="4"/>
  <c r="AM401" i="4"/>
  <c r="AQ400" i="4"/>
  <c r="AP400" i="4"/>
  <c r="AO400" i="4"/>
  <c r="AN400" i="4"/>
  <c r="AM400" i="4"/>
  <c r="AQ399" i="4"/>
  <c r="AP399" i="4"/>
  <c r="AO399" i="4"/>
  <c r="AN399" i="4"/>
  <c r="AM399" i="4"/>
  <c r="AQ398" i="4"/>
  <c r="AP398" i="4"/>
  <c r="AO398" i="4"/>
  <c r="AN398" i="4"/>
  <c r="AM398" i="4"/>
  <c r="AQ397" i="4"/>
  <c r="AP397" i="4"/>
  <c r="AO397" i="4"/>
  <c r="AN397" i="4"/>
  <c r="AM397" i="4"/>
  <c r="AQ396" i="4"/>
  <c r="AP396" i="4"/>
  <c r="AO396" i="4"/>
  <c r="AN396" i="4"/>
  <c r="AM396" i="4"/>
  <c r="AQ395" i="4"/>
  <c r="AP395" i="4"/>
  <c r="AO395" i="4"/>
  <c r="AN395" i="4"/>
  <c r="AM395" i="4"/>
  <c r="AQ394" i="4"/>
  <c r="AP394" i="4"/>
  <c r="AO394" i="4"/>
  <c r="AN394" i="4"/>
  <c r="AM394" i="4"/>
  <c r="AQ393" i="4"/>
  <c r="AP393" i="4"/>
  <c r="AO393" i="4"/>
  <c r="AN393" i="4"/>
  <c r="AM393" i="4"/>
  <c r="AQ392" i="4"/>
  <c r="AP392" i="4"/>
  <c r="AO392" i="4"/>
  <c r="AN392" i="4"/>
  <c r="AM392" i="4"/>
  <c r="AQ391" i="4"/>
  <c r="AP391" i="4"/>
  <c r="AO391" i="4"/>
  <c r="AN391" i="4"/>
  <c r="AM391" i="4"/>
  <c r="AQ390" i="4"/>
  <c r="AP390" i="4"/>
  <c r="AO390" i="4"/>
  <c r="AN390" i="4"/>
  <c r="AM390" i="4"/>
  <c r="AQ389" i="4"/>
  <c r="AP389" i="4"/>
  <c r="AO389" i="4"/>
  <c r="AN389" i="4"/>
  <c r="AM389" i="4"/>
  <c r="AQ388" i="4"/>
  <c r="AP388" i="4"/>
  <c r="AO388" i="4"/>
  <c r="AN388" i="4"/>
  <c r="AM388" i="4"/>
  <c r="AQ387" i="4"/>
  <c r="AP387" i="4"/>
  <c r="AO387" i="4"/>
  <c r="AN387" i="4"/>
  <c r="AM387" i="4"/>
  <c r="AQ386" i="4"/>
  <c r="AP386" i="4"/>
  <c r="AO386" i="4"/>
  <c r="AN386" i="4"/>
  <c r="AM386" i="4"/>
  <c r="AQ385" i="4"/>
  <c r="AP385" i="4"/>
  <c r="AO385" i="4"/>
  <c r="AN385" i="4"/>
  <c r="AM385" i="4"/>
  <c r="AQ384" i="4"/>
  <c r="AP384" i="4"/>
  <c r="AO384" i="4"/>
  <c r="AN384" i="4"/>
  <c r="AM384" i="4"/>
  <c r="AQ383" i="4"/>
  <c r="AP383" i="4"/>
  <c r="AO383" i="4"/>
  <c r="AN383" i="4"/>
  <c r="AM383" i="4"/>
  <c r="AQ382" i="4"/>
  <c r="AP382" i="4"/>
  <c r="AO382" i="4"/>
  <c r="AN382" i="4"/>
  <c r="AM382" i="4"/>
  <c r="AQ381" i="4"/>
  <c r="AP381" i="4"/>
  <c r="AO381" i="4"/>
  <c r="AN381" i="4"/>
  <c r="AM381" i="4"/>
  <c r="AQ380" i="4"/>
  <c r="AP380" i="4"/>
  <c r="AO380" i="4"/>
  <c r="AN380" i="4"/>
  <c r="AM380" i="4"/>
  <c r="AQ379" i="4"/>
  <c r="AP379" i="4"/>
  <c r="AO379" i="4"/>
  <c r="AN379" i="4"/>
  <c r="AM379" i="4"/>
  <c r="AQ378" i="4"/>
  <c r="AP378" i="4"/>
  <c r="AO378" i="4"/>
  <c r="AN378" i="4"/>
  <c r="AM378" i="4"/>
  <c r="AQ377" i="4"/>
  <c r="AP377" i="4"/>
  <c r="AO377" i="4"/>
  <c r="AN377" i="4"/>
  <c r="AM377" i="4"/>
  <c r="AQ376" i="4"/>
  <c r="AP376" i="4"/>
  <c r="AO376" i="4"/>
  <c r="AN376" i="4"/>
  <c r="AM376" i="4"/>
  <c r="AQ375" i="4"/>
  <c r="AP375" i="4"/>
  <c r="AO375" i="4"/>
  <c r="AN375" i="4"/>
  <c r="AM375" i="4"/>
  <c r="AQ374" i="4"/>
  <c r="AP374" i="4"/>
  <c r="AO374" i="4"/>
  <c r="AN374" i="4"/>
  <c r="AM374" i="4"/>
  <c r="AQ373" i="4"/>
  <c r="AP373" i="4"/>
  <c r="AO373" i="4"/>
  <c r="AN373" i="4"/>
  <c r="AM373" i="4"/>
  <c r="AQ372" i="4"/>
  <c r="AP372" i="4"/>
  <c r="AO372" i="4"/>
  <c r="AN372" i="4"/>
  <c r="AM372" i="4"/>
  <c r="AQ371" i="4"/>
  <c r="AP371" i="4"/>
  <c r="AO371" i="4"/>
  <c r="AN371" i="4"/>
  <c r="AM371" i="4"/>
  <c r="AQ370" i="4"/>
  <c r="AP370" i="4"/>
  <c r="AO370" i="4"/>
  <c r="AN370" i="4"/>
  <c r="AM370" i="4"/>
  <c r="AQ369" i="4"/>
  <c r="AP369" i="4"/>
  <c r="AO369" i="4"/>
  <c r="AN369" i="4"/>
  <c r="AM369" i="4"/>
  <c r="AQ368" i="4"/>
  <c r="AP368" i="4"/>
  <c r="AO368" i="4"/>
  <c r="AN368" i="4"/>
  <c r="AM368" i="4"/>
  <c r="AQ367" i="4"/>
  <c r="AP367" i="4"/>
  <c r="AO367" i="4"/>
  <c r="AN367" i="4"/>
  <c r="AM367" i="4"/>
  <c r="AQ366" i="4"/>
  <c r="AP366" i="4"/>
  <c r="AO366" i="4"/>
  <c r="AN366" i="4"/>
  <c r="AM366" i="4"/>
  <c r="AQ365" i="4"/>
  <c r="AP365" i="4"/>
  <c r="AO365" i="4"/>
  <c r="AN365" i="4"/>
  <c r="AM365" i="4"/>
  <c r="AQ364" i="4"/>
  <c r="AP364" i="4"/>
  <c r="AO364" i="4"/>
  <c r="AN364" i="4"/>
  <c r="AM364" i="4"/>
  <c r="AQ363" i="4"/>
  <c r="AP363" i="4"/>
  <c r="AO363" i="4"/>
  <c r="AN363" i="4"/>
  <c r="AM363" i="4"/>
  <c r="AQ362" i="4"/>
  <c r="AP362" i="4"/>
  <c r="AO362" i="4"/>
  <c r="AN362" i="4"/>
  <c r="AM362" i="4"/>
  <c r="AQ361" i="4"/>
  <c r="AP361" i="4"/>
  <c r="AO361" i="4"/>
  <c r="AN361" i="4"/>
  <c r="AM361" i="4"/>
  <c r="AQ360" i="4"/>
  <c r="AP360" i="4"/>
  <c r="AO360" i="4"/>
  <c r="AN360" i="4"/>
  <c r="AM360" i="4"/>
  <c r="AQ359" i="4"/>
  <c r="AP359" i="4"/>
  <c r="AO359" i="4"/>
  <c r="AN359" i="4"/>
  <c r="AM359" i="4"/>
  <c r="AQ358" i="4"/>
  <c r="AP358" i="4"/>
  <c r="AO358" i="4"/>
  <c r="AN358" i="4"/>
  <c r="AM358" i="4"/>
  <c r="AQ357" i="4"/>
  <c r="AP357" i="4"/>
  <c r="AO357" i="4"/>
  <c r="AN357" i="4"/>
  <c r="AM357" i="4"/>
  <c r="AQ356" i="4"/>
  <c r="AP356" i="4"/>
  <c r="AO356" i="4"/>
  <c r="AN356" i="4"/>
  <c r="AM356" i="4"/>
  <c r="AQ355" i="4"/>
  <c r="AP355" i="4"/>
  <c r="AO355" i="4"/>
  <c r="AN355" i="4"/>
  <c r="AM355" i="4"/>
  <c r="AQ354" i="4"/>
  <c r="AP354" i="4"/>
  <c r="AO354" i="4"/>
  <c r="AN354" i="4"/>
  <c r="AM354" i="4"/>
  <c r="AQ353" i="4"/>
  <c r="AP353" i="4"/>
  <c r="AO353" i="4"/>
  <c r="AN353" i="4"/>
  <c r="AM353" i="4"/>
  <c r="AQ352" i="4"/>
  <c r="AP352" i="4"/>
  <c r="AO352" i="4"/>
  <c r="AN352" i="4"/>
  <c r="AM352" i="4"/>
  <c r="AQ351" i="4"/>
  <c r="AP351" i="4"/>
  <c r="AO351" i="4"/>
  <c r="AN351" i="4"/>
  <c r="AM351" i="4"/>
  <c r="AQ350" i="4"/>
  <c r="AP350" i="4"/>
  <c r="AO350" i="4"/>
  <c r="AN350" i="4"/>
  <c r="AM350" i="4"/>
  <c r="AQ349" i="4"/>
  <c r="AP349" i="4"/>
  <c r="AO349" i="4"/>
  <c r="AN349" i="4"/>
  <c r="AM349" i="4"/>
  <c r="AQ348" i="4"/>
  <c r="AP348" i="4"/>
  <c r="AO348" i="4"/>
  <c r="AN348" i="4"/>
  <c r="AM348" i="4"/>
  <c r="AQ347" i="4"/>
  <c r="AP347" i="4"/>
  <c r="AO347" i="4"/>
  <c r="AN347" i="4"/>
  <c r="AM347" i="4"/>
  <c r="AQ346" i="4"/>
  <c r="AP346" i="4"/>
  <c r="AO346" i="4"/>
  <c r="AN346" i="4"/>
  <c r="AM346" i="4"/>
  <c r="AQ345" i="4"/>
  <c r="AP345" i="4"/>
  <c r="AO345" i="4"/>
  <c r="AN345" i="4"/>
  <c r="AM345" i="4"/>
  <c r="AQ344" i="4"/>
  <c r="AP344" i="4"/>
  <c r="AO344" i="4"/>
  <c r="AN344" i="4"/>
  <c r="AM344" i="4"/>
  <c r="AQ343" i="4"/>
  <c r="AP343" i="4"/>
  <c r="AO343" i="4"/>
  <c r="AN343" i="4"/>
  <c r="AM343" i="4"/>
  <c r="AQ342" i="4"/>
  <c r="AP342" i="4"/>
  <c r="AO342" i="4"/>
  <c r="AN342" i="4"/>
  <c r="AM342" i="4"/>
  <c r="AQ341" i="4"/>
  <c r="AP341" i="4"/>
  <c r="AO341" i="4"/>
  <c r="AN341" i="4"/>
  <c r="AM341" i="4"/>
  <c r="AQ340" i="4"/>
  <c r="AP340" i="4"/>
  <c r="AO340" i="4"/>
  <c r="AN340" i="4"/>
  <c r="AM340" i="4"/>
  <c r="AQ339" i="4"/>
  <c r="AP339" i="4"/>
  <c r="AO339" i="4"/>
  <c r="AN339" i="4"/>
  <c r="AM339" i="4"/>
  <c r="AQ338" i="4"/>
  <c r="AP338" i="4"/>
  <c r="AO338" i="4"/>
  <c r="AN338" i="4"/>
  <c r="AM338" i="4"/>
  <c r="AQ337" i="4"/>
  <c r="AP337" i="4"/>
  <c r="AO337" i="4"/>
  <c r="AN337" i="4"/>
  <c r="AM337" i="4"/>
  <c r="AQ336" i="4"/>
  <c r="AP336" i="4"/>
  <c r="AO336" i="4"/>
  <c r="AN336" i="4"/>
  <c r="AM336" i="4"/>
  <c r="AQ335" i="4"/>
  <c r="AP335" i="4"/>
  <c r="AO335" i="4"/>
  <c r="AN335" i="4"/>
  <c r="AM335" i="4"/>
  <c r="AQ334" i="4"/>
  <c r="AP334" i="4"/>
  <c r="AO334" i="4"/>
  <c r="AN334" i="4"/>
  <c r="AM334" i="4"/>
  <c r="AQ333" i="4"/>
  <c r="AP333" i="4"/>
  <c r="AO333" i="4"/>
  <c r="AN333" i="4"/>
  <c r="AM333" i="4"/>
  <c r="AQ332" i="4"/>
  <c r="AP332" i="4"/>
  <c r="AO332" i="4"/>
  <c r="AN332" i="4"/>
  <c r="AM332" i="4"/>
  <c r="AQ331" i="4"/>
  <c r="AP331" i="4"/>
  <c r="AO331" i="4"/>
  <c r="AN331" i="4"/>
  <c r="AM331" i="4"/>
  <c r="AQ330" i="4"/>
  <c r="AP330" i="4"/>
  <c r="AO330" i="4"/>
  <c r="AN330" i="4"/>
  <c r="AM330" i="4"/>
  <c r="AQ329" i="4"/>
  <c r="AP329" i="4"/>
  <c r="AO329" i="4"/>
  <c r="AN329" i="4"/>
  <c r="AM329" i="4"/>
  <c r="AQ328" i="4"/>
  <c r="AP328" i="4"/>
  <c r="AO328" i="4"/>
  <c r="AN328" i="4"/>
  <c r="AM328" i="4"/>
  <c r="AQ327" i="4"/>
  <c r="AP327" i="4"/>
  <c r="AO327" i="4"/>
  <c r="AN327" i="4"/>
  <c r="AM327" i="4"/>
  <c r="AQ326" i="4"/>
  <c r="AP326" i="4"/>
  <c r="AO326" i="4"/>
  <c r="AN326" i="4"/>
  <c r="AM326" i="4"/>
  <c r="AQ325" i="4"/>
  <c r="AP325" i="4"/>
  <c r="AO325" i="4"/>
  <c r="AN325" i="4"/>
  <c r="AM325" i="4"/>
  <c r="AQ324" i="4"/>
  <c r="AP324" i="4"/>
  <c r="AO324" i="4"/>
  <c r="AN324" i="4"/>
  <c r="AM324" i="4"/>
  <c r="AQ323" i="4"/>
  <c r="AP323" i="4"/>
  <c r="AO323" i="4"/>
  <c r="AN323" i="4"/>
  <c r="AM323" i="4"/>
  <c r="AQ322" i="4"/>
  <c r="AP322" i="4"/>
  <c r="AO322" i="4"/>
  <c r="AN322" i="4"/>
  <c r="AM322" i="4"/>
  <c r="AQ321" i="4"/>
  <c r="AP321" i="4"/>
  <c r="AO321" i="4"/>
  <c r="AN321" i="4"/>
  <c r="AM321" i="4"/>
  <c r="AQ320" i="4"/>
  <c r="AP320" i="4"/>
  <c r="AO320" i="4"/>
  <c r="AN320" i="4"/>
  <c r="AM320" i="4"/>
  <c r="AQ319" i="4"/>
  <c r="AP319" i="4"/>
  <c r="AO319" i="4"/>
  <c r="AN319" i="4"/>
  <c r="AM319" i="4"/>
  <c r="AQ318" i="4"/>
  <c r="AP318" i="4"/>
  <c r="AO318" i="4"/>
  <c r="AN318" i="4"/>
  <c r="AM318" i="4"/>
  <c r="AQ317" i="4"/>
  <c r="AP317" i="4"/>
  <c r="AO317" i="4"/>
  <c r="AN317" i="4"/>
  <c r="AM317" i="4"/>
  <c r="AQ316" i="4"/>
  <c r="AP316" i="4"/>
  <c r="AO316" i="4"/>
  <c r="AN316" i="4"/>
  <c r="AM316" i="4"/>
  <c r="AQ315" i="4"/>
  <c r="AP315" i="4"/>
  <c r="AO315" i="4"/>
  <c r="AN315" i="4"/>
  <c r="AM315" i="4"/>
  <c r="AQ314" i="4"/>
  <c r="AP314" i="4"/>
  <c r="AO314" i="4"/>
  <c r="AN314" i="4"/>
  <c r="AM314" i="4"/>
  <c r="AQ313" i="4"/>
  <c r="AP313" i="4"/>
  <c r="AO313" i="4"/>
  <c r="AN313" i="4"/>
  <c r="AM313" i="4"/>
  <c r="AQ312" i="4"/>
  <c r="AP312" i="4"/>
  <c r="AO312" i="4"/>
  <c r="AN312" i="4"/>
  <c r="AM312" i="4"/>
  <c r="AQ311" i="4"/>
  <c r="AP311" i="4"/>
  <c r="AO311" i="4"/>
  <c r="AN311" i="4"/>
  <c r="AM311" i="4"/>
  <c r="AQ310" i="4"/>
  <c r="AP310" i="4"/>
  <c r="AO310" i="4"/>
  <c r="AN310" i="4"/>
  <c r="AM310" i="4"/>
  <c r="AQ309" i="4"/>
  <c r="AP309" i="4"/>
  <c r="AO309" i="4"/>
  <c r="AN309" i="4"/>
  <c r="AM309" i="4"/>
  <c r="AQ308" i="4"/>
  <c r="AP308" i="4"/>
  <c r="AO308" i="4"/>
  <c r="AN308" i="4"/>
  <c r="AM308" i="4"/>
  <c r="AQ307" i="4"/>
  <c r="AP307" i="4"/>
  <c r="AO307" i="4"/>
  <c r="AN307" i="4"/>
  <c r="AM307" i="4"/>
  <c r="AQ306" i="4"/>
  <c r="AP306" i="4"/>
  <c r="AO306" i="4"/>
  <c r="AN306" i="4"/>
  <c r="AM306" i="4"/>
  <c r="AQ305" i="4"/>
  <c r="AP305" i="4"/>
  <c r="AO305" i="4"/>
  <c r="AN305" i="4"/>
  <c r="AM305" i="4"/>
  <c r="AQ304" i="4"/>
  <c r="AP304" i="4"/>
  <c r="AO304" i="4"/>
  <c r="AN304" i="4"/>
  <c r="AM304" i="4"/>
  <c r="AQ303" i="4"/>
  <c r="AP303" i="4"/>
  <c r="AO303" i="4"/>
  <c r="AN303" i="4"/>
  <c r="AM303" i="4"/>
  <c r="AQ302" i="4"/>
  <c r="AP302" i="4"/>
  <c r="AO302" i="4"/>
  <c r="AN302" i="4"/>
  <c r="AM302" i="4"/>
  <c r="AQ301" i="4"/>
  <c r="AP301" i="4"/>
  <c r="AO301" i="4"/>
  <c r="AN301" i="4"/>
  <c r="AM301" i="4"/>
  <c r="AQ300" i="4"/>
  <c r="AP300" i="4"/>
  <c r="AO300" i="4"/>
  <c r="AN300" i="4"/>
  <c r="AM300" i="4"/>
  <c r="AQ299" i="4"/>
  <c r="AP299" i="4"/>
  <c r="AO299" i="4"/>
  <c r="AN299" i="4"/>
  <c r="AM299" i="4"/>
  <c r="AQ298" i="4"/>
  <c r="AP298" i="4"/>
  <c r="AO298" i="4"/>
  <c r="AN298" i="4"/>
  <c r="AM298" i="4"/>
  <c r="AQ297" i="4"/>
  <c r="AP297" i="4"/>
  <c r="AO297" i="4"/>
  <c r="AN297" i="4"/>
  <c r="AM297" i="4"/>
  <c r="AQ296" i="4"/>
  <c r="AP296" i="4"/>
  <c r="AO296" i="4"/>
  <c r="AN296" i="4"/>
  <c r="AM296" i="4"/>
  <c r="AQ295" i="4"/>
  <c r="AP295" i="4"/>
  <c r="AO295" i="4"/>
  <c r="AN295" i="4"/>
  <c r="AM295" i="4"/>
  <c r="AQ294" i="4"/>
  <c r="AP294" i="4"/>
  <c r="AO294" i="4"/>
  <c r="AN294" i="4"/>
  <c r="AM294" i="4"/>
  <c r="AQ293" i="4"/>
  <c r="AP293" i="4"/>
  <c r="AO293" i="4"/>
  <c r="AN293" i="4"/>
  <c r="AM293" i="4"/>
  <c r="AQ292" i="4"/>
  <c r="AP292" i="4"/>
  <c r="AO292" i="4"/>
  <c r="AN292" i="4"/>
  <c r="AM292" i="4"/>
  <c r="AQ291" i="4"/>
  <c r="AP291" i="4"/>
  <c r="AO291" i="4"/>
  <c r="AN291" i="4"/>
  <c r="AM291" i="4"/>
  <c r="AQ290" i="4"/>
  <c r="AP290" i="4"/>
  <c r="AO290" i="4"/>
  <c r="AN290" i="4"/>
  <c r="AM290" i="4"/>
  <c r="AQ289" i="4"/>
  <c r="AP289" i="4"/>
  <c r="AO289" i="4"/>
  <c r="AN289" i="4"/>
  <c r="AM289" i="4"/>
  <c r="AQ288" i="4"/>
  <c r="AP288" i="4"/>
  <c r="AO288" i="4"/>
  <c r="AN288" i="4"/>
  <c r="AM288" i="4"/>
  <c r="AQ287" i="4"/>
  <c r="AP287" i="4"/>
  <c r="AO287" i="4"/>
  <c r="AN287" i="4"/>
  <c r="AM287" i="4"/>
  <c r="AQ286" i="4"/>
  <c r="AP286" i="4"/>
  <c r="AO286" i="4"/>
  <c r="AN286" i="4"/>
  <c r="AM286" i="4"/>
  <c r="AQ285" i="4"/>
  <c r="AP285" i="4"/>
  <c r="AO285" i="4"/>
  <c r="AN285" i="4"/>
  <c r="AM285" i="4"/>
  <c r="AQ284" i="4"/>
  <c r="AP284" i="4"/>
  <c r="AO284" i="4"/>
  <c r="AN284" i="4"/>
  <c r="AM284" i="4"/>
  <c r="AQ283" i="4"/>
  <c r="AP283" i="4"/>
  <c r="AO283" i="4"/>
  <c r="AN283" i="4"/>
  <c r="AM283" i="4"/>
  <c r="AQ282" i="4"/>
  <c r="AP282" i="4"/>
  <c r="AO282" i="4"/>
  <c r="AN282" i="4"/>
  <c r="AM282" i="4"/>
  <c r="AQ281" i="4"/>
  <c r="AP281" i="4"/>
  <c r="AO281" i="4"/>
  <c r="AN281" i="4"/>
  <c r="AM281" i="4"/>
  <c r="AQ280" i="4"/>
  <c r="AP280" i="4"/>
  <c r="AO280" i="4"/>
  <c r="AN280" i="4"/>
  <c r="AM280" i="4"/>
  <c r="AQ279" i="4"/>
  <c r="AP279" i="4"/>
  <c r="AO279" i="4"/>
  <c r="AN279" i="4"/>
  <c r="AM279" i="4"/>
  <c r="AQ278" i="4"/>
  <c r="AP278" i="4"/>
  <c r="AO278" i="4"/>
  <c r="AN278" i="4"/>
  <c r="AM278" i="4"/>
  <c r="AQ277" i="4"/>
  <c r="AP277" i="4"/>
  <c r="AO277" i="4"/>
  <c r="AN277" i="4"/>
  <c r="AM277" i="4"/>
  <c r="AQ276" i="4"/>
  <c r="AP276" i="4"/>
  <c r="AO276" i="4"/>
  <c r="AN276" i="4"/>
  <c r="AM276" i="4"/>
  <c r="AQ275" i="4"/>
  <c r="AP275" i="4"/>
  <c r="AO275" i="4"/>
  <c r="AN275" i="4"/>
  <c r="AM275" i="4"/>
  <c r="AQ274" i="4"/>
  <c r="AP274" i="4"/>
  <c r="AO274" i="4"/>
  <c r="AN274" i="4"/>
  <c r="AM274" i="4"/>
  <c r="AQ273" i="4"/>
  <c r="AP273" i="4"/>
  <c r="AO273" i="4"/>
  <c r="AN273" i="4"/>
  <c r="AM273" i="4"/>
  <c r="AQ272" i="4"/>
  <c r="AP272" i="4"/>
  <c r="AO272" i="4"/>
  <c r="AN272" i="4"/>
  <c r="AM272" i="4"/>
  <c r="AQ271" i="4"/>
  <c r="AP271" i="4"/>
  <c r="AO271" i="4"/>
  <c r="AN271" i="4"/>
  <c r="AM271" i="4"/>
  <c r="AQ270" i="4"/>
  <c r="AP270" i="4"/>
  <c r="AO270" i="4"/>
  <c r="AN270" i="4"/>
  <c r="AM270" i="4"/>
  <c r="AQ269" i="4"/>
  <c r="AP269" i="4"/>
  <c r="AO269" i="4"/>
  <c r="AN269" i="4"/>
  <c r="AM269" i="4"/>
  <c r="AQ268" i="4"/>
  <c r="AP268" i="4"/>
  <c r="AO268" i="4"/>
  <c r="AN268" i="4"/>
  <c r="AM268" i="4"/>
  <c r="AQ267" i="4"/>
  <c r="AP267" i="4"/>
  <c r="AO267" i="4"/>
  <c r="AN267" i="4"/>
  <c r="AM267" i="4"/>
  <c r="AQ266" i="4"/>
  <c r="AP266" i="4"/>
  <c r="AO266" i="4"/>
  <c r="AN266" i="4"/>
  <c r="AM266" i="4"/>
  <c r="AQ265" i="4"/>
  <c r="AP265" i="4"/>
  <c r="AO265" i="4"/>
  <c r="AN265" i="4"/>
  <c r="AM265" i="4"/>
  <c r="AQ264" i="4"/>
  <c r="AP264" i="4"/>
  <c r="AO264" i="4"/>
  <c r="AN264" i="4"/>
  <c r="AM264" i="4"/>
  <c r="AQ263" i="4"/>
  <c r="AP263" i="4"/>
  <c r="AO263" i="4"/>
  <c r="AN263" i="4"/>
  <c r="AM263" i="4"/>
  <c r="AQ262" i="4"/>
  <c r="AP262" i="4"/>
  <c r="AO262" i="4"/>
  <c r="AN262" i="4"/>
  <c r="AM262" i="4"/>
  <c r="AQ261" i="4"/>
  <c r="AP261" i="4"/>
  <c r="AO261" i="4"/>
  <c r="AN261" i="4"/>
  <c r="AM261" i="4"/>
  <c r="AQ260" i="4"/>
  <c r="AP260" i="4"/>
  <c r="AO260" i="4"/>
  <c r="AN260" i="4"/>
  <c r="AM260" i="4"/>
  <c r="AQ259" i="4"/>
  <c r="AP259" i="4"/>
  <c r="AO259" i="4"/>
  <c r="AN259" i="4"/>
  <c r="AM259" i="4"/>
  <c r="AQ258" i="4"/>
  <c r="AP258" i="4"/>
  <c r="AO258" i="4"/>
  <c r="AN258" i="4"/>
  <c r="AM258" i="4"/>
  <c r="AQ257" i="4"/>
  <c r="AP257" i="4"/>
  <c r="AO257" i="4"/>
  <c r="AN257" i="4"/>
  <c r="AM257" i="4"/>
  <c r="AQ256" i="4"/>
  <c r="AP256" i="4"/>
  <c r="AO256" i="4"/>
  <c r="AN256" i="4"/>
  <c r="AM256" i="4"/>
  <c r="AQ255" i="4"/>
  <c r="AP255" i="4"/>
  <c r="AO255" i="4"/>
  <c r="AN255" i="4"/>
  <c r="AM255" i="4"/>
  <c r="AQ254" i="4"/>
  <c r="AP254" i="4"/>
  <c r="AO254" i="4"/>
  <c r="AN254" i="4"/>
  <c r="AM254" i="4"/>
  <c r="AQ253" i="4"/>
  <c r="AP253" i="4"/>
  <c r="AO253" i="4"/>
  <c r="AN253" i="4"/>
  <c r="AM253" i="4"/>
  <c r="AQ252" i="4"/>
  <c r="AP252" i="4"/>
  <c r="AO252" i="4"/>
  <c r="AN252" i="4"/>
  <c r="AM252" i="4"/>
  <c r="AQ251" i="4"/>
  <c r="AP251" i="4"/>
  <c r="AO251" i="4"/>
  <c r="AN251" i="4"/>
  <c r="AM251" i="4"/>
  <c r="AQ250" i="4"/>
  <c r="AP250" i="4"/>
  <c r="AO250" i="4"/>
  <c r="AN250" i="4"/>
  <c r="AM250" i="4"/>
  <c r="AQ249" i="4"/>
  <c r="AP249" i="4"/>
  <c r="AO249" i="4"/>
  <c r="AN249" i="4"/>
  <c r="AM249" i="4"/>
  <c r="AQ248" i="4"/>
  <c r="AP248" i="4"/>
  <c r="AO248" i="4"/>
  <c r="AN248" i="4"/>
  <c r="AM248" i="4"/>
  <c r="AQ247" i="4"/>
  <c r="AP247" i="4"/>
  <c r="AO247" i="4"/>
  <c r="AN247" i="4"/>
  <c r="AM247" i="4"/>
  <c r="AQ246" i="4"/>
  <c r="AP246" i="4"/>
  <c r="AO246" i="4"/>
  <c r="AN246" i="4"/>
  <c r="AM246" i="4"/>
  <c r="AQ245" i="4"/>
  <c r="AP245" i="4"/>
  <c r="AO245" i="4"/>
  <c r="AN245" i="4"/>
  <c r="AM245" i="4"/>
  <c r="AQ244" i="4"/>
  <c r="AP244" i="4"/>
  <c r="AO244" i="4"/>
  <c r="AN244" i="4"/>
  <c r="AM244" i="4"/>
  <c r="AQ243" i="4"/>
  <c r="AP243" i="4"/>
  <c r="AO243" i="4"/>
  <c r="AN243" i="4"/>
  <c r="AM243" i="4"/>
  <c r="AQ242" i="4"/>
  <c r="AP242" i="4"/>
  <c r="AO242" i="4"/>
  <c r="AN242" i="4"/>
  <c r="AM242" i="4"/>
  <c r="AQ241" i="4"/>
  <c r="AP241" i="4"/>
  <c r="AO241" i="4"/>
  <c r="AN241" i="4"/>
  <c r="AM241" i="4"/>
  <c r="AQ240" i="4"/>
  <c r="AP240" i="4"/>
  <c r="AO240" i="4"/>
  <c r="AN240" i="4"/>
  <c r="AM240" i="4"/>
  <c r="AQ239" i="4"/>
  <c r="AP239" i="4"/>
  <c r="AO239" i="4"/>
  <c r="AN239" i="4"/>
  <c r="AM239" i="4"/>
  <c r="AQ238" i="4"/>
  <c r="AP238" i="4"/>
  <c r="AO238" i="4"/>
  <c r="AN238" i="4"/>
  <c r="AM238" i="4"/>
  <c r="AQ237" i="4"/>
  <c r="AP237" i="4"/>
  <c r="AO237" i="4"/>
  <c r="AN237" i="4"/>
  <c r="AM237" i="4"/>
  <c r="AQ236" i="4"/>
  <c r="AP236" i="4"/>
  <c r="AO236" i="4"/>
  <c r="AN236" i="4"/>
  <c r="AM236" i="4"/>
  <c r="AQ235" i="4"/>
  <c r="AP235" i="4"/>
  <c r="AO235" i="4"/>
  <c r="AN235" i="4"/>
  <c r="AM235" i="4"/>
  <c r="AQ234" i="4"/>
  <c r="AP234" i="4"/>
  <c r="AO234" i="4"/>
  <c r="AN234" i="4"/>
  <c r="AM234" i="4"/>
  <c r="AQ233" i="4"/>
  <c r="AP233" i="4"/>
  <c r="AO233" i="4"/>
  <c r="AN233" i="4"/>
  <c r="AM233" i="4"/>
  <c r="AQ232" i="4"/>
  <c r="AP232" i="4"/>
  <c r="AO232" i="4"/>
  <c r="AN232" i="4"/>
  <c r="AM232" i="4"/>
  <c r="AQ231" i="4"/>
  <c r="AP231" i="4"/>
  <c r="AO231" i="4"/>
  <c r="AN231" i="4"/>
  <c r="AM231" i="4"/>
  <c r="AQ230" i="4"/>
  <c r="AP230" i="4"/>
  <c r="AO230" i="4"/>
  <c r="AN230" i="4"/>
  <c r="AM230" i="4"/>
  <c r="AQ229" i="4"/>
  <c r="AP229" i="4"/>
  <c r="AO229" i="4"/>
  <c r="AN229" i="4"/>
  <c r="AM229" i="4"/>
  <c r="AQ228" i="4"/>
  <c r="AP228" i="4"/>
  <c r="AO228" i="4"/>
  <c r="AN228" i="4"/>
  <c r="AM228" i="4"/>
  <c r="AQ227" i="4"/>
  <c r="AP227" i="4"/>
  <c r="AO227" i="4"/>
  <c r="AN227" i="4"/>
  <c r="AM227" i="4"/>
  <c r="AQ226" i="4"/>
  <c r="AP226" i="4"/>
  <c r="AO226" i="4"/>
  <c r="AN226" i="4"/>
  <c r="AM226" i="4"/>
  <c r="AQ225" i="4"/>
  <c r="AP225" i="4"/>
  <c r="AO225" i="4"/>
  <c r="AN225" i="4"/>
  <c r="AM225" i="4"/>
  <c r="AQ224" i="4"/>
  <c r="AP224" i="4"/>
  <c r="AO224" i="4"/>
  <c r="AN224" i="4"/>
  <c r="AM224" i="4"/>
  <c r="AQ223" i="4"/>
  <c r="AP223" i="4"/>
  <c r="AO223" i="4"/>
  <c r="AN223" i="4"/>
  <c r="AM223" i="4"/>
  <c r="AQ222" i="4"/>
  <c r="AP222" i="4"/>
  <c r="AO222" i="4"/>
  <c r="AN222" i="4"/>
  <c r="AM222" i="4"/>
  <c r="AQ221" i="4"/>
  <c r="AP221" i="4"/>
  <c r="AO221" i="4"/>
  <c r="AN221" i="4"/>
  <c r="AM221" i="4"/>
  <c r="AQ220" i="4"/>
  <c r="AP220" i="4"/>
  <c r="AO220" i="4"/>
  <c r="AN220" i="4"/>
  <c r="AM220" i="4"/>
  <c r="AQ219" i="4"/>
  <c r="AP219" i="4"/>
  <c r="AO219" i="4"/>
  <c r="AN219" i="4"/>
  <c r="AM219" i="4"/>
  <c r="AQ218" i="4"/>
  <c r="AP218" i="4"/>
  <c r="AO218" i="4"/>
  <c r="AN218" i="4"/>
  <c r="AM218" i="4"/>
  <c r="AQ217" i="4"/>
  <c r="AP217" i="4"/>
  <c r="AO217" i="4"/>
  <c r="AN217" i="4"/>
  <c r="AM217" i="4"/>
  <c r="AQ216" i="4"/>
  <c r="AP216" i="4"/>
  <c r="AO216" i="4"/>
  <c r="AN216" i="4"/>
  <c r="AM216" i="4"/>
  <c r="AQ215" i="4"/>
  <c r="AP215" i="4"/>
  <c r="AO215" i="4"/>
  <c r="AN215" i="4"/>
  <c r="AM215" i="4"/>
  <c r="AQ214" i="4"/>
  <c r="AP214" i="4"/>
  <c r="AO214" i="4"/>
  <c r="AN214" i="4"/>
  <c r="AM214" i="4"/>
  <c r="AQ213" i="4"/>
  <c r="AP213" i="4"/>
  <c r="AO213" i="4"/>
  <c r="AN213" i="4"/>
  <c r="AM213" i="4"/>
  <c r="AQ212" i="4"/>
  <c r="AP212" i="4"/>
  <c r="AO212" i="4"/>
  <c r="AN212" i="4"/>
  <c r="AM212" i="4"/>
  <c r="AQ211" i="4"/>
  <c r="AP211" i="4"/>
  <c r="AO211" i="4"/>
  <c r="AN211" i="4"/>
  <c r="AM211" i="4"/>
  <c r="AQ210" i="4"/>
  <c r="AP210" i="4"/>
  <c r="AO210" i="4"/>
  <c r="AN210" i="4"/>
  <c r="AM210" i="4"/>
  <c r="AQ209" i="4"/>
  <c r="AP209" i="4"/>
  <c r="AO209" i="4"/>
  <c r="AN209" i="4"/>
  <c r="AM209" i="4"/>
  <c r="AQ208" i="4"/>
  <c r="AP208" i="4"/>
  <c r="AO208" i="4"/>
  <c r="AN208" i="4"/>
  <c r="AM208" i="4"/>
  <c r="AQ207" i="4"/>
  <c r="AP207" i="4"/>
  <c r="AO207" i="4"/>
  <c r="AN207" i="4"/>
  <c r="AM207" i="4"/>
  <c r="AQ206" i="4"/>
  <c r="AP206" i="4"/>
  <c r="AO206" i="4"/>
  <c r="AN206" i="4"/>
  <c r="AM206" i="4"/>
  <c r="AQ205" i="4"/>
  <c r="AP205" i="4"/>
  <c r="AO205" i="4"/>
  <c r="AN205" i="4"/>
  <c r="AM205" i="4"/>
  <c r="AQ204" i="4"/>
  <c r="AP204" i="4"/>
  <c r="AO204" i="4"/>
  <c r="AN204" i="4"/>
  <c r="AM204" i="4"/>
  <c r="AQ203" i="4"/>
  <c r="AP203" i="4"/>
  <c r="AO203" i="4"/>
  <c r="AN203" i="4"/>
  <c r="AM203" i="4"/>
  <c r="AQ202" i="4"/>
  <c r="AP202" i="4"/>
  <c r="AO202" i="4"/>
  <c r="AN202" i="4"/>
  <c r="AM202" i="4"/>
  <c r="AQ201" i="4"/>
  <c r="AP201" i="4"/>
  <c r="AO201" i="4"/>
  <c r="AN201" i="4"/>
  <c r="AM201" i="4"/>
  <c r="AQ200" i="4"/>
  <c r="AP200" i="4"/>
  <c r="AO200" i="4"/>
  <c r="AN200" i="4"/>
  <c r="AM200" i="4"/>
  <c r="AQ199" i="4"/>
  <c r="AP199" i="4"/>
  <c r="AO199" i="4"/>
  <c r="AN199" i="4"/>
  <c r="AM199" i="4"/>
  <c r="AQ198" i="4"/>
  <c r="AP198" i="4"/>
  <c r="AO198" i="4"/>
  <c r="AN198" i="4"/>
  <c r="AM198" i="4"/>
  <c r="AQ197" i="4"/>
  <c r="AP197" i="4"/>
  <c r="AO197" i="4"/>
  <c r="AN197" i="4"/>
  <c r="AM197" i="4"/>
  <c r="AQ196" i="4"/>
  <c r="AP196" i="4"/>
  <c r="AO196" i="4"/>
  <c r="AN196" i="4"/>
  <c r="AM196" i="4"/>
  <c r="AQ195" i="4"/>
  <c r="AP195" i="4"/>
  <c r="AO195" i="4"/>
  <c r="AN195" i="4"/>
  <c r="AM195" i="4"/>
  <c r="AQ194" i="4"/>
  <c r="AP194" i="4"/>
  <c r="AO194" i="4"/>
  <c r="AN194" i="4"/>
  <c r="AM194" i="4"/>
  <c r="AQ193" i="4"/>
  <c r="AP193" i="4"/>
  <c r="AO193" i="4"/>
  <c r="AN193" i="4"/>
  <c r="AM193" i="4"/>
  <c r="AQ192" i="4"/>
  <c r="AP192" i="4"/>
  <c r="AO192" i="4"/>
  <c r="AN192" i="4"/>
  <c r="AM192" i="4"/>
  <c r="AQ191" i="4"/>
  <c r="AP191" i="4"/>
  <c r="AO191" i="4"/>
  <c r="AN191" i="4"/>
  <c r="AM191" i="4"/>
  <c r="AQ190" i="4"/>
  <c r="AP190" i="4"/>
  <c r="AO190" i="4"/>
  <c r="AN190" i="4"/>
  <c r="AM190" i="4"/>
  <c r="AQ189" i="4"/>
  <c r="AP189" i="4"/>
  <c r="AO189" i="4"/>
  <c r="AN189" i="4"/>
  <c r="AM189" i="4"/>
  <c r="AQ188" i="4"/>
  <c r="AP188" i="4"/>
  <c r="AO188" i="4"/>
  <c r="AN188" i="4"/>
  <c r="AM188" i="4"/>
  <c r="AQ187" i="4"/>
  <c r="AP187" i="4"/>
  <c r="AO187" i="4"/>
  <c r="AN187" i="4"/>
  <c r="AM187" i="4"/>
  <c r="AQ186" i="4"/>
  <c r="AP186" i="4"/>
  <c r="AO186" i="4"/>
  <c r="AN186" i="4"/>
  <c r="AM186" i="4"/>
  <c r="AQ185" i="4"/>
  <c r="AP185" i="4"/>
  <c r="AO185" i="4"/>
  <c r="AN185" i="4"/>
  <c r="AM185" i="4"/>
  <c r="AQ184" i="4"/>
  <c r="AP184" i="4"/>
  <c r="AO184" i="4"/>
  <c r="AN184" i="4"/>
  <c r="AM184" i="4"/>
  <c r="AQ183" i="4"/>
  <c r="AP183" i="4"/>
  <c r="AO183" i="4"/>
  <c r="AN183" i="4"/>
  <c r="AM183" i="4"/>
  <c r="AQ182" i="4"/>
  <c r="AP182" i="4"/>
  <c r="AO182" i="4"/>
  <c r="AN182" i="4"/>
  <c r="AM182" i="4"/>
  <c r="AQ181" i="4"/>
  <c r="AP181" i="4"/>
  <c r="AO181" i="4"/>
  <c r="AN181" i="4"/>
  <c r="AM181" i="4"/>
  <c r="AQ180" i="4"/>
  <c r="AP180" i="4"/>
  <c r="AO180" i="4"/>
  <c r="AN180" i="4"/>
  <c r="AM180" i="4"/>
  <c r="AQ179" i="4"/>
  <c r="AP179" i="4"/>
  <c r="AO179" i="4"/>
  <c r="AN179" i="4"/>
  <c r="AM179" i="4"/>
  <c r="AQ178" i="4"/>
  <c r="AP178" i="4"/>
  <c r="AO178" i="4"/>
  <c r="AN178" i="4"/>
  <c r="AM178" i="4"/>
  <c r="AQ177" i="4"/>
  <c r="AP177" i="4"/>
  <c r="AO177" i="4"/>
  <c r="AN177" i="4"/>
  <c r="AM177" i="4"/>
  <c r="AQ176" i="4"/>
  <c r="AP176" i="4"/>
  <c r="AO176" i="4"/>
  <c r="AN176" i="4"/>
  <c r="AM176" i="4"/>
  <c r="AQ175" i="4"/>
  <c r="AP175" i="4"/>
  <c r="AO175" i="4"/>
  <c r="AN175" i="4"/>
  <c r="AM175" i="4"/>
  <c r="AQ174" i="4"/>
  <c r="AP174" i="4"/>
  <c r="AO174" i="4"/>
  <c r="AN174" i="4"/>
  <c r="AM174" i="4"/>
  <c r="AQ173" i="4"/>
  <c r="AP173" i="4"/>
  <c r="AO173" i="4"/>
  <c r="AN173" i="4"/>
  <c r="AM173" i="4"/>
  <c r="AQ172" i="4"/>
  <c r="AP172" i="4"/>
  <c r="AO172" i="4"/>
  <c r="AN172" i="4"/>
  <c r="AM172" i="4"/>
  <c r="AQ171" i="4"/>
  <c r="AP171" i="4"/>
  <c r="AO171" i="4"/>
  <c r="AN171" i="4"/>
  <c r="AM171" i="4"/>
  <c r="AQ170" i="4"/>
  <c r="AP170" i="4"/>
  <c r="AO170" i="4"/>
  <c r="AN170" i="4"/>
  <c r="AM170" i="4"/>
  <c r="AQ169" i="4"/>
  <c r="AP169" i="4"/>
  <c r="AO169" i="4"/>
  <c r="AN169" i="4"/>
  <c r="AM169" i="4"/>
  <c r="AQ168" i="4"/>
  <c r="AP168" i="4"/>
  <c r="AO168" i="4"/>
  <c r="AN168" i="4"/>
  <c r="AM168" i="4"/>
  <c r="AQ167" i="4"/>
  <c r="AP167" i="4"/>
  <c r="AO167" i="4"/>
  <c r="AN167" i="4"/>
  <c r="AM167" i="4"/>
  <c r="AQ166" i="4"/>
  <c r="AP166" i="4"/>
  <c r="AO166" i="4"/>
  <c r="AN166" i="4"/>
  <c r="AM166" i="4"/>
  <c r="AQ165" i="4"/>
  <c r="AP165" i="4"/>
  <c r="AO165" i="4"/>
  <c r="AN165" i="4"/>
  <c r="AM165" i="4"/>
  <c r="AQ164" i="4"/>
  <c r="AP164" i="4"/>
  <c r="AO164" i="4"/>
  <c r="AN164" i="4"/>
  <c r="AM164" i="4"/>
  <c r="AQ163" i="4"/>
  <c r="AP163" i="4"/>
  <c r="AO163" i="4"/>
  <c r="AN163" i="4"/>
  <c r="AM163" i="4"/>
  <c r="AQ162" i="4"/>
  <c r="AP162" i="4"/>
  <c r="AO162" i="4"/>
  <c r="AN162" i="4"/>
  <c r="AM162" i="4"/>
  <c r="AQ161" i="4"/>
  <c r="AP161" i="4"/>
  <c r="AO161" i="4"/>
  <c r="AN161" i="4"/>
  <c r="AM161" i="4"/>
  <c r="AQ160" i="4"/>
  <c r="AP160" i="4"/>
  <c r="AO160" i="4"/>
  <c r="AN160" i="4"/>
  <c r="AM160" i="4"/>
  <c r="AQ159" i="4"/>
  <c r="AP159" i="4"/>
  <c r="AO159" i="4"/>
  <c r="AN159" i="4"/>
  <c r="AM159" i="4"/>
  <c r="AQ158" i="4"/>
  <c r="AP158" i="4"/>
  <c r="AO158" i="4"/>
  <c r="AN158" i="4"/>
  <c r="AM158" i="4"/>
  <c r="AQ157" i="4"/>
  <c r="AP157" i="4"/>
  <c r="AO157" i="4"/>
  <c r="AN157" i="4"/>
  <c r="AM157" i="4"/>
  <c r="AQ156" i="4"/>
  <c r="AP156" i="4"/>
  <c r="AO156" i="4"/>
  <c r="AN156" i="4"/>
  <c r="AM156" i="4"/>
  <c r="AQ155" i="4"/>
  <c r="AP155" i="4"/>
  <c r="AO155" i="4"/>
  <c r="AN155" i="4"/>
  <c r="AM155" i="4"/>
  <c r="AQ154" i="4"/>
  <c r="AP154" i="4"/>
  <c r="AO154" i="4"/>
  <c r="AN154" i="4"/>
  <c r="AM154" i="4"/>
  <c r="AQ153" i="4"/>
  <c r="AP153" i="4"/>
  <c r="AO153" i="4"/>
  <c r="AN153" i="4"/>
  <c r="AM153" i="4"/>
  <c r="AQ152" i="4"/>
  <c r="AP152" i="4"/>
  <c r="AO152" i="4"/>
  <c r="AN152" i="4"/>
  <c r="AM152" i="4"/>
  <c r="AQ151" i="4"/>
  <c r="AP151" i="4"/>
  <c r="AO151" i="4"/>
  <c r="AN151" i="4"/>
  <c r="AM151" i="4"/>
  <c r="AQ150" i="4"/>
  <c r="AP150" i="4"/>
  <c r="AO150" i="4"/>
  <c r="AN150" i="4"/>
  <c r="AM150" i="4"/>
  <c r="AQ149" i="4"/>
  <c r="AP149" i="4"/>
  <c r="AO149" i="4"/>
  <c r="AN149" i="4"/>
  <c r="AM149" i="4"/>
  <c r="AQ148" i="4"/>
  <c r="AP148" i="4"/>
  <c r="AO148" i="4"/>
  <c r="AN148" i="4"/>
  <c r="AM148" i="4"/>
  <c r="AQ147" i="4"/>
  <c r="AP147" i="4"/>
  <c r="AO147" i="4"/>
  <c r="AN147" i="4"/>
  <c r="AM147" i="4"/>
  <c r="AQ146" i="4"/>
  <c r="AP146" i="4"/>
  <c r="AO146" i="4"/>
  <c r="AN146" i="4"/>
  <c r="AM146" i="4"/>
  <c r="AQ145" i="4"/>
  <c r="AP145" i="4"/>
  <c r="AO145" i="4"/>
  <c r="AN145" i="4"/>
  <c r="AM145" i="4"/>
  <c r="AQ144" i="4"/>
  <c r="AP144" i="4"/>
  <c r="AO144" i="4"/>
  <c r="AN144" i="4"/>
  <c r="AM144" i="4"/>
  <c r="AQ143" i="4"/>
  <c r="AP143" i="4"/>
  <c r="AO143" i="4"/>
  <c r="AN143" i="4"/>
  <c r="AM143" i="4"/>
  <c r="AQ142" i="4"/>
  <c r="AP142" i="4"/>
  <c r="AO142" i="4"/>
  <c r="AN142" i="4"/>
  <c r="AM142" i="4"/>
  <c r="AQ141" i="4"/>
  <c r="AP141" i="4"/>
  <c r="AO141" i="4"/>
  <c r="AN141" i="4"/>
  <c r="AM141" i="4"/>
  <c r="AQ140" i="4"/>
  <c r="AP140" i="4"/>
  <c r="AO140" i="4"/>
  <c r="AN140" i="4"/>
  <c r="AM140" i="4"/>
  <c r="AQ139" i="4"/>
  <c r="AP139" i="4"/>
  <c r="AO139" i="4"/>
  <c r="AN139" i="4"/>
  <c r="AM139" i="4"/>
  <c r="AQ138" i="4"/>
  <c r="AP138" i="4"/>
  <c r="AO138" i="4"/>
  <c r="AN138" i="4"/>
  <c r="AM138" i="4"/>
  <c r="AQ137" i="4"/>
  <c r="AP137" i="4"/>
  <c r="AO137" i="4"/>
  <c r="AN137" i="4"/>
  <c r="AM137" i="4"/>
  <c r="AQ136" i="4"/>
  <c r="AP136" i="4"/>
  <c r="AO136" i="4"/>
  <c r="AN136" i="4"/>
  <c r="AM136" i="4"/>
  <c r="AQ135" i="4"/>
  <c r="AP135" i="4"/>
  <c r="AO135" i="4"/>
  <c r="AN135" i="4"/>
  <c r="AM135" i="4"/>
  <c r="AQ134" i="4"/>
  <c r="AP134" i="4"/>
  <c r="AO134" i="4"/>
  <c r="AN134" i="4"/>
  <c r="AM134" i="4"/>
  <c r="AQ133" i="4"/>
  <c r="AP133" i="4"/>
  <c r="AO133" i="4"/>
  <c r="AN133" i="4"/>
  <c r="AM133" i="4"/>
  <c r="AQ132" i="4"/>
  <c r="AP132" i="4"/>
  <c r="AO132" i="4"/>
  <c r="AN132" i="4"/>
  <c r="AM132" i="4"/>
  <c r="AQ131" i="4"/>
  <c r="AP131" i="4"/>
  <c r="AO131" i="4"/>
  <c r="AN131" i="4"/>
  <c r="AM131" i="4"/>
  <c r="AQ130" i="4"/>
  <c r="AP130" i="4"/>
  <c r="AO130" i="4"/>
  <c r="AN130" i="4"/>
  <c r="AM130" i="4"/>
  <c r="AQ129" i="4"/>
  <c r="AP129" i="4"/>
  <c r="AO129" i="4"/>
  <c r="AN129" i="4"/>
  <c r="AM129" i="4"/>
  <c r="AQ128" i="4"/>
  <c r="AP128" i="4"/>
  <c r="AO128" i="4"/>
  <c r="AN128" i="4"/>
  <c r="AM128" i="4"/>
  <c r="AQ127" i="4"/>
  <c r="AP127" i="4"/>
  <c r="AO127" i="4"/>
  <c r="AN127" i="4"/>
  <c r="AM127" i="4"/>
  <c r="AQ126" i="4"/>
  <c r="AP126" i="4"/>
  <c r="AO126" i="4"/>
  <c r="AN126" i="4"/>
  <c r="AM126" i="4"/>
  <c r="AQ125" i="4"/>
  <c r="AP125" i="4"/>
  <c r="AO125" i="4"/>
  <c r="AN125" i="4"/>
  <c r="AM125" i="4"/>
  <c r="AQ124" i="4"/>
  <c r="AP124" i="4"/>
  <c r="AO124" i="4"/>
  <c r="AN124" i="4"/>
  <c r="AM124" i="4"/>
  <c r="AQ123" i="4"/>
  <c r="AP123" i="4"/>
  <c r="AO123" i="4"/>
  <c r="AN123" i="4"/>
  <c r="AM123" i="4"/>
  <c r="AQ122" i="4"/>
  <c r="AP122" i="4"/>
  <c r="AO122" i="4"/>
  <c r="AN122" i="4"/>
  <c r="AM122" i="4"/>
  <c r="AQ121" i="4"/>
  <c r="AP121" i="4"/>
  <c r="AO121" i="4"/>
  <c r="AN121" i="4"/>
  <c r="AM121" i="4"/>
  <c r="AQ120" i="4"/>
  <c r="AP120" i="4"/>
  <c r="AO120" i="4"/>
  <c r="AN120" i="4"/>
  <c r="AM120" i="4"/>
  <c r="AQ119" i="4"/>
  <c r="AP119" i="4"/>
  <c r="AO119" i="4"/>
  <c r="AN119" i="4"/>
  <c r="AM119" i="4"/>
  <c r="AQ118" i="4"/>
  <c r="AP118" i="4"/>
  <c r="AO118" i="4"/>
  <c r="AN118" i="4"/>
  <c r="AM118" i="4"/>
  <c r="AQ117" i="4"/>
  <c r="AP117" i="4"/>
  <c r="AO117" i="4"/>
  <c r="AN117" i="4"/>
  <c r="AM117" i="4"/>
  <c r="AQ116" i="4"/>
  <c r="AP116" i="4"/>
  <c r="AO116" i="4"/>
  <c r="AN116" i="4"/>
  <c r="AM116" i="4"/>
  <c r="AQ115" i="4"/>
  <c r="AP115" i="4"/>
  <c r="AO115" i="4"/>
  <c r="AN115" i="4"/>
  <c r="AM115" i="4"/>
  <c r="AQ114" i="4"/>
  <c r="AP114" i="4"/>
  <c r="AO114" i="4"/>
  <c r="AN114" i="4"/>
  <c r="AM114" i="4"/>
  <c r="AQ113" i="4"/>
  <c r="AP113" i="4"/>
  <c r="AO113" i="4"/>
  <c r="AN113" i="4"/>
  <c r="AM113" i="4"/>
  <c r="AQ112" i="4"/>
  <c r="AP112" i="4"/>
  <c r="AO112" i="4"/>
  <c r="AN112" i="4"/>
  <c r="AM112" i="4"/>
  <c r="AQ111" i="4"/>
  <c r="AP111" i="4"/>
  <c r="AO111" i="4"/>
  <c r="AN111" i="4"/>
  <c r="AM111" i="4"/>
  <c r="AQ110" i="4"/>
  <c r="AP110" i="4"/>
  <c r="AO110" i="4"/>
  <c r="AN110" i="4"/>
  <c r="AM110" i="4"/>
  <c r="AQ109" i="4"/>
  <c r="AP109" i="4"/>
  <c r="AO109" i="4"/>
  <c r="AN109" i="4"/>
  <c r="AM109" i="4"/>
  <c r="AQ108" i="4"/>
  <c r="AP108" i="4"/>
  <c r="AO108" i="4"/>
  <c r="AN108" i="4"/>
  <c r="AM108" i="4"/>
  <c r="AQ107" i="4"/>
  <c r="AP107" i="4"/>
  <c r="AO107" i="4"/>
  <c r="AN107" i="4"/>
  <c r="AM107" i="4"/>
  <c r="AQ106" i="4"/>
  <c r="AP106" i="4"/>
  <c r="AO106" i="4"/>
  <c r="AN106" i="4"/>
  <c r="AM106" i="4"/>
  <c r="AQ105" i="4"/>
  <c r="AP105" i="4"/>
  <c r="AO105" i="4"/>
  <c r="AN105" i="4"/>
  <c r="AM105" i="4"/>
  <c r="AQ104" i="4"/>
  <c r="AP104" i="4"/>
  <c r="AO104" i="4"/>
  <c r="AN104" i="4"/>
  <c r="AM104" i="4"/>
  <c r="AQ103" i="4"/>
  <c r="AP103" i="4"/>
  <c r="AO103" i="4"/>
  <c r="AN103" i="4"/>
  <c r="AM103" i="4"/>
  <c r="AQ102" i="4"/>
  <c r="AP102" i="4"/>
  <c r="AO102" i="4"/>
  <c r="AN102" i="4"/>
  <c r="AM102" i="4"/>
  <c r="AQ101" i="4"/>
  <c r="AP101" i="4"/>
  <c r="AO101" i="4"/>
  <c r="AN101" i="4"/>
  <c r="AM101" i="4"/>
  <c r="AQ100" i="4"/>
  <c r="AP100" i="4"/>
  <c r="AO100" i="4"/>
  <c r="AN100" i="4"/>
  <c r="AM100" i="4"/>
  <c r="AQ99" i="4"/>
  <c r="AP99" i="4"/>
  <c r="AO99" i="4"/>
  <c r="AN99" i="4"/>
  <c r="AM99" i="4"/>
  <c r="AQ98" i="4"/>
  <c r="AP98" i="4"/>
  <c r="AO98" i="4"/>
  <c r="AN98" i="4"/>
  <c r="AM98" i="4"/>
  <c r="AQ97" i="4"/>
  <c r="AP97" i="4"/>
  <c r="AO97" i="4"/>
  <c r="AN97" i="4"/>
  <c r="AM97" i="4"/>
  <c r="AQ96" i="4"/>
  <c r="AP96" i="4"/>
  <c r="AO96" i="4"/>
  <c r="AN96" i="4"/>
  <c r="AM96" i="4"/>
  <c r="AQ95" i="4"/>
  <c r="AP95" i="4"/>
  <c r="AO95" i="4"/>
  <c r="AN95" i="4"/>
  <c r="AM95" i="4"/>
  <c r="AQ94" i="4"/>
  <c r="AP94" i="4"/>
  <c r="AO94" i="4"/>
  <c r="AN94" i="4"/>
  <c r="AM94" i="4"/>
  <c r="AQ93" i="4"/>
  <c r="AP93" i="4"/>
  <c r="AO93" i="4"/>
  <c r="AN93" i="4"/>
  <c r="AM93" i="4"/>
  <c r="AQ92" i="4"/>
  <c r="AP92" i="4"/>
  <c r="AO92" i="4"/>
  <c r="AN92" i="4"/>
  <c r="AM92" i="4"/>
  <c r="AQ91" i="4"/>
  <c r="AP91" i="4"/>
  <c r="AO91" i="4"/>
  <c r="AN91" i="4"/>
  <c r="AM91" i="4"/>
  <c r="AQ90" i="4"/>
  <c r="AP90" i="4"/>
  <c r="AO90" i="4"/>
  <c r="AN90" i="4"/>
  <c r="AM90" i="4"/>
  <c r="AQ89" i="4"/>
  <c r="AP89" i="4"/>
  <c r="AO89" i="4"/>
  <c r="AN89" i="4"/>
  <c r="AM89" i="4"/>
  <c r="AQ88" i="4"/>
  <c r="AP88" i="4"/>
  <c r="AO88" i="4"/>
  <c r="AN88" i="4"/>
  <c r="AM88" i="4"/>
  <c r="AQ87" i="4"/>
  <c r="AP87" i="4"/>
  <c r="AO87" i="4"/>
  <c r="AN87" i="4"/>
  <c r="AM87" i="4"/>
  <c r="AQ86" i="4"/>
  <c r="AP86" i="4"/>
  <c r="AO86" i="4"/>
  <c r="AN86" i="4"/>
  <c r="AM86" i="4"/>
  <c r="AQ85" i="4"/>
  <c r="AP85" i="4"/>
  <c r="AO85" i="4"/>
  <c r="AN85" i="4"/>
  <c r="AM85" i="4"/>
  <c r="AQ84" i="4"/>
  <c r="AP84" i="4"/>
  <c r="AO84" i="4"/>
  <c r="AN84" i="4"/>
  <c r="AM84" i="4"/>
  <c r="AQ83" i="4"/>
  <c r="AP83" i="4"/>
  <c r="AO83" i="4"/>
  <c r="AN83" i="4"/>
  <c r="AM83" i="4"/>
  <c r="AQ82" i="4"/>
  <c r="AP82" i="4"/>
  <c r="AO82" i="4"/>
  <c r="AN82" i="4"/>
  <c r="AM82" i="4"/>
  <c r="AQ81" i="4"/>
  <c r="AP81" i="4"/>
  <c r="AO81" i="4"/>
  <c r="AN81" i="4"/>
  <c r="AM81" i="4"/>
  <c r="AQ80" i="4"/>
  <c r="AP80" i="4"/>
  <c r="AO80" i="4"/>
  <c r="AN80" i="4"/>
  <c r="AM80" i="4"/>
  <c r="AQ79" i="4"/>
  <c r="AP79" i="4"/>
  <c r="AO79" i="4"/>
  <c r="AN79" i="4"/>
  <c r="AM79" i="4"/>
  <c r="AQ78" i="4"/>
  <c r="AP78" i="4"/>
  <c r="AO78" i="4"/>
  <c r="AN78" i="4"/>
  <c r="AM78" i="4"/>
  <c r="AQ77" i="4"/>
  <c r="AP77" i="4"/>
  <c r="AO77" i="4"/>
  <c r="AN77" i="4"/>
  <c r="AM77" i="4"/>
  <c r="AQ76" i="4"/>
  <c r="AP76" i="4"/>
  <c r="AO76" i="4"/>
  <c r="AN76" i="4"/>
  <c r="AM76" i="4"/>
  <c r="AQ75" i="4"/>
  <c r="AP75" i="4"/>
  <c r="AO75" i="4"/>
  <c r="AN75" i="4"/>
  <c r="AM75" i="4"/>
  <c r="AQ74" i="4"/>
  <c r="AP74" i="4"/>
  <c r="AO74" i="4"/>
  <c r="AN74" i="4"/>
  <c r="AM74" i="4"/>
  <c r="AQ73" i="4"/>
  <c r="AP73" i="4"/>
  <c r="AO73" i="4"/>
  <c r="AN73" i="4"/>
  <c r="AM73" i="4"/>
  <c r="AQ72" i="4"/>
  <c r="AP72" i="4"/>
  <c r="AO72" i="4"/>
  <c r="AN72" i="4"/>
  <c r="AM72" i="4"/>
  <c r="AQ71" i="4"/>
  <c r="AP71" i="4"/>
  <c r="AO71" i="4"/>
  <c r="AN71" i="4"/>
  <c r="AM71" i="4"/>
  <c r="AQ70" i="4"/>
  <c r="AP70" i="4"/>
  <c r="AO70" i="4"/>
  <c r="AN70" i="4"/>
  <c r="AM70" i="4"/>
  <c r="AQ69" i="4"/>
  <c r="AP69" i="4"/>
  <c r="AO69" i="4"/>
  <c r="AN69" i="4"/>
  <c r="AM69" i="4"/>
  <c r="AQ68" i="4"/>
  <c r="AP68" i="4"/>
  <c r="AO68" i="4"/>
  <c r="AN68" i="4"/>
  <c r="AM68" i="4"/>
  <c r="AQ67" i="4"/>
  <c r="AP67" i="4"/>
  <c r="AO67" i="4"/>
  <c r="AN67" i="4"/>
  <c r="AM67" i="4"/>
  <c r="AQ66" i="4"/>
  <c r="AP66" i="4"/>
  <c r="AO66" i="4"/>
  <c r="AN66" i="4"/>
  <c r="AM66" i="4"/>
  <c r="AQ65" i="4"/>
  <c r="AP65" i="4"/>
  <c r="AO65" i="4"/>
  <c r="AN65" i="4"/>
  <c r="AM65" i="4"/>
  <c r="AQ64" i="4"/>
  <c r="AP64" i="4"/>
  <c r="AO64" i="4"/>
  <c r="AN64" i="4"/>
  <c r="AM64" i="4"/>
  <c r="AQ63" i="4"/>
  <c r="AP63" i="4"/>
  <c r="AO63" i="4"/>
  <c r="AN63" i="4"/>
  <c r="AM63" i="4"/>
  <c r="AQ62" i="4"/>
  <c r="AP62" i="4"/>
  <c r="AO62" i="4"/>
  <c r="AN62" i="4"/>
  <c r="AM62" i="4"/>
  <c r="AQ61" i="4"/>
  <c r="AP61" i="4"/>
  <c r="AO61" i="4"/>
  <c r="AN61" i="4"/>
  <c r="AM61" i="4"/>
  <c r="AQ60" i="4"/>
  <c r="AP60" i="4"/>
  <c r="AO60" i="4"/>
  <c r="AN60" i="4"/>
  <c r="AM60" i="4"/>
  <c r="AQ59" i="4"/>
  <c r="AP59" i="4"/>
  <c r="AO59" i="4"/>
  <c r="AN59" i="4"/>
  <c r="AM59" i="4"/>
  <c r="AQ58" i="4"/>
  <c r="AP58" i="4"/>
  <c r="AO58" i="4"/>
  <c r="AN58" i="4"/>
  <c r="AM58" i="4"/>
  <c r="AQ57" i="4"/>
  <c r="AP57" i="4"/>
  <c r="AO57" i="4"/>
  <c r="AN57" i="4"/>
  <c r="AM57" i="4"/>
  <c r="AQ56" i="4"/>
  <c r="AP56" i="4"/>
  <c r="AO56" i="4"/>
  <c r="AN56" i="4"/>
  <c r="AM56" i="4"/>
  <c r="AQ55" i="4"/>
  <c r="AP55" i="4"/>
  <c r="AO55" i="4"/>
  <c r="AN55" i="4"/>
  <c r="AM55" i="4"/>
  <c r="AQ54" i="4"/>
  <c r="AP54" i="4"/>
  <c r="AO54" i="4"/>
  <c r="AN54" i="4"/>
  <c r="AM54" i="4"/>
  <c r="AQ53" i="4"/>
  <c r="AP53" i="4"/>
  <c r="AO53" i="4"/>
  <c r="AN53" i="4"/>
  <c r="AM53" i="4"/>
  <c r="AQ52" i="4"/>
  <c r="AP52" i="4"/>
  <c r="AO52" i="4"/>
  <c r="AN52" i="4"/>
  <c r="AM52" i="4"/>
  <c r="AQ51" i="4"/>
  <c r="AP51" i="4"/>
  <c r="AO51" i="4"/>
  <c r="AN51" i="4"/>
  <c r="AM51" i="4"/>
  <c r="AQ50" i="4"/>
  <c r="AP50" i="4"/>
  <c r="AO50" i="4"/>
  <c r="AN50" i="4"/>
  <c r="AM50" i="4"/>
  <c r="AQ49" i="4"/>
  <c r="AP49" i="4"/>
  <c r="AO49" i="4"/>
  <c r="AN49" i="4"/>
  <c r="AM49" i="4"/>
  <c r="AQ48" i="4"/>
  <c r="AP48" i="4"/>
  <c r="AO48" i="4"/>
  <c r="AN48" i="4"/>
  <c r="AM48" i="4"/>
  <c r="AQ47" i="4"/>
  <c r="AP47" i="4"/>
  <c r="AO47" i="4"/>
  <c r="AN47" i="4"/>
  <c r="AM47" i="4"/>
  <c r="AQ46" i="4"/>
  <c r="AP46" i="4"/>
  <c r="AO46" i="4"/>
  <c r="AN46" i="4"/>
  <c r="AM46" i="4"/>
  <c r="AQ45" i="4"/>
  <c r="AP45" i="4"/>
  <c r="AO45" i="4"/>
  <c r="AN45" i="4"/>
  <c r="AM45" i="4"/>
  <c r="AQ44" i="4"/>
  <c r="AP44" i="4"/>
  <c r="AO44" i="4"/>
  <c r="AN44" i="4"/>
  <c r="AM44" i="4"/>
  <c r="AQ43" i="4"/>
  <c r="AP43" i="4"/>
  <c r="AO43" i="4"/>
  <c r="AN43" i="4"/>
  <c r="AM43" i="4"/>
  <c r="AQ42" i="4"/>
  <c r="AP42" i="4"/>
  <c r="AO42" i="4"/>
  <c r="AN42" i="4"/>
  <c r="AM42" i="4"/>
  <c r="AQ41" i="4"/>
  <c r="AP41" i="4"/>
  <c r="AO41" i="4"/>
  <c r="AN41" i="4"/>
  <c r="AM41" i="4"/>
  <c r="AQ40" i="4"/>
  <c r="AP40" i="4"/>
  <c r="AO40" i="4"/>
  <c r="AN40" i="4"/>
  <c r="AM40" i="4"/>
  <c r="AQ39" i="4"/>
  <c r="AP39" i="4"/>
  <c r="AO39" i="4"/>
  <c r="AN39" i="4"/>
  <c r="AM39" i="4"/>
  <c r="AQ38" i="4"/>
  <c r="AP38" i="4"/>
  <c r="AO38" i="4"/>
  <c r="AN38" i="4"/>
  <c r="AM38" i="4"/>
  <c r="AQ37" i="4"/>
  <c r="AP37" i="4"/>
  <c r="AO37" i="4"/>
  <c r="AN37" i="4"/>
  <c r="AM37" i="4"/>
  <c r="AQ36" i="4"/>
  <c r="AP36" i="4"/>
  <c r="AO36" i="4"/>
  <c r="AN36" i="4"/>
  <c r="AM36" i="4"/>
  <c r="AQ35" i="4"/>
  <c r="AP35" i="4"/>
  <c r="AO35" i="4"/>
  <c r="AN35" i="4"/>
  <c r="AM35" i="4"/>
  <c r="AQ34" i="4"/>
  <c r="AP34" i="4"/>
  <c r="AO34" i="4"/>
  <c r="AN34" i="4"/>
  <c r="AM34" i="4"/>
  <c r="AQ33" i="4"/>
  <c r="AP33" i="4"/>
  <c r="AO33" i="4"/>
  <c r="AN33" i="4"/>
  <c r="AM33" i="4"/>
  <c r="AQ32" i="4"/>
  <c r="AP32" i="4"/>
  <c r="AO32" i="4"/>
  <c r="AN32" i="4"/>
  <c r="AM32" i="4"/>
  <c r="AQ31" i="4"/>
  <c r="AP31" i="4"/>
  <c r="AO31" i="4"/>
  <c r="AN31" i="4"/>
  <c r="AM31" i="4"/>
  <c r="AQ30" i="4"/>
  <c r="AP30" i="4"/>
  <c r="AO30" i="4"/>
  <c r="AN30" i="4"/>
  <c r="AM30" i="4"/>
  <c r="AQ29" i="4"/>
  <c r="AP29" i="4"/>
  <c r="AO29" i="4"/>
  <c r="AN29" i="4"/>
  <c r="AM29" i="4"/>
  <c r="AQ28" i="4"/>
  <c r="AP28" i="4"/>
  <c r="AO28" i="4"/>
  <c r="AN28" i="4"/>
  <c r="AM28" i="4"/>
  <c r="AQ27" i="4"/>
  <c r="AP27" i="4"/>
  <c r="AO27" i="4"/>
  <c r="AN27" i="4"/>
  <c r="AM27" i="4"/>
  <c r="AQ26" i="4"/>
  <c r="AP26" i="4"/>
  <c r="AO26" i="4"/>
  <c r="AN26" i="4"/>
  <c r="AM26" i="4"/>
  <c r="AQ25" i="4"/>
  <c r="AP25" i="4"/>
  <c r="AO25" i="4"/>
  <c r="AN25" i="4"/>
  <c r="AM25" i="4"/>
  <c r="AQ24" i="4"/>
  <c r="AP24" i="4"/>
  <c r="AO24" i="4"/>
  <c r="AN24" i="4"/>
  <c r="AM24" i="4"/>
  <c r="AQ23" i="4"/>
  <c r="AP23" i="4"/>
  <c r="AO23" i="4"/>
  <c r="AN23" i="4"/>
  <c r="AM23" i="4"/>
  <c r="AQ22" i="4"/>
  <c r="AP22" i="4"/>
  <c r="AO22" i="4"/>
  <c r="AN22" i="4"/>
  <c r="AM22" i="4"/>
  <c r="AQ21" i="4"/>
  <c r="AP21" i="4"/>
  <c r="AO21" i="4"/>
  <c r="AN21" i="4"/>
  <c r="AM21" i="4"/>
  <c r="AQ20" i="4"/>
  <c r="AP20" i="4"/>
  <c r="AO20" i="4"/>
  <c r="AN20" i="4"/>
  <c r="AM20" i="4"/>
  <c r="AQ19" i="4"/>
  <c r="AP19" i="4"/>
  <c r="AO19" i="4"/>
  <c r="AN19" i="4"/>
  <c r="AM19" i="4"/>
  <c r="AQ18" i="4"/>
  <c r="AP18" i="4"/>
  <c r="AO18" i="4"/>
  <c r="AN18" i="4"/>
  <c r="AM18" i="4"/>
  <c r="AQ17" i="4"/>
  <c r="AP17" i="4"/>
  <c r="AO17" i="4"/>
  <c r="AN17" i="4"/>
  <c r="AM17" i="4"/>
  <c r="AQ16" i="4"/>
  <c r="AP16" i="4"/>
  <c r="AO16" i="4"/>
  <c r="AN16" i="4"/>
  <c r="AM16" i="4"/>
  <c r="AQ15" i="4"/>
  <c r="AP15" i="4"/>
  <c r="AO15" i="4"/>
  <c r="AN15" i="4"/>
  <c r="AM15" i="4"/>
  <c r="AQ14" i="4"/>
  <c r="AP14" i="4"/>
  <c r="AO14" i="4"/>
  <c r="AN14" i="4"/>
  <c r="AM14" i="4"/>
  <c r="AQ13" i="4"/>
  <c r="AP13" i="4"/>
  <c r="AO13" i="4"/>
  <c r="AN13" i="4"/>
  <c r="AM13" i="4"/>
  <c r="AQ12" i="4"/>
  <c r="AP12" i="4"/>
  <c r="AO12" i="4"/>
  <c r="AN12" i="4"/>
  <c r="AM12" i="4"/>
  <c r="AQ11" i="4"/>
  <c r="AP11" i="4"/>
  <c r="AO11" i="4"/>
  <c r="AN11" i="4"/>
  <c r="AM11" i="4"/>
  <c r="AQ10" i="4"/>
  <c r="AP10" i="4"/>
  <c r="AO10" i="4"/>
  <c r="AN10" i="4"/>
  <c r="AM10" i="4"/>
  <c r="AQ9" i="4"/>
  <c r="AP9" i="4"/>
  <c r="AO9" i="4"/>
  <c r="AN9" i="4"/>
  <c r="AM9" i="4"/>
  <c r="AQ8" i="4"/>
  <c r="AP8" i="4"/>
  <c r="AO8" i="4"/>
  <c r="AN8" i="4"/>
  <c r="AM8" i="4"/>
  <c r="AQ7" i="4"/>
  <c r="AP7" i="4"/>
  <c r="AO7" i="4"/>
  <c r="AN7" i="4"/>
  <c r="AM7" i="4"/>
  <c r="AQ6" i="4"/>
  <c r="AP6" i="4"/>
  <c r="AO6" i="4"/>
  <c r="AN6" i="4"/>
  <c r="AM6" i="4"/>
  <c r="AQ5" i="4"/>
  <c r="AP5" i="4"/>
  <c r="AO5" i="4"/>
  <c r="AN5" i="4"/>
  <c r="AM5" i="4"/>
  <c r="AQ4" i="4"/>
  <c r="AP4" i="4"/>
  <c r="AO4" i="4"/>
  <c r="AN4" i="4"/>
  <c r="AM4" i="4"/>
  <c r="AQ3" i="4"/>
  <c r="AP3" i="4"/>
  <c r="AO3" i="4"/>
  <c r="AN3" i="4"/>
  <c r="AM3" i="4"/>
  <c r="AQ2" i="4"/>
  <c r="AP2" i="4"/>
  <c r="AO2" i="4"/>
  <c r="AN2" i="4"/>
  <c r="AM2" i="4"/>
  <c r="G2" i="3"/>
  <c r="F2" i="3"/>
  <c r="F3" i="3" s="1"/>
  <c r="E2" i="3"/>
  <c r="E3" i="3" s="1"/>
  <c r="C2" i="3"/>
  <c r="C3" i="3" s="1"/>
  <c r="H3" i="3" l="1"/>
  <c r="G3" i="3"/>
  <c r="C92" i="3" s="1"/>
  <c r="C6" i="3"/>
  <c r="B7" i="2" s="1"/>
  <c r="C7" i="3"/>
  <c r="E7" i="2" s="1"/>
  <c r="C8" i="3"/>
  <c r="C10" i="3"/>
  <c r="N7" i="2" s="1"/>
  <c r="C11" i="3"/>
  <c r="Q7" i="2" s="1"/>
  <c r="C12" i="3"/>
  <c r="T7" i="2" s="1"/>
  <c r="C16" i="3"/>
  <c r="C17" i="3"/>
  <c r="C18" i="3"/>
  <c r="C19" i="3"/>
  <c r="C20" i="3"/>
  <c r="C24" i="3"/>
  <c r="C25" i="3"/>
  <c r="C26" i="3"/>
  <c r="C27" i="3"/>
  <c r="C31" i="3"/>
  <c r="C32" i="3"/>
  <c r="C33" i="3"/>
  <c r="C34" i="3"/>
  <c r="C38" i="3"/>
  <c r="D38" i="3"/>
  <c r="C39" i="3"/>
  <c r="D39" i="3"/>
  <c r="C40" i="3"/>
  <c r="D40" i="3"/>
  <c r="C41" i="3"/>
  <c r="D41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D92" i="3"/>
  <c r="D96" i="3"/>
  <c r="C97" i="3"/>
  <c r="D97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E152" i="3" s="1"/>
  <c r="C153" i="3"/>
  <c r="D153" i="3"/>
  <c r="C154" i="3"/>
  <c r="D154" i="3"/>
  <c r="C155" i="3"/>
  <c r="D155" i="3"/>
  <c r="E155" i="3" s="1"/>
  <c r="C156" i="3"/>
  <c r="D156" i="3"/>
  <c r="E156" i="3" s="1"/>
  <c r="C157" i="3"/>
  <c r="D157" i="3"/>
  <c r="D158" i="3"/>
  <c r="C162" i="3"/>
  <c r="E150" i="3" l="1"/>
  <c r="E154" i="3"/>
  <c r="C158" i="3"/>
  <c r="C93" i="3"/>
  <c r="D93" i="3"/>
  <c r="C94" i="3"/>
  <c r="D94" i="3"/>
  <c r="C95" i="3"/>
  <c r="D95" i="3"/>
  <c r="C96" i="3"/>
  <c r="C163" i="3"/>
  <c r="E157" i="3"/>
  <c r="E146" i="3"/>
  <c r="E147" i="3"/>
  <c r="E148" i="3"/>
  <c r="E149" i="3"/>
  <c r="E158" i="3"/>
  <c r="E145" i="3"/>
  <c r="C9" i="3"/>
  <c r="K7" i="2" s="1"/>
  <c r="H7" i="2"/>
  <c r="E151" i="3"/>
  <c r="E15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M1" authorId="0" shapeId="0" xr:uid="{00000000-0006-0000-0300-000001000000}">
      <text>
        <r>
          <rPr>
            <sz val="10"/>
            <rFont val="Arial"/>
            <family val="2"/>
          </rPr>
          <t>Helper columns added: hire/leave quarter and month, calculated from DateStart and DateDeparture.</t>
        </r>
      </text>
    </comment>
  </commentList>
</comments>
</file>

<file path=xl/sharedStrings.xml><?xml version="1.0" encoding="utf-8"?>
<sst xmlns="http://schemas.openxmlformats.org/spreadsheetml/2006/main" count="24527" uniqueCount="187">
  <si>
    <t>Corrected HR Analytics Dashboard (Research &amp; Development). Open the 'Interactive Dashboard' sheet to switch departments.</t>
  </si>
  <si>
    <t>HR ANALYTICS REPORT</t>
  </si>
  <si>
    <t>Workforce, terminations and salary  |  Faith Faithful Usenideh</t>
  </si>
  <si>
    <t>Department:</t>
  </si>
  <si>
    <t>Research &amp; Development</t>
  </si>
  <si>
    <t>Employment:</t>
  </si>
  <si>
    <t>All</t>
  </si>
  <si>
    <t>Gender:</t>
  </si>
  <si>
    <t>Hire year:</t>
  </si>
  <si>
    <t>◄ FILTERS: click an orange box and pick from the drop-down; every card and chart updates</t>
  </si>
  <si>
    <t>Total Employees</t>
  </si>
  <si>
    <t>Current Employees</t>
  </si>
  <si>
    <t>Terminated</t>
  </si>
  <si>
    <t>Termination Rate</t>
  </si>
  <si>
    <t>Total Salary (USD)</t>
  </si>
  <si>
    <t>Male (current)</t>
  </si>
  <si>
    <t>Female (current)</t>
  </si>
  <si>
    <t>HR Analytics: calculations</t>
  </si>
  <si>
    <t>Employment type</t>
  </si>
  <si>
    <t>Gender</t>
  </si>
  <si>
    <t>Hire year from</t>
  </si>
  <si>
    <t>Hire year to</t>
  </si>
  <si>
    <t>Department shown (change it on the Dashboard)</t>
  </si>
  <si>
    <t>Filter used in formulas</t>
  </si>
  <si>
    <t>Key metrics</t>
  </si>
  <si>
    <t>Total employees (since inception)</t>
  </si>
  <si>
    <t>Current employees (headcount)</t>
  </si>
  <si>
    <t>Terminated employees</t>
  </si>
  <si>
    <t>Termination rate (terminated / headcount)</t>
  </si>
  <si>
    <t>Formula from the brief: Termination / Headcount</t>
  </si>
  <si>
    <t>Total salary, current employees (USD)</t>
  </si>
  <si>
    <t>Education level (current employees)</t>
  </si>
  <si>
    <t>Education</t>
  </si>
  <si>
    <t>Employees</t>
  </si>
  <si>
    <t>Doctor</t>
  </si>
  <si>
    <t>Below College</t>
  </si>
  <si>
    <t>College</t>
  </si>
  <si>
    <t>Master</t>
  </si>
  <si>
    <t>Bachelor</t>
  </si>
  <si>
    <t>Job satisfaction (current employees)</t>
  </si>
  <si>
    <t>Satisfaction</t>
  </si>
  <si>
    <t>Low</t>
  </si>
  <si>
    <t>Medium</t>
  </si>
  <si>
    <t>High</t>
  </si>
  <si>
    <t>Very High</t>
  </si>
  <si>
    <t>Work-life balance (current employees)</t>
  </si>
  <si>
    <t>Work-life balance</t>
  </si>
  <si>
    <t>Bad</t>
  </si>
  <si>
    <t>Good</t>
  </si>
  <si>
    <t>Better</t>
  </si>
  <si>
    <t>Best</t>
  </si>
  <si>
    <t>Quarterly hires and terminations</t>
  </si>
  <si>
    <t>Quarter</t>
  </si>
  <si>
    <t>New hires</t>
  </si>
  <si>
    <t>Terminations</t>
  </si>
  <si>
    <t>Hires use DateStart (all hires); terminations use DateDeparture</t>
  </si>
  <si>
    <t>Qtr1</t>
  </si>
  <si>
    <t>Qtr2</t>
  </si>
  <si>
    <t>Qtr3</t>
  </si>
  <si>
    <t>Qtr4</t>
  </si>
  <si>
    <t>Monthly terminations (by leaving month) and salary (by hire month)</t>
  </si>
  <si>
    <t>Month</t>
  </si>
  <si>
    <t>Salary of current staff hired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</si>
  <si>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</si>
  <si>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</si>
  <si>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</si>
  <si>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</si>
  <si>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</si>
  <si>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</si>
  <si>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</si>
  <si>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</si>
  <si>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</si>
  <si>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</si>
  <si>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</si>
  <si>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</si>
  <si>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Salary by years at company (current employees)</t>
  </si>
  <si>
    <t>Years at company</t>
  </si>
  <si>
    <t>Full-time</t>
  </si>
  <si>
    <t>Contractor</t>
  </si>
  <si>
    <t>Salary by total working years and gender (current employees)</t>
  </si>
  <si>
    <t>Total working years</t>
  </si>
  <si>
    <t>Female</t>
  </si>
  <si>
    <t>Male</t>
  </si>
  <si>
    <t>Why people leave: termination share of all employees in each group</t>
  </si>
  <si>
    <t>Group</t>
  </si>
  <si>
    <t>Left</t>
  </si>
  <si>
    <t>Leave rate</t>
  </si>
  <si>
    <t>Overtime: Yes</t>
  </si>
  <si>
    <t>Overtime: No</t>
  </si>
  <si>
    <t>Work-life balance: Bad</t>
  </si>
  <si>
    <t>Work-life balance: Better</t>
  </si>
  <si>
    <t>Job satisfaction: Low</t>
  </si>
  <si>
    <t>Job satisfaction: Very High</t>
  </si>
  <si>
    <t>Age 20-30</t>
  </si>
  <si>
    <t>Age 40-50</t>
  </si>
  <si>
    <t>Single</t>
  </si>
  <si>
    <t>Divorced</t>
  </si>
  <si>
    <t>Travels frequently</t>
  </si>
  <si>
    <t>Non-travel</t>
  </si>
  <si>
    <t>Average salary</t>
  </si>
  <si>
    <t>Average salary (USD)</t>
  </si>
  <si>
    <t>Employees who stayed</t>
  </si>
  <si>
    <t>Employees who left</t>
  </si>
  <si>
    <t>ID_employe</t>
  </si>
  <si>
    <t>Age</t>
  </si>
  <si>
    <t>Attrition</t>
  </si>
  <si>
    <t>BusinessTravel</t>
  </si>
  <si>
    <t>Department</t>
  </si>
  <si>
    <t>EnvironmentSatisfaction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</si>
  <si>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</si>
  <si>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</si>
  <si>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</si>
  <si>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</si>
  <si>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</si>
  <si>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</si>
  <si>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</si>
  <si>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</si>
  <si>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</si>
  <si>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</si>
  <si>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</si>
  <si>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</si>
  <si>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</si>
  <si>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</si>
  <si>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</si>
  <si>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</si>
  <si>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</si>
  <si>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</si>
  <si>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</si>
  <si>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</si>
  <si>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</si>
  <si>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</si>
  <si>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</si>
  <si>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</si>
  <si>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</si>
  <si>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</si>
  <si>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</si>
  <si>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</si>
  <si>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</si>
  <si>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</si>
  <si>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HireQuarter</t>
  </si>
  <si>
    <t>HireMonth</t>
  </si>
  <si>
    <t>LeaveQuarter</t>
  </si>
  <si>
    <t>LeaveMonth</t>
  </si>
  <si>
    <t>HireYear</t>
  </si>
  <si>
    <t>Yes</t>
  </si>
  <si>
    <t>Travel_Rarely</t>
  </si>
  <si>
    <t>Research Scientist</t>
  </si>
  <si>
    <t>Excellent</t>
  </si>
  <si>
    <t>No</t>
  </si>
  <si>
    <t>3_Between 30 and 40</t>
  </si>
  <si>
    <t>4_Between 5-10 years</t>
  </si>
  <si>
    <t>Travel_Frequently</t>
  </si>
  <si>
    <t>Outstanding</t>
  </si>
  <si>
    <t>4_Between 40 and 50</t>
  </si>
  <si>
    <t>5_Between 10-15 years</t>
  </si>
  <si>
    <t>Laboratory Technician</t>
  </si>
  <si>
    <t>Mid</t>
  </si>
  <si>
    <t>2_Between 20 and 30</t>
  </si>
  <si>
    <t>Sales</t>
  </si>
  <si>
    <t>Sales Executive</t>
  </si>
  <si>
    <t>Married</t>
  </si>
  <si>
    <t>Healthcare Representative</t>
  </si>
  <si>
    <t>3_Between 3-5 years</t>
  </si>
  <si>
    <t>7_15+ years</t>
  </si>
  <si>
    <t>Non-Travel</t>
  </si>
  <si>
    <t>Manufacturing Director</t>
  </si>
  <si>
    <t>Sales Representative</t>
  </si>
  <si>
    <t>5_Between 50 and 60</t>
  </si>
  <si>
    <t>Human Resources</t>
  </si>
  <si>
    <t>Manager</t>
  </si>
  <si>
    <t>2_Between 1-3 years</t>
  </si>
  <si>
    <t>1_Less than 1 year</t>
  </si>
  <si>
    <t>1_Below 20</t>
  </si>
  <si>
    <t>Research Director</t>
  </si>
  <si>
    <t>6_60+</t>
  </si>
  <si>
    <t>About this workbook</t>
  </si>
  <si>
    <t>Every number is a live formula on the Data sheet. Use the four orange filters on the Interactive Dashboard (Department, Employment, Gender, Hire year) and the whole report recalculates.</t>
  </si>
  <si>
    <t>Corrections made to the original dashboard</t>
  </si>
  <si>
    <t>1. Termination rate now uses the brief's formula, Termination / Headcount (133 / 828 = 16.1% for R&amp;D). The original card showed 25%.</t>
  </si>
  <si>
    <t>2. Terminations by quarter and month now use DateDeparture (when people left). The original charts used DateStart (when they joined).</t>
  </si>
  <si>
    <t>3. Education and job-satisfaction commentary now matches the selected department. The original text quoted whole-company figures.</t>
  </si>
  <si>
    <t>4. 'Monthly Salary trends' is renamed 'Salary by Hire Month', because the data holds annual salary by hire date, not monthly payroll.</t>
  </si>
  <si>
    <t>5. Quarterly new hires now count everyone hired in each quarter, including people who later left.</t>
  </si>
  <si>
    <t>Data notes</t>
  </si>
  <si>
    <t>Source: HR employee dataset supplied with the training brief 'HR Analytics Report' (1,470 employees, 3 departments). Data snapshot date: 31-Jul-2022 (DateToday column).</t>
  </si>
  <si>
    <t>Helper columns AM:AP on the Data sheet derive hire/leave quarter and month from the date columns.</t>
  </si>
  <si>
    <t>The Age and YearsAtCompany columns do not always match DateBirth/DateStart; figures here use the stored columns as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</si>
</sst>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dd\-mmm\-yyyy"/>
  </numFmts>
  <fonts count="17" x14ac:knownFonts="1"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b/>
      <sz val="20"/>
      <color rgb="FFFFFFFF"/>
      <name val="Arial"/>
      <charset val="1"/>
    </font>
    <font>
      <sz val="11"/>
      <color rgb="FFCFE3F0"/>
      <name val="Arial"/>
      <charset val="1"/>
    </font>
    <font>
      <b/>
      <sz val="11"/>
      <color rgb="FF12263F"/>
      <name val="Arial"/>
      <charset val="1"/>
    </font>
    <font>
      <b/>
      <sz val="11"/>
      <color rgb="FFE07A2E"/>
      <name val="Arial"/>
      <charset val="1"/>
    </font>
    <font>
      <i/>
      <sz val="9"/>
      <color rgb="FF777777"/>
      <name val="Arial"/>
      <charset val="1"/>
    </font>
    <font>
      <sz val="10"/>
      <color rgb="FFCFE3F0"/>
      <name val="Arial"/>
      <charset val="1"/>
    </font>
    <font>
      <b/>
      <sz val="18"/>
      <color rgb="FFFFFFFF"/>
      <name val="Arial"/>
      <charset val="1"/>
    </font>
    <font>
      <sz val="11"/>
      <color theme="1"/>
      <name val="Arial"/>
      <charset val="1"/>
    </font>
    <font>
      <b/>
      <sz val="14"/>
      <color rgb="FF12263F"/>
      <name val="Arial"/>
      <charset val="1"/>
    </font>
    <font>
      <sz val="11"/>
      <color rgb="FF555555"/>
      <name val="Arial"/>
      <charset val="1"/>
    </font>
    <font>
      <b/>
      <sz val="12"/>
      <color rgb="FF12263F"/>
      <name val="Arial"/>
      <charset val="1"/>
    </font>
    <font>
      <i/>
      <sz val="11"/>
      <color rgb="FF777777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2263F"/>
        <bgColor rgb="FF003300"/>
      </patternFill>
    </fill>
    <fill>
      <patternFill patternType="solid">
        <fgColor rgb="FFFFF4E8"/>
        <bgColor rgb="FFFFFFFF"/>
      </patternFill>
    </fill>
    <fill>
      <patternFill patternType="solid">
        <fgColor rgb="FF1F6F8B"/>
        <bgColor rgb="FF008080"/>
      </patternFill>
    </fill>
  </fills>
  <borders count="2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1">
    <xf numFmtId="0" fontId="0" fillId="0" borderId="0"/>
  </cellStyleXfs>
  <cellXfs count="32">
    <xf numFmtId="0" fontId="0" fillId="0" borderId="0" xfId="0"/>
    <xf numFmtId="165" fontId="8" fillId="2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3" borderId="1" xfId="0" applyFont="1" applyFill="1" applyBorder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13" fillId="0" borderId="0" xfId="0" applyFont="1"/>
    <xf numFmtId="165" fontId="9" fillId="0" borderId="0" xfId="0" applyNumberFormat="1" applyFont="1"/>
    <xf numFmtId="0" fontId="14" fillId="2" borderId="1" xfId="0" applyFont="1" applyFill="1" applyBorder="1" applyAlignment="1">
      <alignment horizontal="center"/>
    </xf>
    <xf numFmtId="0" fontId="9" fillId="0" borderId="1" xfId="0" applyFont="1" applyBorder="1"/>
    <xf numFmtId="3" fontId="9" fillId="0" borderId="1" xfId="0" applyNumberFormat="1" applyFont="1" applyBorder="1"/>
    <xf numFmtId="165" fontId="9" fillId="0" borderId="1" xfId="0" applyNumberFormat="1" applyFont="1" applyBorder="1"/>
    <xf numFmtId="164" fontId="9" fillId="0" borderId="1" xfId="0" applyNumberFormat="1" applyFont="1" applyBorder="1"/>
    <xf numFmtId="0" fontId="14" fillId="2" borderId="0" xfId="0" applyFont="1" applyFill="1"/>
    <xf numFmtId="166" fontId="0" fillId="0" borderId="0" xfId="0" applyNumberFormat="1"/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D9D9D9"/>
      <rgbColor rgb="FF878787"/>
      <rgbColor rgb="FF9999FF"/>
      <rgbColor rgb="FF993366"/>
      <rgbColor rgb="FFFFF4E8"/>
      <rgbColor rgb="FFCFE3F0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2E"/>
      <rgbColor rgb="FF777777"/>
      <rgbColor rgb="FF969696"/>
      <rgbColor rgb="FF12263F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New Hires vs Terminations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Analysis!$B$38:$B$41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Analysis!$C$38:$C$41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9-44C7-8CB3-730DD2A15585}"/>
            </c:ext>
          </c:extLst>
        </c:ser>
        <c:ser>
          <c:idx val="1"/>
          <c:order val="1"/>
          <c:tx>
            <c:strRef>
              <c:f>Analysis!$D$37</c:f>
              <c:strCache>
                <c:ptCount val="1"/>
                <c:pt idx="0">
                  <c:v>Terminations</c:v>
                </c:pt>
              </c:strCache>
            </c:strRef>
          </c:tx>
          <c:spPr>
            <a:solidFill>
              <a:srgbClr val="E07A2E"/>
            </a:solidFill>
            <a:ln w="0">
              <a:solidFill>
                <a:srgbClr val="E07A2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Analysis!$B$38:$B$41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Analysis!$D$38:$D$41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9-44C7-8CB3-730DD2A15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371795"/>
        <c:axId val="79825726"/>
      </c:barChart>
      <c:catAx>
        <c:axId val="47371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9825726"/>
        <c:crosses val="autoZero"/>
        <c:auto val="1"/>
        <c:lblAlgn val="ctr"/>
        <c:lblOffset val="100"/>
        <c:noMultiLvlLbl val="0"/>
      </c:catAx>
      <c:valAx>
        <c:axId val="79825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73717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Terminations (by leaving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Analysis!$C$44</c:f>
              <c:strCache>
                <c:ptCount val="1"/>
                <c:pt idx="0">
                  <c:v>Terminations</c:v>
                </c:pt>
              </c:strCache>
            </c:strRef>
          </c:tx>
          <c:spPr>
            <a:ln w="28080">
              <a:solidFill>
                <a:srgbClr val="E07A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Analysis!$B$45:$B$56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Analysis!$C$45:$C$56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C0-4023-BBFA-7D3B792DB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194748"/>
        <c:axId val="56512324"/>
      </c:lineChart>
      <c:catAx>
        <c:axId val="31194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6512324"/>
        <c:crosses val="autoZero"/>
        <c:auto val="1"/>
        <c:lblAlgn val="ctr"/>
        <c:lblOffset val="100"/>
        <c:noMultiLvlLbl val="0"/>
      </c:catAx>
      <c:valAx>
        <c:axId val="56512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1194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Salary by Hire Month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Analysis!$D$44</c:f>
              <c:strCache>
                <c:ptCount val="1"/>
                <c:pt idx="0">
                  <c:v>Salary of current staff hired</c:v>
                </c:pt>
              </c:strCache>
            </c:strRef>
          </c:tx>
          <c:spPr>
            <a:solidFill>
              <a:srgbClr val="1F6F8B"/>
            </a:solidFill>
            <a:ln w="0">
              <a:solidFill>
                <a:srgbClr val="1F6F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Analysis!$B$45:$B$56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Analysis!$D$45:$D$56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8-4FBC-B430-76962728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4669920"/>
        <c:axId val="21495669"/>
      </c:barChart>
      <c:catAx>
        <c:axId val="246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1495669"/>
        <c:crosses val="autoZero"/>
        <c:auto val="1"/>
        <c:lblAlgn val="ctr"/>
        <c:lblOffset val="100"/>
        <c:noMultiLvlLbl val="0"/>
      </c:catAx>
      <c:valAx>
        <c:axId val="21495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4669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Education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Analysis!$B$16:$B$20</c:f>
              <c:strCache>
                <c:ptCount val="5"/>
                <c:pt idx="0">
                  <c:v>Doctor</c:v>
                </c:pt>
                <c:pt idx="1">
                  <c:v>Below College</c:v>
                </c:pt>
                <c:pt idx="2">
                  <c:v>College</c:v>
                </c:pt>
                <c:pt idx="3">
                  <c:v>Master</c:v>
                </c:pt>
                <c:pt idx="4">
                  <c:v>Bachelor</c:v>
                </c:pt>
              </c:strCache>
            </c:strRef>
          </c:cat>
          <c:val>
            <c:numRef>
              <c:f>Analysis!$C$16:$C$20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6-426F-9B36-D4710801F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9254242"/>
        <c:axId val="43194283"/>
      </c:barChart>
      <c:catAx>
        <c:axId val="792542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3194283"/>
        <c:crosses val="autoZero"/>
        <c:auto val="1"/>
        <c:lblAlgn val="ctr"/>
        <c:lblOffset val="100"/>
        <c:noMultiLvlLbl val="0"/>
      </c:catAx>
      <c:valAx>
        <c:axId val="43194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9254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Job Satisfaction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F6F8B"/>
            </a:solidFill>
            <a:ln w="0">
              <a:solidFill>
                <a:srgbClr val="1F6F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Analysis!$B$24:$B$27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Analysis!$C$24:$C$27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E-4921-B759-9FF5CE61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6889532"/>
        <c:axId val="53676243"/>
      </c:barChart>
      <c:catAx>
        <c:axId val="468895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3676243"/>
        <c:crosses val="autoZero"/>
        <c:auto val="1"/>
        <c:lblAlgn val="ctr"/>
        <c:lblOffset val="100"/>
        <c:noMultiLvlLbl val="0"/>
      </c:catAx>
      <c:valAx>
        <c:axId val="536762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68895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Work-life Balance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Analysis!$C$30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Analysis!$B$31:$B$34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Analysis!$C$31:$C$34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D-4761-865E-EC9E97F3D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445996"/>
        <c:axId val="72498900"/>
      </c:barChart>
      <c:catAx>
        <c:axId val="374459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2498900"/>
        <c:crosses val="autoZero"/>
        <c:auto val="1"/>
        <c:lblAlgn val="ctr"/>
        <c:lblOffset val="100"/>
        <c:noMultiLvlLbl val="0"/>
      </c:catAx>
      <c:valAx>
        <c:axId val="724989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7445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Salary by Years at Company: Full-time vs Contractor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Analysis!$C$59</c:f>
              <c:strCache>
                <c:ptCount val="1"/>
                <c:pt idx="0">
                  <c:v>Full-time</c:v>
                </c:pt>
              </c:strCache>
            </c:strRef>
          </c:tx>
          <c:spPr>
            <a:ln w="21960">
              <a:solidFill>
                <a:srgbClr val="1226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Analysis!$B$60:$B$97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cat>
          <c:val>
            <c:numRef>
              <c:f>Analysis!$C$60:$C$97</c:f>
              <c:numCache>
                <c:formatCode>\$#,##0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94-4452-B30B-2898988A26BB}"/>
            </c:ext>
          </c:extLst>
        </c:ser>
        <c:ser>
          <c:idx val="1"/>
          <c:order val="1"/>
          <c:tx>
            <c:strRef>
              <c:f>Analysis!$D$59</c:f>
              <c:strCache>
                <c:ptCount val="1"/>
                <c:pt idx="0">
                  <c:v>Contractor</c:v>
                </c:pt>
              </c:strCache>
            </c:strRef>
          </c:tx>
          <c:spPr>
            <a:ln w="21960">
              <a:solidFill>
                <a:srgbClr val="E07A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Analysis!$B$60:$B$97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cat>
          <c:val>
            <c:numRef>
              <c:f>Analysis!$D$60:$D$97</c:f>
              <c:numCache>
                <c:formatCode>\$#,##0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94-4452-B30B-2898988A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488127"/>
        <c:axId val="93838458"/>
      </c:lineChart>
      <c:catAx>
        <c:axId val="5448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93838458"/>
        <c:crosses val="autoZero"/>
        <c:auto val="1"/>
        <c:lblAlgn val="ctr"/>
        <c:lblOffset val="100"/>
        <c:noMultiLvlLbl val="0"/>
      </c:catAx>
      <c:valAx>
        <c:axId val="93838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44881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Salary by Total Working Years and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Analysis!$C$100</c:f>
              <c:strCache>
                <c:ptCount val="1"/>
                <c:pt idx="0">
                  <c:v>Female</c:v>
                </c:pt>
              </c:strCache>
            </c:strRef>
          </c:tx>
          <c:spPr>
            <a:ln w="21960">
              <a:solidFill>
                <a:srgbClr val="1F6F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Analysis!$B$101:$B$141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Analysis!$C$101:$C$141</c:f>
              <c:numCache>
                <c:formatCode>\$#,##0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45-4082-8A2C-88AC2167BD0C}"/>
            </c:ext>
          </c:extLst>
        </c:ser>
        <c:ser>
          <c:idx val="1"/>
          <c:order val="1"/>
          <c:tx>
            <c:strRef>
              <c:f>Analysis!$D$100</c:f>
              <c:strCache>
                <c:ptCount val="1"/>
                <c:pt idx="0">
                  <c:v>Male</c:v>
                </c:pt>
              </c:strCache>
            </c:strRef>
          </c:tx>
          <c:spPr>
            <a:ln w="21960">
              <a:solidFill>
                <a:srgbClr val="E07A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Analysis!$B$101:$B$141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Analysis!$D$101:$D$141</c:f>
              <c:numCache>
                <c:formatCode>\$#,##0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45-4082-8A2C-88AC2167B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453798"/>
        <c:axId val="11690691"/>
      </c:lineChart>
      <c:catAx>
        <c:axId val="68453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11690691"/>
        <c:crosses val="autoZero"/>
        <c:auto val="1"/>
        <c:lblAlgn val="ctr"/>
        <c:lblOffset val="100"/>
        <c:noMultiLvlLbl val="0"/>
      </c:catAx>
      <c:valAx>
        <c:axId val="11690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84537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Why People Leave: leave rate by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Analysis!$E$144</c:f>
              <c:strCache>
                <c:ptCount val="1"/>
                <c:pt idx="0">
                  <c:v>Leave rate</c:v>
                </c:pt>
              </c:strCache>
            </c:strRef>
          </c:tx>
          <c:spPr>
            <a:solidFill>
              <a:srgbClr val="E07A2E"/>
            </a:solidFill>
            <a:ln w="0">
              <a:solidFill>
                <a:srgbClr val="E07A2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Analysis!$B$145:$B$158</c:f>
              <c:strCache>
                <c:ptCount val="14"/>
                <c:pt idx="0">
                  <c:v>Overtime: Yes</c:v>
                </c:pt>
                <c:pt idx="1">
                  <c:v>Overtime: No</c:v>
                </c:pt>
                <c:pt idx="2">
                  <c:v>Work-life balance: Bad</c:v>
                </c:pt>
                <c:pt idx="3">
                  <c:v>Work-life balance: Better</c:v>
                </c:pt>
                <c:pt idx="4">
                  <c:v>Job satisfaction: Low</c:v>
                </c:pt>
                <c:pt idx="5">
                  <c:v>Job satisfaction: Very High</c:v>
                </c:pt>
                <c:pt idx="6">
                  <c:v>Age 20-30</c:v>
                </c:pt>
                <c:pt idx="7">
                  <c:v>Age 40-50</c:v>
                </c:pt>
                <c:pt idx="8">
                  <c:v>Single</c:v>
                </c:pt>
                <c:pt idx="9">
                  <c:v>Divorced</c:v>
                </c:pt>
                <c:pt idx="10">
                  <c:v>Travels frequently</c:v>
                </c:pt>
                <c:pt idx="11">
                  <c:v>Non-travel</c:v>
                </c:pt>
                <c:pt idx="12">
                  <c:v>Contractor</c:v>
                </c:pt>
                <c:pt idx="13">
                  <c:v>Full-time</c:v>
                </c:pt>
              </c:strCache>
            </c:strRef>
          </c:cat>
          <c:val>
            <c:numRef>
              <c:f>Analysis!$E$145:$E$158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F-428D-996B-671114175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4568761"/>
        <c:axId val="71619174"/>
      </c:barChart>
      <c:catAx>
        <c:axId val="445687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1619174"/>
        <c:crosses val="autoZero"/>
        <c:auto val="1"/>
        <c:lblAlgn val="ctr"/>
        <c:lblOffset val="100"/>
        <c:noMultiLvlLbl val="0"/>
      </c:catAx>
      <c:valAx>
        <c:axId val="716191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4568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563400</xdr:colOff>
      <xdr:row>45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15239520" cy="857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7</xdr:col>
      <xdr:colOff>382320</xdr:colOff>
      <xdr:row>21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15</xdr:col>
      <xdr:colOff>628560</xdr:colOff>
      <xdr:row>21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8</xdr:row>
      <xdr:rowOff>0</xdr:rowOff>
    </xdr:from>
    <xdr:to>
      <xdr:col>24</xdr:col>
      <xdr:colOff>170280</xdr:colOff>
      <xdr:row>21</xdr:row>
      <xdr:rowOff>115200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382320</xdr:colOff>
      <xdr:row>36</xdr:row>
      <xdr:rowOff>115200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15</xdr:col>
      <xdr:colOff>628560</xdr:colOff>
      <xdr:row>36</xdr:row>
      <xdr:rowOff>115200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24</xdr:col>
      <xdr:colOff>170280</xdr:colOff>
      <xdr:row>36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11</xdr:col>
      <xdr:colOff>11160</xdr:colOff>
      <xdr:row>51</xdr:row>
      <xdr:rowOff>115200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38</xdr:row>
      <xdr:rowOff>0</xdr:rowOff>
    </xdr:from>
    <xdr:to>
      <xdr:col>24</xdr:col>
      <xdr:colOff>10440</xdr:colOff>
      <xdr:row>51</xdr:row>
      <xdr:rowOff>115200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14</xdr:col>
      <xdr:colOff>129960</xdr:colOff>
      <xdr:row>70</xdr:row>
      <xdr:rowOff>1080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O1" zoomScaleNormal="100" workbookViewId="0"/>
  </sheetViews>
  <sheetFormatPr defaultColWidth="8.6328125" defaultRowHeight="14.5" x14ac:dyDescent="0.35"/>
  <sheetData>
    <row r="1" spans="1:1" x14ac:dyDescent="0.35">
      <c r="A1" s="8" t="s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"/>
  <sheetViews>
    <sheetView showGridLines="0" topLeftCell="A4" zoomScale="80" zoomScaleNormal="80" workbookViewId="0">
      <selection activeCell="F2" sqref="F2:F3"/>
    </sheetView>
  </sheetViews>
  <sheetFormatPr defaultColWidth="8.6328125" defaultRowHeight="14.5" x14ac:dyDescent="0.35"/>
  <cols>
    <col min="1" max="1" width="2" customWidth="1"/>
    <col min="2" max="2" width="13" customWidth="1"/>
    <col min="3" max="5" width="9.54296875" customWidth="1"/>
    <col min="6" max="6" width="12.453125" customWidth="1"/>
    <col min="7" max="8" width="9.54296875" customWidth="1"/>
    <col min="9" max="9" width="12.453125" customWidth="1"/>
    <col min="10" max="11" width="9.54296875" customWidth="1"/>
    <col min="12" max="12" width="12.453125" customWidth="1"/>
    <col min="13" max="29" width="9.54296875" customWidth="1"/>
  </cols>
  <sheetData>
    <row r="1" spans="2:27" ht="30" customHeight="1" x14ac:dyDescent="0.5"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2:27" x14ac:dyDescent="0.35">
      <c r="B2" s="11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4" spans="2:27" x14ac:dyDescent="0.35">
      <c r="B4" s="12" t="s">
        <v>3</v>
      </c>
      <c r="C4" s="7" t="s">
        <v>4</v>
      </c>
      <c r="D4" s="7"/>
      <c r="E4" s="7"/>
      <c r="F4" s="13" t="s">
        <v>5</v>
      </c>
      <c r="G4" s="7" t="s">
        <v>6</v>
      </c>
      <c r="H4" s="7"/>
      <c r="I4" s="13" t="s">
        <v>7</v>
      </c>
      <c r="J4" s="7" t="s">
        <v>81</v>
      </c>
      <c r="K4" s="7"/>
      <c r="L4" s="13" t="s">
        <v>8</v>
      </c>
      <c r="M4" s="7">
        <v>1992</v>
      </c>
      <c r="N4" s="7"/>
    </row>
    <row r="6" spans="2:27" x14ac:dyDescent="0.35">
      <c r="B6" s="6" t="s">
        <v>10</v>
      </c>
      <c r="C6" s="6"/>
      <c r="D6" s="6"/>
      <c r="E6" s="5" t="s">
        <v>11</v>
      </c>
      <c r="F6" s="5"/>
      <c r="G6" s="5"/>
      <c r="H6" s="6" t="s">
        <v>12</v>
      </c>
      <c r="I6" s="6"/>
      <c r="J6" s="6"/>
      <c r="K6" s="5" t="s">
        <v>13</v>
      </c>
      <c r="L6" s="5"/>
      <c r="M6" s="5"/>
      <c r="N6" s="6" t="s">
        <v>14</v>
      </c>
      <c r="O6" s="6"/>
      <c r="P6" s="6"/>
      <c r="Q6" s="5" t="s">
        <v>15</v>
      </c>
      <c r="R6" s="5"/>
      <c r="S6" s="5"/>
      <c r="T6" s="6" t="s">
        <v>16</v>
      </c>
      <c r="U6" s="6"/>
      <c r="V6" s="6"/>
    </row>
    <row r="7" spans="2:27" ht="30" customHeight="1" x14ac:dyDescent="0.5">
      <c r="B7" s="4">
        <f>Analysis!$C$6</f>
        <v>0</v>
      </c>
      <c r="C7" s="4"/>
      <c r="D7" s="4"/>
      <c r="E7" s="3">
        <f>Analysis!$C$7</f>
        <v>0</v>
      </c>
      <c r="F7" s="3"/>
      <c r="G7" s="3"/>
      <c r="H7" s="4">
        <f>Analysis!$C$8</f>
        <v>0</v>
      </c>
      <c r="I7" s="4"/>
      <c r="J7" s="4"/>
      <c r="K7" s="2">
        <f>Analysis!$C$9</f>
        <v>0</v>
      </c>
      <c r="L7" s="2"/>
      <c r="M7" s="2"/>
      <c r="N7" s="1">
        <f>Analysis!$C$10</f>
        <v>0</v>
      </c>
      <c r="O7" s="1"/>
      <c r="P7" s="1"/>
      <c r="Q7" s="3">
        <f>Analysis!$C$11</f>
        <v>0</v>
      </c>
      <c r="R7" s="3"/>
      <c r="S7" s="3"/>
      <c r="T7" s="4">
        <f>Analysis!$C$12</f>
        <v>0</v>
      </c>
      <c r="U7" s="4"/>
      <c r="V7" s="4"/>
    </row>
  </sheetData>
  <mergeCells count="18"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C4:E4"/>
    <mergeCell ref="G4:H4"/>
    <mergeCell ref="J4:K4"/>
    <mergeCell ref="M4:N4"/>
    <mergeCell ref="B6:D6"/>
    <mergeCell ref="E6:G6"/>
    <mergeCell ref="H6:J6"/>
    <mergeCell ref="K6:M6"/>
    <mergeCell ref="N6:P6"/>
  </mergeCells>
  <dataValidations count="4">
    <dataValidation type="list" sqref="C4" xr:uid="{00000000-0002-0000-0100-000000000000}">
      <formula1>"All departments,Research &amp; Development,Sales,Human Resources"</formula1>
      <formula2>0</formula2>
    </dataValidation>
    <dataValidation type="list" sqref="G4" xr:uid="{00000000-0002-0000-0100-000001000000}">
      <formula1>"All,Full-time,Contractor"</formula1>
      <formula2>0</formula2>
    </dataValidation>
    <dataValidation type="list" sqref="J4" xr:uid="{00000000-0002-0000-0100-000002000000}">
      <formula1>"All,Female,Male"</formula1>
      <formula2>0</formula2>
    </dataValidation>
    <dataValidation type="list" sqref="M4" xr:uid="{00000000-0002-0000-0100-000003000000}">
      <formula1>"All years,1985,1987,1989,1990,1991,1992,1994,1995,1996,1997,1998,1999,2000,2001,2002,2003,2004,2005,2006,2007,2008,2009,2010,2011,2012,2013,2014,2015,2016,2017,2018,2019,2020,2021,2022"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8412-6275-421C-B94A-9FC7E6209D8B}">
  <dimension ref="G10"/>
  <sheetViews>
    <sheetView workbookViewId="0">
      <selection activeCell="G10" sqref="G10"/>
    </sheetView>
  </sheetViews>
  <sheetFormatPr defaultRowHeight="14.5" x14ac:dyDescent="0.35"/>
  <sheetData>
    <row r="10" spans="7:7" x14ac:dyDescent="0.35">
      <c r="G10" s="1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3"/>
  <sheetViews>
    <sheetView topLeftCell="A28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8" width="16" customWidth="1"/>
  </cols>
  <sheetData>
    <row r="1" spans="1:8" ht="18" x14ac:dyDescent="0.4">
      <c r="A1" s="15"/>
      <c r="B1" s="16" t="s">
        <v>17</v>
      </c>
      <c r="C1" s="15"/>
      <c r="D1" s="15"/>
      <c r="E1" s="17" t="s">
        <v>18</v>
      </c>
      <c r="F1" s="17" t="s">
        <v>19</v>
      </c>
      <c r="G1" s="17" t="s">
        <v>20</v>
      </c>
      <c r="H1" s="17" t="s">
        <v>21</v>
      </c>
    </row>
    <row r="2" spans="1:8" x14ac:dyDescent="0.35">
      <c r="A2" s="15"/>
      <c r="B2" s="17" t="s">
        <v>22</v>
      </c>
      <c r="C2" s="17" t="str">
        <f>'Interactive Dashboard'!$C$4</f>
        <v>Research &amp; Development</v>
      </c>
      <c r="D2" s="15"/>
      <c r="E2" s="17" t="str">
        <f>'Interactive Dashboard'!$G$4</f>
        <v>All</v>
      </c>
      <c r="F2" s="17" t="str">
        <f>'Interactive Dashboard'!$J$4</f>
        <v>Female</v>
      </c>
      <c r="G2" s="17">
        <f>'Interactive Dashboard'!$M$4</f>
        <v>1992</v>
      </c>
      <c r="H2" s="15"/>
    </row>
    <row r="3" spans="1:8" x14ac:dyDescent="0.35">
      <c r="A3" s="15"/>
      <c r="B3" s="17" t="s">
        <v>23</v>
      </c>
      <c r="C3" s="17" t="str">
        <f>IF(C2="All departments","*",C2)</f>
        <v>Research &amp; Development</v>
      </c>
      <c r="D3" s="15"/>
      <c r="E3" s="17" t="str">
        <f>IF(E2="All","*",E2)</f>
        <v>*</v>
      </c>
      <c r="F3" s="17" t="str">
        <f>IF(F2="All","*",F2)</f>
        <v>Female</v>
      </c>
      <c r="G3" s="17">
        <f>IF(G2="All years",1900,G2)</f>
        <v>1992</v>
      </c>
      <c r="H3" s="17">
        <f>IF(G2="All years",2100,G2)</f>
        <v>1992</v>
      </c>
    </row>
    <row r="4" spans="1:8" x14ac:dyDescent="0.35">
      <c r="A4" s="15"/>
      <c r="B4" s="15"/>
      <c r="C4" s="15"/>
      <c r="D4" s="15"/>
      <c r="E4" s="15"/>
      <c r="F4" s="15"/>
      <c r="G4" s="15"/>
      <c r="H4" s="15"/>
    </row>
    <row r="5" spans="1:8" ht="15.5" x14ac:dyDescent="0.35">
      <c r="A5" s="15"/>
      <c r="B5" s="18" t="s">
        <v>24</v>
      </c>
      <c r="C5" s="15"/>
      <c r="D5" s="15"/>
      <c r="E5" s="15"/>
      <c r="F5" s="15"/>
      <c r="G5" s="15"/>
      <c r="H5" s="15"/>
    </row>
    <row r="6" spans="1:8" x14ac:dyDescent="0.35">
      <c r="A6" s="15"/>
      <c r="B6" s="15" t="s">
        <v>25</v>
      </c>
      <c r="C6" s="19">
        <f>COUNTIFS(Data!$E$2:$E$1471,Analysis!$C$3,Data!$AL$2:$AL$1471,Analysis!$E$3,Data!$H$2:$H$1471,Analysis!$F$3,Data!$AQ$2:$AQ$1471,"&gt;="&amp;Analysis!$G$3,Data!$AQ$2:$AQ$1471,"&lt;="&amp;Analysis!$H$3)</f>
        <v>0</v>
      </c>
      <c r="D6" s="15"/>
      <c r="E6" s="15"/>
      <c r="F6" s="15"/>
      <c r="G6" s="15"/>
      <c r="H6" s="15"/>
    </row>
    <row r="7" spans="1:8" x14ac:dyDescent="0.35">
      <c r="A7" s="15"/>
      <c r="B7" s="15" t="s">
        <v>26</v>
      </c>
      <c r="C7" s="19">
        <f>COUNTIFS(Data!$E$2:$E$1471,Analysis!$C$3,Data!$AL$2:$AL$1471,Analysis!$E$3,Data!$H$2:$H$1471,Analysis!$F$3,Data!$AQ$2:$AQ$1471,"&gt;="&amp;Analysis!$G$3,Data!$AQ$2:$AQ$1471,"&lt;="&amp;Analysis!$H$3,Data!$C$2:$C$1471,"No")</f>
        <v>0</v>
      </c>
      <c r="D7" s="15"/>
      <c r="E7" s="15"/>
      <c r="F7" s="15"/>
      <c r="G7" s="15"/>
      <c r="H7" s="15"/>
    </row>
    <row r="8" spans="1:8" x14ac:dyDescent="0.35">
      <c r="A8" s="15"/>
      <c r="B8" s="15" t="s">
        <v>27</v>
      </c>
      <c r="C8" s="19">
        <f>COUNTIFS(Data!$E$2:$E$1471,Analysis!$C$3,Data!$AL$2:$AL$1471,Analysis!$E$3,Data!$H$2:$H$1471,Analysis!$F$3,Data!$AQ$2:$AQ$1471,"&gt;="&amp;Analysis!$G$3,Data!$AQ$2:$AQ$1471,"&lt;="&amp;Analysis!$H$3,Data!$C$2:$C$1471,"Yes")</f>
        <v>0</v>
      </c>
      <c r="D8" s="15"/>
      <c r="E8" s="15"/>
      <c r="F8" s="15"/>
      <c r="G8" s="15"/>
      <c r="H8" s="15"/>
    </row>
    <row r="9" spans="1:8" x14ac:dyDescent="0.35">
      <c r="A9" s="15"/>
      <c r="B9" s="15" t="s">
        <v>28</v>
      </c>
      <c r="C9" s="20">
        <f>IFERROR(C8/C7,0)</f>
        <v>0</v>
      </c>
      <c r="D9" s="21" t="s">
        <v>29</v>
      </c>
      <c r="E9" s="15"/>
      <c r="F9" s="15"/>
      <c r="G9" s="15"/>
      <c r="H9" s="15"/>
    </row>
    <row r="10" spans="1:8" x14ac:dyDescent="0.35">
      <c r="A10" s="15"/>
      <c r="B10" s="15" t="s">
        <v>30</v>
      </c>
      <c r="C10" s="22">
        <f>SUMIFS(Data!$Z$2:$Z$1471,Data!$E$2:$E$1471,Analysis!$C$3,Data!$AL$2:$AL$1471,Analysis!$E$3,Data!$H$2:$H$1471,Analysis!$F$3,Data!$AQ$2:$AQ$1471,"&gt;="&amp;Analysis!$G$3,Data!$AQ$2:$AQ$1471,"&lt;="&amp;Analysis!$H$3,Data!$C$2:$C$1471,"No")</f>
        <v>0</v>
      </c>
      <c r="D10" s="15"/>
      <c r="E10" s="15"/>
      <c r="F10" s="15"/>
      <c r="G10" s="15"/>
      <c r="H10" s="15"/>
    </row>
    <row r="11" spans="1:8" x14ac:dyDescent="0.35">
      <c r="A11" s="15"/>
      <c r="B11" s="15" t="s">
        <v>15</v>
      </c>
      <c r="C11" s="19">
        <f>COUNTIFS(Data!$E$2:$E$1471,Analysis!$C$3,Data!$AL$2:$AL$1471,Analysis!$E$3,Data!$H$2:$H$1471,Analysis!$F$3,Data!$AQ$2:$AQ$1471,"&gt;="&amp;Analysis!$G$3,Data!$AQ$2:$AQ$1471,"&lt;="&amp;Analysis!$H$3,Data!$C$2:$C$1471,"No",Data!$H$2:$H$1471,"Male")</f>
        <v>0</v>
      </c>
      <c r="D11" s="15"/>
      <c r="E11" s="15"/>
      <c r="F11" s="15"/>
      <c r="G11" s="15"/>
      <c r="H11" s="15"/>
    </row>
    <row r="12" spans="1:8" x14ac:dyDescent="0.35">
      <c r="A12" s="15"/>
      <c r="B12" s="15" t="s">
        <v>16</v>
      </c>
      <c r="C12" s="19">
        <f>COUNTIFS(Data!$E$2:$E$1471,Analysis!$C$3,Data!$AL$2:$AL$1471,Analysis!$E$3,Data!$H$2:$H$1471,Analysis!$F$3,Data!$AQ$2:$AQ$1471,"&gt;="&amp;Analysis!$G$3,Data!$AQ$2:$AQ$1471,"&lt;="&amp;Analysis!$H$3,Data!$C$2:$C$1471,"No",Data!$H$2:$H$1471,"Female")</f>
        <v>0</v>
      </c>
      <c r="D12" s="15"/>
      <c r="E12" s="15"/>
      <c r="F12" s="15"/>
      <c r="G12" s="15"/>
      <c r="H12" s="15"/>
    </row>
    <row r="13" spans="1:8" x14ac:dyDescent="0.35">
      <c r="A13" s="15"/>
      <c r="B13" s="15"/>
      <c r="C13" s="15"/>
      <c r="D13" s="15"/>
      <c r="E13" s="15"/>
      <c r="F13" s="15"/>
      <c r="G13" s="15"/>
      <c r="H13" s="15"/>
    </row>
    <row r="14" spans="1:8" ht="15.5" x14ac:dyDescent="0.35">
      <c r="A14" s="15"/>
      <c r="B14" s="18" t="s">
        <v>31</v>
      </c>
      <c r="C14" s="15"/>
      <c r="D14" s="15"/>
      <c r="E14" s="15"/>
      <c r="F14" s="15"/>
      <c r="G14" s="15"/>
      <c r="H14" s="15"/>
    </row>
    <row r="15" spans="1:8" x14ac:dyDescent="0.35">
      <c r="A15" s="15"/>
      <c r="B15" s="23" t="s">
        <v>32</v>
      </c>
      <c r="C15" s="23" t="s">
        <v>33</v>
      </c>
      <c r="D15" s="15"/>
      <c r="E15" s="15"/>
      <c r="F15" s="15"/>
      <c r="G15" s="15"/>
      <c r="H15" s="15"/>
    </row>
    <row r="16" spans="1:8" x14ac:dyDescent="0.35">
      <c r="A16" s="15"/>
      <c r="B16" s="24" t="s">
        <v>34</v>
      </c>
      <c r="C16" s="25">
        <f>COUNTIFS(Data!$E$2:$E$1471,Analysis!$C$3,Data!$AL$2:$AL$1471,Analysis!$E$3,Data!$H$2:$H$1471,Analysis!$F$3,Data!$AQ$2:$AQ$1471,"&gt;="&amp;Analysis!$G$3,Data!$AQ$2:$AQ$1471,"&lt;="&amp;Analysis!$H$3,Data!$C$2:$C$1471,"No",Data!$F$2:$F$1471,"Doctor")</f>
        <v>0</v>
      </c>
      <c r="D16" s="15"/>
      <c r="E16" s="15"/>
      <c r="F16" s="15"/>
      <c r="G16" s="15"/>
      <c r="H16" s="15"/>
    </row>
    <row r="17" spans="1:8" x14ac:dyDescent="0.35">
      <c r="A17" s="15"/>
      <c r="B17" s="24" t="s">
        <v>35</v>
      </c>
      <c r="C17" s="25">
        <f>COUNTIFS(Data!$E$2:$E$1471,Analysis!$C$3,Data!$AL$2:$AL$1471,Analysis!$E$3,Data!$H$2:$H$1471,Analysis!$F$3,Data!$AQ$2:$AQ$1471,"&gt;="&amp;Analysis!$G$3,Data!$AQ$2:$AQ$1471,"&lt;="&amp;Analysis!$H$3,Data!$C$2:$C$1471,"No",Data!$F$2:$F$1471,"Below College")</f>
        <v>0</v>
      </c>
      <c r="D17" s="15"/>
      <c r="E17" s="15"/>
      <c r="F17" s="15"/>
      <c r="G17" s="15"/>
      <c r="H17" s="15"/>
    </row>
    <row r="18" spans="1:8" x14ac:dyDescent="0.35">
      <c r="A18" s="15"/>
      <c r="B18" s="24" t="s">
        <v>36</v>
      </c>
      <c r="C18" s="25">
        <f>COUNTIFS(Data!$E$2:$E$1471,Analysis!$C$3,Data!$AL$2:$AL$1471,Analysis!$E$3,Data!$H$2:$H$1471,Analysis!$F$3,Data!$AQ$2:$AQ$1471,"&gt;="&amp;Analysis!$G$3,Data!$AQ$2:$AQ$1471,"&lt;="&amp;Analysis!$H$3,Data!$C$2:$C$1471,"No",Data!$F$2:$F$1471,"College")</f>
        <v>0</v>
      </c>
      <c r="D18" s="15"/>
      <c r="E18" s="15"/>
      <c r="F18" s="15"/>
      <c r="G18" s="15"/>
      <c r="H18" s="15"/>
    </row>
    <row r="19" spans="1:8" x14ac:dyDescent="0.35">
      <c r="A19" s="15"/>
      <c r="B19" s="24" t="s">
        <v>37</v>
      </c>
      <c r="C19" s="25">
        <f>COUNTIFS(Data!$E$2:$E$1471,Analysis!$C$3,Data!$AL$2:$AL$1471,Analysis!$E$3,Data!$H$2:$H$1471,Analysis!$F$3,Data!$AQ$2:$AQ$1471,"&gt;="&amp;Analysis!$G$3,Data!$AQ$2:$AQ$1471,"&lt;="&amp;Analysis!$H$3,Data!$C$2:$C$1471,"No",Data!$F$2:$F$1471,"Master")</f>
        <v>0</v>
      </c>
      <c r="D19" s="15"/>
      <c r="E19" s="15"/>
      <c r="F19" s="15"/>
      <c r="G19" s="15"/>
      <c r="H19" s="15"/>
    </row>
    <row r="20" spans="1:8" x14ac:dyDescent="0.35">
      <c r="A20" s="15"/>
      <c r="B20" s="24" t="s">
        <v>38</v>
      </c>
      <c r="C20" s="25">
        <f>COUNTIFS(Data!$E$2:$E$1471,Analysis!$C$3,Data!$AL$2:$AL$1471,Analysis!$E$3,Data!$H$2:$H$1471,Analysis!$F$3,Data!$AQ$2:$AQ$1471,"&gt;="&amp;Analysis!$G$3,Data!$AQ$2:$AQ$1471,"&lt;="&amp;Analysis!$H$3,Data!$C$2:$C$1471,"No",Data!$F$2:$F$1471,"Bachelor")</f>
        <v>0</v>
      </c>
      <c r="D20" s="15"/>
      <c r="E20" s="15"/>
      <c r="F20" s="15"/>
      <c r="G20" s="15"/>
      <c r="H20" s="15"/>
    </row>
    <row r="21" spans="1:8" x14ac:dyDescent="0.35">
      <c r="A21" s="15"/>
      <c r="B21" s="15"/>
      <c r="C21" s="15"/>
      <c r="D21" s="15"/>
      <c r="E21" s="15"/>
      <c r="F21" s="15"/>
      <c r="G21" s="15"/>
      <c r="H21" s="15"/>
    </row>
    <row r="22" spans="1:8" ht="15.5" x14ac:dyDescent="0.35">
      <c r="A22" s="15"/>
      <c r="B22" s="18" t="s">
        <v>39</v>
      </c>
      <c r="C22" s="15"/>
      <c r="D22" s="15"/>
      <c r="E22" s="15"/>
      <c r="F22" s="15"/>
      <c r="G22" s="15"/>
      <c r="H22" s="15"/>
    </row>
    <row r="23" spans="1:8" x14ac:dyDescent="0.35">
      <c r="A23" s="15"/>
      <c r="B23" s="23" t="s">
        <v>40</v>
      </c>
      <c r="C23" s="23" t="s">
        <v>33</v>
      </c>
      <c r="D23" s="15"/>
      <c r="E23" s="15"/>
      <c r="F23" s="15"/>
      <c r="G23" s="15"/>
      <c r="H23" s="15"/>
    </row>
    <row r="24" spans="1:8" x14ac:dyDescent="0.35">
      <c r="A24" s="15"/>
      <c r="B24" s="24" t="s">
        <v>41</v>
      </c>
      <c r="C24" s="25">
        <f>COUNTIFS(Data!$E$2:$E$1471,Analysis!$C$3,Data!$AL$2:$AL$1471,Analysis!$E$3,Data!$H$2:$H$1471,Analysis!$F$3,Data!$AQ$2:$AQ$1471,"&gt;="&amp;Analysis!$G$3,Data!$AQ$2:$AQ$1471,"&lt;="&amp;Analysis!$H$3,Data!$C$2:$C$1471,"No",Data!$K$2:$K$1471,"Low")</f>
        <v>0</v>
      </c>
      <c r="D24" s="15"/>
      <c r="E24" s="15"/>
      <c r="F24" s="15"/>
      <c r="G24" s="15"/>
      <c r="H24" s="15"/>
    </row>
    <row r="25" spans="1:8" x14ac:dyDescent="0.35">
      <c r="A25" s="15"/>
      <c r="B25" s="24" t="s">
        <v>42</v>
      </c>
      <c r="C25" s="25">
        <f>COUNTIFS(Data!$E$2:$E$1471,Analysis!$C$3,Data!$AL$2:$AL$1471,Analysis!$E$3,Data!$H$2:$H$1471,Analysis!$F$3,Data!$AQ$2:$AQ$1471,"&gt;="&amp;Analysis!$G$3,Data!$AQ$2:$AQ$1471,"&lt;="&amp;Analysis!$H$3,Data!$C$2:$C$1471,"No",Data!$K$2:$K$1471,"Medium")</f>
        <v>0</v>
      </c>
      <c r="D25" s="15"/>
      <c r="E25" s="15"/>
      <c r="F25" s="15"/>
      <c r="G25" s="15"/>
      <c r="H25" s="15"/>
    </row>
    <row r="26" spans="1:8" x14ac:dyDescent="0.35">
      <c r="A26" s="15"/>
      <c r="B26" s="24" t="s">
        <v>43</v>
      </c>
      <c r="C26" s="25">
        <f>COUNTIFS(Data!$E$2:$E$1471,Analysis!$C$3,Data!$AL$2:$AL$1471,Analysis!$E$3,Data!$H$2:$H$1471,Analysis!$F$3,Data!$AQ$2:$AQ$1471,"&gt;="&amp;Analysis!$G$3,Data!$AQ$2:$AQ$1471,"&lt;="&amp;Analysis!$H$3,Data!$C$2:$C$1471,"No",Data!$K$2:$K$1471,"High")</f>
        <v>0</v>
      </c>
      <c r="D26" s="15"/>
      <c r="E26" s="15"/>
      <c r="F26" s="15"/>
      <c r="G26" s="15"/>
      <c r="H26" s="15"/>
    </row>
    <row r="27" spans="1:8" x14ac:dyDescent="0.35">
      <c r="A27" s="15"/>
      <c r="B27" s="24" t="s">
        <v>44</v>
      </c>
      <c r="C27" s="25">
        <f>COUNTIFS(Data!$E$2:$E$1471,Analysis!$C$3,Data!$AL$2:$AL$1471,Analysis!$E$3,Data!$H$2:$H$1471,Analysis!$F$3,Data!$AQ$2:$AQ$1471,"&gt;="&amp;Analysis!$G$3,Data!$AQ$2:$AQ$1471,"&lt;="&amp;Analysis!$H$3,Data!$C$2:$C$1471,"No",Data!$K$2:$K$1471,"Very High")</f>
        <v>0</v>
      </c>
      <c r="D27" s="15"/>
      <c r="E27" s="15"/>
      <c r="F27" s="15"/>
      <c r="G27" s="15"/>
      <c r="H27" s="15"/>
    </row>
    <row r="28" spans="1:8" x14ac:dyDescent="0.35">
      <c r="A28" s="15"/>
      <c r="B28" s="15"/>
      <c r="C28" s="15"/>
      <c r="D28" s="15"/>
      <c r="E28" s="15"/>
      <c r="F28" s="15"/>
      <c r="G28" s="15"/>
      <c r="H28" s="15"/>
    </row>
    <row r="29" spans="1:8" ht="15.5" x14ac:dyDescent="0.35">
      <c r="A29" s="15"/>
      <c r="B29" s="18" t="s">
        <v>45</v>
      </c>
      <c r="C29" s="15"/>
      <c r="D29" s="15"/>
      <c r="E29" s="15"/>
      <c r="F29" s="15"/>
      <c r="G29" s="15"/>
      <c r="H29" s="15"/>
    </row>
    <row r="30" spans="1:8" x14ac:dyDescent="0.35">
      <c r="A30" s="15"/>
      <c r="B30" s="23" t="s">
        <v>46</v>
      </c>
      <c r="C30" s="23" t="s">
        <v>33</v>
      </c>
      <c r="D30" s="15"/>
      <c r="E30" s="15"/>
      <c r="F30" s="15"/>
      <c r="G30" s="15"/>
      <c r="H30" s="15"/>
    </row>
    <row r="31" spans="1:8" x14ac:dyDescent="0.35">
      <c r="A31" s="15"/>
      <c r="B31" s="24" t="s">
        <v>47</v>
      </c>
      <c r="C31" s="25">
        <f>COUNTIFS(Data!$E$2:$E$1471,Analysis!$C$3,Data!$AL$2:$AL$1471,Analysis!$E$3,Data!$H$2:$H$1471,Analysis!$F$3,Data!$AQ$2:$AQ$1471,"&gt;="&amp;Analysis!$G$3,Data!$AQ$2:$AQ$1471,"&lt;="&amp;Analysis!$H$3,Data!$C$2:$C$1471,"No",Data!$M$2:$M$1471,"Bad")</f>
        <v>0</v>
      </c>
      <c r="D31" s="15"/>
      <c r="E31" s="15"/>
      <c r="F31" s="15"/>
      <c r="G31" s="15"/>
      <c r="H31" s="15"/>
    </row>
    <row r="32" spans="1:8" x14ac:dyDescent="0.35">
      <c r="A32" s="15"/>
      <c r="B32" s="24" t="s">
        <v>48</v>
      </c>
      <c r="C32" s="25">
        <f>COUNTIFS(Data!$E$2:$E$1471,Analysis!$C$3,Data!$AL$2:$AL$1471,Analysis!$E$3,Data!$H$2:$H$1471,Analysis!$F$3,Data!$AQ$2:$AQ$1471,"&gt;="&amp;Analysis!$G$3,Data!$AQ$2:$AQ$1471,"&lt;="&amp;Analysis!$H$3,Data!$C$2:$C$1471,"No",Data!$M$2:$M$1471,"Good")</f>
        <v>0</v>
      </c>
      <c r="D32" s="15"/>
      <c r="E32" s="15"/>
      <c r="F32" s="15"/>
      <c r="G32" s="15"/>
      <c r="H32" s="15"/>
    </row>
    <row r="33" spans="1:8" x14ac:dyDescent="0.35">
      <c r="A33" s="15"/>
      <c r="B33" s="24" t="s">
        <v>49</v>
      </c>
      <c r="C33" s="25">
        <f>COUNTIFS(Data!$E$2:$E$1471,Analysis!$C$3,Data!$AL$2:$AL$1471,Analysis!$E$3,Data!$H$2:$H$1471,Analysis!$F$3,Data!$AQ$2:$AQ$1471,"&gt;="&amp;Analysis!$G$3,Data!$AQ$2:$AQ$1471,"&lt;="&amp;Analysis!$H$3,Data!$C$2:$C$1471,"No",Data!$M$2:$M$1471,"Better")</f>
        <v>0</v>
      </c>
      <c r="D33" s="15"/>
      <c r="E33" s="15"/>
      <c r="F33" s="15"/>
      <c r="G33" s="15"/>
      <c r="H33" s="15"/>
    </row>
    <row r="34" spans="1:8" x14ac:dyDescent="0.35">
      <c r="A34" s="15"/>
      <c r="B34" s="24" t="s">
        <v>50</v>
      </c>
      <c r="C34" s="25">
        <f>COUNTIFS(Data!$E$2:$E$1471,Analysis!$C$3,Data!$AL$2:$AL$1471,Analysis!$E$3,Data!$H$2:$H$1471,Analysis!$F$3,Data!$AQ$2:$AQ$1471,"&gt;="&amp;Analysis!$G$3,Data!$AQ$2:$AQ$1471,"&lt;="&amp;Analysis!$H$3,Data!$C$2:$C$1471,"No",Data!$M$2:$M$1471,"Best")</f>
        <v>0</v>
      </c>
      <c r="D34" s="15"/>
      <c r="E34" s="15"/>
      <c r="F34" s="15"/>
      <c r="G34" s="15"/>
      <c r="H34" s="15"/>
    </row>
    <row r="35" spans="1:8" x14ac:dyDescent="0.35">
      <c r="A35" s="15"/>
      <c r="B35" s="15"/>
      <c r="C35" s="15"/>
      <c r="D35" s="15"/>
      <c r="E35" s="15"/>
      <c r="F35" s="15"/>
      <c r="G35" s="15"/>
      <c r="H35" s="15"/>
    </row>
    <row r="36" spans="1:8" ht="15.5" x14ac:dyDescent="0.35">
      <c r="A36" s="15"/>
      <c r="B36" s="18" t="s">
        <v>51</v>
      </c>
      <c r="C36" s="15"/>
      <c r="D36" s="15"/>
      <c r="E36" s="15"/>
      <c r="F36" s="15"/>
      <c r="G36" s="15"/>
      <c r="H36" s="15"/>
    </row>
    <row r="37" spans="1:8" x14ac:dyDescent="0.35">
      <c r="A37" s="15"/>
      <c r="B37" s="23" t="s">
        <v>52</v>
      </c>
      <c r="C37" s="23" t="s">
        <v>53</v>
      </c>
      <c r="D37" s="23" t="s">
        <v>54</v>
      </c>
      <c r="E37" s="21" t="s">
        <v>55</v>
      </c>
      <c r="F37" s="15"/>
      <c r="G37" s="15"/>
      <c r="H37" s="15"/>
    </row>
    <row r="38" spans="1:8" x14ac:dyDescent="0.35">
      <c r="A38" s="15"/>
      <c r="B38" s="24" t="s">
        <v>56</v>
      </c>
      <c r="C38" s="25">
        <f>COUNTIFS(Data!$E$2:$E$1471,Analysis!$C$3,Data!$AL$2:$AL$1471,Analysis!$E$3,Data!$H$2:$H$1471,Analysis!$F$3,Data!$AQ$2:$AQ$1471,"&gt;="&amp;Analysis!$G$3,Data!$AQ$2:$AQ$1471,"&lt;="&amp;Analysis!$H$3,Data!$AM$2:$AM$1471,1)</f>
        <v>0</v>
      </c>
      <c r="D38" s="25">
        <f>COUNTIFS(Data!$E$2:$E$1471,Analysis!$C$3,Data!$AL$2:$AL$1471,Analysis!$E$3,Data!$H$2:$H$1471,Analysis!$F$3,Data!$AQ$2:$AQ$1471,"&gt;="&amp;Analysis!$G$3,Data!$AQ$2:$AQ$1471,"&lt;="&amp;Analysis!$H$3,Data!$AO$2:$AO$1471,1)</f>
        <v>0</v>
      </c>
      <c r="E38" s="15"/>
      <c r="F38" s="15"/>
      <c r="G38" s="15"/>
      <c r="H38" s="15"/>
    </row>
    <row r="39" spans="1:8" x14ac:dyDescent="0.35">
      <c r="A39" s="15"/>
      <c r="B39" s="24" t="s">
        <v>57</v>
      </c>
      <c r="C39" s="25">
        <f>COUNTIFS(Data!$E$2:$E$1471,Analysis!$C$3,Data!$AL$2:$AL$1471,Analysis!$E$3,Data!$H$2:$H$1471,Analysis!$F$3,Data!$AQ$2:$AQ$1471,"&gt;="&amp;Analysis!$G$3,Data!$AQ$2:$AQ$1471,"&lt;="&amp;Analysis!$H$3,Data!$AM$2:$AM$1471,2)</f>
        <v>0</v>
      </c>
      <c r="D39" s="25">
        <f>COUNTIFS(Data!$E$2:$E$1471,Analysis!$C$3,Data!$AL$2:$AL$1471,Analysis!$E$3,Data!$H$2:$H$1471,Analysis!$F$3,Data!$AQ$2:$AQ$1471,"&gt;="&amp;Analysis!$G$3,Data!$AQ$2:$AQ$1471,"&lt;="&amp;Analysis!$H$3,Data!$AO$2:$AO$1471,2)</f>
        <v>0</v>
      </c>
      <c r="E39" s="15"/>
      <c r="F39" s="15"/>
      <c r="G39" s="15"/>
      <c r="H39" s="15"/>
    </row>
    <row r="40" spans="1:8" x14ac:dyDescent="0.35">
      <c r="A40" s="15"/>
      <c r="B40" s="24" t="s">
        <v>58</v>
      </c>
      <c r="C40" s="25">
        <f>COUNTIFS(Data!$E$2:$E$1471,Analysis!$C$3,Data!$AL$2:$AL$1471,Analysis!$E$3,Data!$H$2:$H$1471,Analysis!$F$3,Data!$AQ$2:$AQ$1471,"&gt;="&amp;Analysis!$G$3,Data!$AQ$2:$AQ$1471,"&lt;="&amp;Analysis!$H$3,Data!$AM$2:$AM$1471,3)</f>
        <v>0</v>
      </c>
      <c r="D40" s="25">
        <f>COUNTIFS(Data!$E$2:$E$1471,Analysis!$C$3,Data!$AL$2:$AL$1471,Analysis!$E$3,Data!$H$2:$H$1471,Analysis!$F$3,Data!$AQ$2:$AQ$1471,"&gt;="&amp;Analysis!$G$3,Data!$AQ$2:$AQ$1471,"&lt;="&amp;Analysis!$H$3,Data!$AO$2:$AO$1471,3)</f>
        <v>0</v>
      </c>
      <c r="E40" s="15"/>
      <c r="F40" s="15"/>
      <c r="G40" s="15"/>
      <c r="H40" s="15"/>
    </row>
    <row r="41" spans="1:8" x14ac:dyDescent="0.35">
      <c r="A41" s="15"/>
      <c r="B41" s="24" t="s">
        <v>59</v>
      </c>
      <c r="C41" s="25">
        <f>COUNTIFS(Data!$E$2:$E$1471,Analysis!$C$3,Data!$AL$2:$AL$1471,Analysis!$E$3,Data!$H$2:$H$1471,Analysis!$F$3,Data!$AQ$2:$AQ$1471,"&gt;="&amp;Analysis!$G$3,Data!$AQ$2:$AQ$1471,"&lt;="&amp;Analysis!$H$3,Data!$AM$2:$AM$1471,4)</f>
        <v>0</v>
      </c>
      <c r="D41" s="25">
        <f>COUNTIFS(Data!$E$2:$E$1471,Analysis!$C$3,Data!$AL$2:$AL$1471,Analysis!$E$3,Data!$H$2:$H$1471,Analysis!$F$3,Data!$AQ$2:$AQ$1471,"&gt;="&amp;Analysis!$G$3,Data!$AQ$2:$AQ$1471,"&lt;="&amp;Analysis!$H$3,Data!$AO$2:$AO$1471,4)</f>
        <v>0</v>
      </c>
      <c r="E41" s="15"/>
      <c r="F41" s="15"/>
      <c r="G41" s="15"/>
      <c r="H41" s="15"/>
    </row>
    <row r="42" spans="1:8" x14ac:dyDescent="0.35">
      <c r="A42" s="15"/>
      <c r="B42" s="15"/>
      <c r="C42" s="15"/>
      <c r="D42" s="15"/>
      <c r="E42" s="15"/>
      <c r="F42" s="15"/>
      <c r="G42" s="15"/>
      <c r="H42" s="15"/>
    </row>
    <row r="43" spans="1:8" ht="15.5" x14ac:dyDescent="0.35">
      <c r="A43" s="15"/>
      <c r="B43" s="18" t="s">
        <v>60</v>
      </c>
      <c r="C43" s="15"/>
      <c r="D43" s="15"/>
      <c r="E43" s="15"/>
      <c r="F43" s="15"/>
      <c r="G43" s="15"/>
      <c r="H43" s="15"/>
    </row>
    <row r="44" spans="1:8" x14ac:dyDescent="0.35">
      <c r="A44" s="15"/>
      <c r="B44" s="23" t="s">
        <v>61</v>
      </c>
      <c r="C44" s="23" t="s">
        <v>54</v>
      </c>
      <c r="D44" s="23" t="s">
        <v>62</v>
      </c>
      <c r="E44" s="15"/>
      <c r="F44" s="15"/>
      <c r="G44" s="15"/>
      <c r="H44" s="15"/>
    </row>
    <row r="45" spans="1:8" x14ac:dyDescent="0.35">
      <c r="A45" s="15"/>
      <c r="B45" s="24" t="s">
        <v>63</v>
      </c>
      <c r="C45" s="25">
        <f>COUNTIFS(Data!$E$2:$E$1471,Analysis!$C$3,Data!$AL$2:$AL$1471,Analysis!$E$3,Data!$H$2:$H$1471,Analysis!$F$3,Data!$AQ$2:$AQ$1471,"&gt;="&amp;Analysis!$G$3,Data!$AQ$2:$AQ$1471,"&lt;="&amp;Analysis!$H$3,Data!$AP$2:$AP$1471,1)</f>
        <v>0</v>
      </c>
      <c r="D45" s="26">
        <f>SUMIFS(Data!$Z$2:$Z$1471,Data!$E$2:$E$1471,Analysis!$C$3,Data!$AL$2:$AL$1471,Analysis!$E$3,Data!$H$2:$H$1471,Analysis!$F$3,Data!$AQ$2:$AQ$1471,"&gt;="&amp;Analysis!$G$3,Data!$AQ$2:$AQ$1471,"&lt;="&amp;Analysis!$H$3,Data!$C$2:$C$1471,"No",Data!$AN$2:$AN$1471,1)</f>
        <v>0</v>
      </c>
      <c r="E45" s="15"/>
      <c r="F45" s="15"/>
      <c r="G45" s="15"/>
      <c r="H45" s="15"/>
    </row>
    <row r="46" spans="1:8" x14ac:dyDescent="0.35">
      <c r="A46" s="15"/>
      <c r="B46" s="24" t="s">
        <v>64</v>
      </c>
      <c r="C46" s="25">
        <f>COUNTIFS(Data!$E$2:$E$1471,Analysis!$C$3,Data!$AL$2:$AL$1471,Analysis!$E$3,Data!$H$2:$H$1471,Analysis!$F$3,Data!$AQ$2:$AQ$1471,"&gt;="&amp;Analysis!$G$3,Data!$AQ$2:$AQ$1471,"&lt;="&amp;Analysis!$H$3,Data!$AP$2:$AP$1471,2)</f>
        <v>0</v>
      </c>
      <c r="D46" s="26">
        <f>SUMIFS(Data!$Z$2:$Z$1471,Data!$E$2:$E$1471,Analysis!$C$3,Data!$AL$2:$AL$1471,Analysis!$E$3,Data!$H$2:$H$1471,Analysis!$F$3,Data!$AQ$2:$AQ$1471,"&gt;="&amp;Analysis!$G$3,Data!$AQ$2:$AQ$1471,"&lt;="&amp;Analysis!$H$3,Data!$C$2:$C$1471,"No",Data!$AN$2:$AN$1471,2)</f>
        <v>0</v>
      </c>
      <c r="E46" s="15"/>
      <c r="F46" s="15"/>
      <c r="G46" s="15"/>
      <c r="H46" s="15"/>
    </row>
    <row r="47" spans="1:8" x14ac:dyDescent="0.35">
      <c r="A47" s="15"/>
      <c r="B47" s="24" t="s">
        <v>65</v>
      </c>
      <c r="C47" s="25">
        <f>COUNTIFS(Data!$E$2:$E$1471,Analysis!$C$3,Data!$AL$2:$AL$1471,Analysis!$E$3,Data!$H$2:$H$1471,Analysis!$F$3,Data!$AQ$2:$AQ$1471,"&gt;="&amp;Analysis!$G$3,Data!$AQ$2:$AQ$1471,"&lt;="&amp;Analysis!$H$3,Data!$AP$2:$AP$1471,3)</f>
        <v>0</v>
      </c>
      <c r="D47" s="26">
        <f>SUMIFS(Data!$Z$2:$Z$1471,Data!$E$2:$E$1471,Analysis!$C$3,Data!$AL$2:$AL$1471,Analysis!$E$3,Data!$H$2:$H$1471,Analysis!$F$3,Data!$AQ$2:$AQ$1471,"&gt;="&amp;Analysis!$G$3,Data!$AQ$2:$AQ$1471,"&lt;="&amp;Analysis!$H$3,Data!$C$2:$C$1471,"No",Data!$AN$2:$AN$1471,3)</f>
        <v>0</v>
      </c>
      <c r="E47" s="15"/>
      <c r="F47" s="15"/>
      <c r="G47" s="15"/>
      <c r="H47" s="15"/>
    </row>
    <row r="48" spans="1:8" x14ac:dyDescent="0.35">
      <c r="A48" s="15"/>
      <c r="B48" s="24" t="s">
        <v>66</v>
      </c>
      <c r="C48" s="25">
        <f>COUNTIFS(Data!$E$2:$E$1471,Analysis!$C$3,Data!$AL$2:$AL$1471,Analysis!$E$3,Data!$H$2:$H$1471,Analysis!$F$3,Data!$AQ$2:$AQ$1471,"&gt;="&amp;Analysis!$G$3,Data!$AQ$2:$AQ$1471,"&lt;="&amp;Analysis!$H$3,Data!$AP$2:$AP$1471,4)</f>
        <v>0</v>
      </c>
      <c r="D48" s="26">
        <f>SUMIFS(Data!$Z$2:$Z$1471,Data!$E$2:$E$1471,Analysis!$C$3,Data!$AL$2:$AL$1471,Analysis!$E$3,Data!$H$2:$H$1471,Analysis!$F$3,Data!$AQ$2:$AQ$1471,"&gt;="&amp;Analysis!$G$3,Data!$AQ$2:$AQ$1471,"&lt;="&amp;Analysis!$H$3,Data!$C$2:$C$1471,"No",Data!$AN$2:$AN$1471,4)</f>
        <v>0</v>
      </c>
      <c r="E48" s="15"/>
      <c r="F48" s="15"/>
      <c r="G48" s="15"/>
      <c r="H48" s="15"/>
    </row>
    <row r="49" spans="1:8" x14ac:dyDescent="0.35">
      <c r="A49" s="15"/>
      <c r="B49" s="24" t="s">
        <v>67</v>
      </c>
      <c r="C49" s="25">
        <f>COUNTIFS(Data!$E$2:$E$1471,Analysis!$C$3,Data!$AL$2:$AL$1471,Analysis!$E$3,Data!$H$2:$H$1471,Analysis!$F$3,Data!$AQ$2:$AQ$1471,"&gt;="&amp;Analysis!$G$3,Data!$AQ$2:$AQ$1471,"&lt;="&amp;Analysis!$H$3,Data!$AP$2:$AP$1471,5)</f>
        <v>0</v>
      </c>
      <c r="D49" s="26">
        <f>SUMIFS(Data!$Z$2:$Z$1471,Data!$E$2:$E$1471,Analysis!$C$3,Data!$AL$2:$AL$1471,Analysis!$E$3,Data!$H$2:$H$1471,Analysis!$F$3,Data!$AQ$2:$AQ$1471,"&gt;="&amp;Analysis!$G$3,Data!$AQ$2:$AQ$1471,"&lt;="&amp;Analysis!$H$3,Data!$C$2:$C$1471,"No",Data!$AN$2:$AN$1471,5)</f>
        <v>0</v>
      </c>
      <c r="E49" s="15"/>
      <c r="F49" s="15"/>
      <c r="G49" s="15"/>
      <c r="H49" s="15"/>
    </row>
    <row r="50" spans="1:8" x14ac:dyDescent="0.35">
      <c r="A50" s="15"/>
      <c r="B50" s="24" t="s">
        <v>68</v>
      </c>
      <c r="C50" s="25">
        <f>COUNTIFS(Data!$E$2:$E$1471,Analysis!$C$3,Data!$AL$2:$AL$1471,Analysis!$E$3,Data!$H$2:$H$1471,Analysis!$F$3,Data!$AQ$2:$AQ$1471,"&gt;="&amp;Analysis!$G$3,Data!$AQ$2:$AQ$1471,"&lt;="&amp;Analysis!$H$3,Data!$AP$2:$AP$1471,6)</f>
        <v>0</v>
      </c>
      <c r="D50" s="26">
        <f>SUMIFS(Data!$Z$2:$Z$1471,Data!$E$2:$E$1471,Analysis!$C$3,Data!$AL$2:$AL$1471,Analysis!$E$3,Data!$H$2:$H$1471,Analysis!$F$3,Data!$AQ$2:$AQ$1471,"&gt;="&amp;Analysis!$G$3,Data!$AQ$2:$AQ$1471,"&lt;="&amp;Analysis!$H$3,Data!$C$2:$C$1471,"No",Data!$AN$2:$AN$1471,6)</f>
        <v>0</v>
      </c>
      <c r="E50" s="15"/>
      <c r="F50" s="15"/>
      <c r="G50" s="15"/>
      <c r="H50" s="15"/>
    </row>
    <row r="51" spans="1:8" x14ac:dyDescent="0.35">
      <c r="A51" s="15"/>
      <c r="B51" s="24" t="s">
        <v>69</v>
      </c>
      <c r="C51" s="25">
        <f>COUNTIFS(Data!$E$2:$E$1471,Analysis!$C$3,Data!$AL$2:$AL$1471,Analysis!$E$3,Data!$H$2:$H$1471,Analysis!$F$3,Data!$AQ$2:$AQ$1471,"&gt;="&amp;Analysis!$G$3,Data!$AQ$2:$AQ$1471,"&lt;="&amp;Analysis!$H$3,Data!$AP$2:$AP$1471,7)</f>
        <v>0</v>
      </c>
      <c r="D51" s="26">
        <f>SUMIFS(Data!$Z$2:$Z$1471,Data!$E$2:$E$1471,Analysis!$C$3,Data!$AL$2:$AL$1471,Analysis!$E$3,Data!$H$2:$H$1471,Analysis!$F$3,Data!$AQ$2:$AQ$1471,"&gt;="&amp;Analysis!$G$3,Data!$AQ$2:$AQ$1471,"&lt;="&amp;Analysis!$H$3,Data!$C$2:$C$1471,"No",Data!$AN$2:$AN$1471,7)</f>
        <v>0</v>
      </c>
      <c r="E51" s="15"/>
      <c r="F51" s="15"/>
      <c r="G51" s="15"/>
      <c r="H51" s="15"/>
    </row>
    <row r="52" spans="1:8" x14ac:dyDescent="0.35">
      <c r="A52" s="15"/>
      <c r="B52" s="24" t="s">
        <v>70</v>
      </c>
      <c r="C52" s="25">
        <f>COUNTIFS(Data!$E$2:$E$1471,Analysis!$C$3,Data!$AL$2:$AL$1471,Analysis!$E$3,Data!$H$2:$H$1471,Analysis!$F$3,Data!$AQ$2:$AQ$1471,"&gt;="&amp;Analysis!$G$3,Data!$AQ$2:$AQ$1471,"&lt;="&amp;Analysis!$H$3,Data!$AP$2:$AP$1471,8)</f>
        <v>0</v>
      </c>
      <c r="D52" s="26">
        <f>SUMIFS(Data!$Z$2:$Z$1471,Data!$E$2:$E$1471,Analysis!$C$3,Data!$AL$2:$AL$1471,Analysis!$E$3,Data!$H$2:$H$1471,Analysis!$F$3,Data!$AQ$2:$AQ$1471,"&gt;="&amp;Analysis!$G$3,Data!$AQ$2:$AQ$1471,"&lt;="&amp;Analysis!$H$3,Data!$C$2:$C$1471,"No",Data!$AN$2:$AN$1471,8)</f>
        <v>0</v>
      </c>
      <c r="E52" s="15"/>
      <c r="F52" s="15"/>
      <c r="G52" s="15"/>
      <c r="H52" s="15"/>
    </row>
    <row r="53" spans="1:8" x14ac:dyDescent="0.35">
      <c r="A53" s="15"/>
      <c r="B53" s="24" t="s">
        <v>71</v>
      </c>
      <c r="C53" s="25">
        <f>COUNTIFS(Data!$E$2:$E$1471,Analysis!$C$3,Data!$AL$2:$AL$1471,Analysis!$E$3,Data!$H$2:$H$1471,Analysis!$F$3,Data!$AQ$2:$AQ$1471,"&gt;="&amp;Analysis!$G$3,Data!$AQ$2:$AQ$1471,"&lt;="&amp;Analysis!$H$3,Data!$AP$2:$AP$1471,9)</f>
        <v>0</v>
      </c>
      <c r="D53" s="26">
        <f>SUMIFS(Data!$Z$2:$Z$1471,Data!$E$2:$E$1471,Analysis!$C$3,Data!$AL$2:$AL$1471,Analysis!$E$3,Data!$H$2:$H$1471,Analysis!$F$3,Data!$AQ$2:$AQ$1471,"&gt;="&amp;Analysis!$G$3,Data!$AQ$2:$AQ$1471,"&lt;="&amp;Analysis!$H$3,Data!$C$2:$C$1471,"No",Data!$AN$2:$AN$1471,9)</f>
        <v>0</v>
      </c>
      <c r="E53" s="15"/>
      <c r="F53" s="15"/>
      <c r="G53" s="15"/>
      <c r="H53" s="15"/>
    </row>
    <row r="54" spans="1:8" x14ac:dyDescent="0.35">
      <c r="A54" s="15"/>
      <c r="B54" s="24" t="s">
        <v>72</v>
      </c>
      <c r="C54" s="25">
        <f>COUNTIFS(Data!$E$2:$E$1471,Analysis!$C$3,Data!$AL$2:$AL$1471,Analysis!$E$3,Data!$H$2:$H$1471,Analysis!$F$3,Data!$AQ$2:$AQ$1471,"&gt;="&amp;Analysis!$G$3,Data!$AQ$2:$AQ$1471,"&lt;="&amp;Analysis!$H$3,Data!$AP$2:$AP$1471,10)</f>
        <v>0</v>
      </c>
      <c r="D54" s="26">
        <f>SUMIFS(Data!$Z$2:$Z$1471,Data!$E$2:$E$1471,Analysis!$C$3,Data!$AL$2:$AL$1471,Analysis!$E$3,Data!$H$2:$H$1471,Analysis!$F$3,Data!$AQ$2:$AQ$1471,"&gt;="&amp;Analysis!$G$3,Data!$AQ$2:$AQ$1471,"&lt;="&amp;Analysis!$H$3,Data!$C$2:$C$1471,"No",Data!$AN$2:$AN$1471,10)</f>
        <v>0</v>
      </c>
      <c r="E54" s="15"/>
      <c r="F54" s="15"/>
      <c r="G54" s="15"/>
      <c r="H54" s="15"/>
    </row>
    <row r="55" spans="1:8" x14ac:dyDescent="0.35">
      <c r="A55" s="15"/>
      <c r="B55" s="24" t="s">
        <v>73</v>
      </c>
      <c r="C55" s="25">
        <f>COUNTIFS(Data!$E$2:$E$1471,Analysis!$C$3,Data!$AL$2:$AL$1471,Analysis!$E$3,Data!$H$2:$H$1471,Analysis!$F$3,Data!$AQ$2:$AQ$1471,"&gt;="&amp;Analysis!$G$3,Data!$AQ$2:$AQ$1471,"&lt;="&amp;Analysis!$H$3,Data!$AP$2:$AP$1471,11)</f>
        <v>0</v>
      </c>
      <c r="D55" s="26">
        <f>SUMIFS(Data!$Z$2:$Z$1471,Data!$E$2:$E$1471,Analysis!$C$3,Data!$AL$2:$AL$1471,Analysis!$E$3,Data!$H$2:$H$1471,Analysis!$F$3,Data!$AQ$2:$AQ$1471,"&gt;="&amp;Analysis!$G$3,Data!$AQ$2:$AQ$1471,"&lt;="&amp;Analysis!$H$3,Data!$C$2:$C$1471,"No",Data!$AN$2:$AN$1471,11)</f>
        <v>0</v>
      </c>
      <c r="E55" s="15"/>
      <c r="F55" s="15"/>
      <c r="G55" s="15"/>
      <c r="H55" s="15"/>
    </row>
    <row r="56" spans="1:8" x14ac:dyDescent="0.35">
      <c r="A56" s="15"/>
      <c r="B56" s="24" t="s">
        <v>74</v>
      </c>
      <c r="C56" s="25">
        <f>COUNTIFS(Data!$E$2:$E$1471,Analysis!$C$3,Data!$AL$2:$AL$1471,Analysis!$E$3,Data!$H$2:$H$1471,Analysis!$F$3,Data!$AQ$2:$AQ$1471,"&gt;="&amp;Analysis!$G$3,Data!$AQ$2:$AQ$1471,"&lt;="&amp;Analysis!$H$3,Data!$AP$2:$AP$1471,12)</f>
        <v>0</v>
      </c>
      <c r="D56" s="26">
        <f>SUMIFS(Data!$Z$2:$Z$1471,Data!$E$2:$E$1471,Analysis!$C$3,Data!$AL$2:$AL$1471,Analysis!$E$3,Data!$H$2:$H$1471,Analysis!$F$3,Data!$AQ$2:$AQ$1471,"&gt;="&amp;Analysis!$G$3,Data!$AQ$2:$AQ$1471,"&lt;="&amp;Analysis!$H$3,Data!$C$2:$C$1471,"No",Data!$AN$2:$AN$1471,12)</f>
        <v>0</v>
      </c>
      <c r="E56" s="15"/>
      <c r="F56" s="15"/>
      <c r="G56" s="15"/>
      <c r="H56" s="15"/>
    </row>
    <row r="57" spans="1:8" x14ac:dyDescent="0.35">
      <c r="A57" s="15"/>
      <c r="B57" s="15"/>
      <c r="C57" s="15"/>
      <c r="D57" s="15"/>
      <c r="E57" s="15"/>
      <c r="F57" s="15"/>
      <c r="G57" s="15"/>
      <c r="H57" s="15"/>
    </row>
    <row r="58" spans="1:8" ht="15.5" x14ac:dyDescent="0.35">
      <c r="A58" s="15"/>
      <c r="B58" s="18" t="s">
        <v>75</v>
      </c>
      <c r="C58" s="15"/>
      <c r="D58" s="15"/>
      <c r="E58" s="15"/>
      <c r="F58" s="15"/>
      <c r="G58" s="15"/>
      <c r="H58" s="15"/>
    </row>
    <row r="59" spans="1:8" x14ac:dyDescent="0.35">
      <c r="A59" s="15"/>
      <c r="B59" s="23" t="s">
        <v>76</v>
      </c>
      <c r="C59" s="23" t="s">
        <v>77</v>
      </c>
      <c r="D59" s="23" t="s">
        <v>78</v>
      </c>
      <c r="E59" s="15"/>
      <c r="F59" s="15"/>
      <c r="G59" s="15"/>
      <c r="H59" s="15"/>
    </row>
    <row r="60" spans="1:8" x14ac:dyDescent="0.35">
      <c r="A60" s="15"/>
      <c r="B60" s="24">
        <v>0</v>
      </c>
      <c r="C6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60,Data!$AL$2:$AL$1471,"Full-time")</f>
        <v>0</v>
      </c>
      <c r="D6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60,Data!$AL$2:$AL$1471,"Contractor")</f>
        <v>0</v>
      </c>
      <c r="E60" s="15"/>
      <c r="F60" s="15"/>
      <c r="G60" s="15"/>
      <c r="H60" s="15"/>
    </row>
    <row r="61" spans="1:8" x14ac:dyDescent="0.35">
      <c r="A61" s="15"/>
      <c r="B61" s="24">
        <v>1</v>
      </c>
      <c r="C6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61,Data!$AL$2:$AL$1471,"Full-time")</f>
        <v>0</v>
      </c>
      <c r="D6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61,Data!$AL$2:$AL$1471,"Contractor")</f>
        <v>0</v>
      </c>
      <c r="E61" s="15"/>
      <c r="F61" s="15"/>
      <c r="G61" s="15"/>
      <c r="H61" s="15"/>
    </row>
    <row r="62" spans="1:8" x14ac:dyDescent="0.35">
      <c r="A62" s="15"/>
      <c r="B62" s="24">
        <v>2</v>
      </c>
      <c r="C6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62,Data!$AL$2:$AL$1471,"Full-time")</f>
        <v>0</v>
      </c>
      <c r="D6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62,Data!$AL$2:$AL$1471,"Contractor")</f>
        <v>0</v>
      </c>
      <c r="E62" s="15"/>
      <c r="F62" s="15"/>
      <c r="G62" s="15"/>
      <c r="H62" s="15"/>
    </row>
    <row r="63" spans="1:8" x14ac:dyDescent="0.35">
      <c r="A63" s="15"/>
      <c r="B63" s="24">
        <v>3</v>
      </c>
      <c r="C6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63,Data!$AL$2:$AL$1471,"Full-time")</f>
        <v>0</v>
      </c>
      <c r="D6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63,Data!$AL$2:$AL$1471,"Contractor")</f>
        <v>0</v>
      </c>
      <c r="E63" s="15"/>
      <c r="F63" s="15"/>
      <c r="G63" s="15"/>
      <c r="H63" s="15"/>
    </row>
    <row r="64" spans="1:8" x14ac:dyDescent="0.35">
      <c r="A64" s="15"/>
      <c r="B64" s="24">
        <v>4</v>
      </c>
      <c r="C6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64,Data!$AL$2:$AL$1471,"Full-time")</f>
        <v>0</v>
      </c>
      <c r="D6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64,Data!$AL$2:$AL$1471,"Contractor")</f>
        <v>0</v>
      </c>
      <c r="E64" s="15"/>
      <c r="F64" s="15"/>
      <c r="G64" s="15"/>
      <c r="H64" s="15"/>
    </row>
    <row r="65" spans="1:8" x14ac:dyDescent="0.35">
      <c r="A65" s="15"/>
      <c r="B65" s="24">
        <v>5</v>
      </c>
      <c r="C6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65,Data!$AL$2:$AL$1471,"Full-time")</f>
        <v>0</v>
      </c>
      <c r="D6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65,Data!$AL$2:$AL$1471,"Contractor")</f>
        <v>0</v>
      </c>
      <c r="E65" s="15"/>
      <c r="F65" s="15"/>
      <c r="G65" s="15"/>
      <c r="H65" s="15"/>
    </row>
    <row r="66" spans="1:8" x14ac:dyDescent="0.35">
      <c r="A66" s="15"/>
      <c r="B66" s="24">
        <v>6</v>
      </c>
      <c r="C6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66,Data!$AL$2:$AL$1471,"Full-time")</f>
        <v>0</v>
      </c>
      <c r="D6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66,Data!$AL$2:$AL$1471,"Contractor")</f>
        <v>0</v>
      </c>
      <c r="E66" s="15"/>
      <c r="F66" s="15"/>
      <c r="G66" s="15"/>
      <c r="H66" s="15"/>
    </row>
    <row r="67" spans="1:8" x14ac:dyDescent="0.35">
      <c r="A67" s="15"/>
      <c r="B67" s="24">
        <v>7</v>
      </c>
      <c r="C6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67,Data!$AL$2:$AL$1471,"Full-time")</f>
        <v>0</v>
      </c>
      <c r="D6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67,Data!$AL$2:$AL$1471,"Contractor")</f>
        <v>0</v>
      </c>
      <c r="E67" s="15"/>
      <c r="F67" s="15"/>
      <c r="G67" s="15"/>
      <c r="H67" s="15"/>
    </row>
    <row r="68" spans="1:8" x14ac:dyDescent="0.35">
      <c r="A68" s="15"/>
      <c r="B68" s="24">
        <v>8</v>
      </c>
      <c r="C6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68,Data!$AL$2:$AL$1471,"Full-time")</f>
        <v>0</v>
      </c>
      <c r="D6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68,Data!$AL$2:$AL$1471,"Contractor")</f>
        <v>0</v>
      </c>
      <c r="E68" s="15"/>
      <c r="F68" s="15"/>
      <c r="G68" s="15"/>
      <c r="H68" s="15"/>
    </row>
    <row r="69" spans="1:8" x14ac:dyDescent="0.35">
      <c r="A69" s="15"/>
      <c r="B69" s="24">
        <v>9</v>
      </c>
      <c r="C6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69,Data!$AL$2:$AL$1471,"Full-time")</f>
        <v>0</v>
      </c>
      <c r="D6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69,Data!$AL$2:$AL$1471,"Contractor")</f>
        <v>0</v>
      </c>
      <c r="E69" s="15"/>
      <c r="F69" s="15"/>
      <c r="G69" s="15"/>
      <c r="H69" s="15"/>
    </row>
    <row r="70" spans="1:8" x14ac:dyDescent="0.35">
      <c r="A70" s="15"/>
      <c r="B70" s="24">
        <v>10</v>
      </c>
      <c r="C7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70,Data!$AL$2:$AL$1471,"Full-time")</f>
        <v>0</v>
      </c>
      <c r="D7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70,Data!$AL$2:$AL$1471,"Contractor")</f>
        <v>0</v>
      </c>
      <c r="E70" s="15"/>
      <c r="F70" s="15"/>
      <c r="G70" s="15"/>
      <c r="H70" s="15"/>
    </row>
    <row r="71" spans="1:8" x14ac:dyDescent="0.35">
      <c r="A71" s="15"/>
      <c r="B71" s="24">
        <v>11</v>
      </c>
      <c r="C7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71,Data!$AL$2:$AL$1471,"Full-time")</f>
        <v>0</v>
      </c>
      <c r="D7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71,Data!$AL$2:$AL$1471,"Contractor")</f>
        <v>0</v>
      </c>
      <c r="E71" s="15"/>
      <c r="F71" s="15"/>
      <c r="G71" s="15"/>
      <c r="H71" s="15"/>
    </row>
    <row r="72" spans="1:8" x14ac:dyDescent="0.35">
      <c r="A72" s="15"/>
      <c r="B72" s="24">
        <v>12</v>
      </c>
      <c r="C7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72,Data!$AL$2:$AL$1471,"Full-time")</f>
        <v>0</v>
      </c>
      <c r="D7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72,Data!$AL$2:$AL$1471,"Contractor")</f>
        <v>0</v>
      </c>
      <c r="E72" s="15"/>
      <c r="F72" s="15"/>
      <c r="G72" s="15"/>
      <c r="H72" s="15"/>
    </row>
    <row r="73" spans="1:8" x14ac:dyDescent="0.35">
      <c r="A73" s="15"/>
      <c r="B73" s="24">
        <v>13</v>
      </c>
      <c r="C7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73,Data!$AL$2:$AL$1471,"Full-time")</f>
        <v>0</v>
      </c>
      <c r="D7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73,Data!$AL$2:$AL$1471,"Contractor")</f>
        <v>0</v>
      </c>
      <c r="E73" s="15"/>
      <c r="F73" s="15"/>
      <c r="G73" s="15"/>
      <c r="H73" s="15"/>
    </row>
    <row r="74" spans="1:8" x14ac:dyDescent="0.35">
      <c r="A74" s="15"/>
      <c r="B74" s="24">
        <v>14</v>
      </c>
      <c r="C7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74,Data!$AL$2:$AL$1471,"Full-time")</f>
        <v>0</v>
      </c>
      <c r="D7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74,Data!$AL$2:$AL$1471,"Contractor")</f>
        <v>0</v>
      </c>
      <c r="E74" s="15"/>
      <c r="F74" s="15"/>
      <c r="G74" s="15"/>
      <c r="H74" s="15"/>
    </row>
    <row r="75" spans="1:8" x14ac:dyDescent="0.35">
      <c r="A75" s="15"/>
      <c r="B75" s="24">
        <v>15</v>
      </c>
      <c r="C7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75,Data!$AL$2:$AL$1471,"Full-time")</f>
        <v>0</v>
      </c>
      <c r="D7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75,Data!$AL$2:$AL$1471,"Contractor")</f>
        <v>0</v>
      </c>
      <c r="E75" s="15"/>
      <c r="F75" s="15"/>
      <c r="G75" s="15"/>
      <c r="H75" s="15"/>
    </row>
    <row r="76" spans="1:8" x14ac:dyDescent="0.35">
      <c r="A76" s="15"/>
      <c r="B76" s="24">
        <v>16</v>
      </c>
      <c r="C7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76,Data!$AL$2:$AL$1471,"Full-time")</f>
        <v>0</v>
      </c>
      <c r="D7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76,Data!$AL$2:$AL$1471,"Contractor")</f>
        <v>0</v>
      </c>
      <c r="E76" s="15"/>
      <c r="F76" s="15"/>
      <c r="G76" s="15"/>
      <c r="H76" s="15"/>
    </row>
    <row r="77" spans="1:8" x14ac:dyDescent="0.35">
      <c r="A77" s="15"/>
      <c r="B77" s="24">
        <v>17</v>
      </c>
      <c r="C7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77,Data!$AL$2:$AL$1471,"Full-time")</f>
        <v>0</v>
      </c>
      <c r="D7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77,Data!$AL$2:$AL$1471,"Contractor")</f>
        <v>0</v>
      </c>
      <c r="E77" s="15"/>
      <c r="F77" s="15"/>
      <c r="G77" s="15"/>
      <c r="H77" s="15"/>
    </row>
    <row r="78" spans="1:8" x14ac:dyDescent="0.35">
      <c r="A78" s="15"/>
      <c r="B78" s="24">
        <v>18</v>
      </c>
      <c r="C7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78,Data!$AL$2:$AL$1471,"Full-time")</f>
        <v>0</v>
      </c>
      <c r="D7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78,Data!$AL$2:$AL$1471,"Contractor")</f>
        <v>0</v>
      </c>
      <c r="E78" s="15"/>
      <c r="F78" s="15"/>
      <c r="G78" s="15"/>
      <c r="H78" s="15"/>
    </row>
    <row r="79" spans="1:8" x14ac:dyDescent="0.35">
      <c r="A79" s="15"/>
      <c r="B79" s="24">
        <v>19</v>
      </c>
      <c r="C7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79,Data!$AL$2:$AL$1471,"Full-time")</f>
        <v>0</v>
      </c>
      <c r="D7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79,Data!$AL$2:$AL$1471,"Contractor")</f>
        <v>0</v>
      </c>
      <c r="E79" s="15"/>
      <c r="F79" s="15"/>
      <c r="G79" s="15"/>
      <c r="H79" s="15"/>
    </row>
    <row r="80" spans="1:8" x14ac:dyDescent="0.35">
      <c r="A80" s="15"/>
      <c r="B80" s="24">
        <v>20</v>
      </c>
      <c r="C8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80,Data!$AL$2:$AL$1471,"Full-time")</f>
        <v>0</v>
      </c>
      <c r="D8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80,Data!$AL$2:$AL$1471,"Contractor")</f>
        <v>0</v>
      </c>
      <c r="E80" s="15"/>
      <c r="F80" s="15"/>
      <c r="G80" s="15"/>
      <c r="H80" s="15"/>
    </row>
    <row r="81" spans="1:8" x14ac:dyDescent="0.35">
      <c r="A81" s="15"/>
      <c r="B81" s="24">
        <v>21</v>
      </c>
      <c r="C8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81,Data!$AL$2:$AL$1471,"Full-time")</f>
        <v>0</v>
      </c>
      <c r="D8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81,Data!$AL$2:$AL$1471,"Contractor")</f>
        <v>0</v>
      </c>
      <c r="E81" s="15"/>
      <c r="F81" s="15"/>
      <c r="G81" s="15"/>
      <c r="H81" s="15"/>
    </row>
    <row r="82" spans="1:8" x14ac:dyDescent="0.35">
      <c r="A82" s="15"/>
      <c r="B82" s="24">
        <v>22</v>
      </c>
      <c r="C8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82,Data!$AL$2:$AL$1471,"Full-time")</f>
        <v>0</v>
      </c>
      <c r="D8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82,Data!$AL$2:$AL$1471,"Contractor")</f>
        <v>0</v>
      </c>
      <c r="E82" s="15"/>
      <c r="F82" s="15"/>
      <c r="G82" s="15"/>
      <c r="H82" s="15"/>
    </row>
    <row r="83" spans="1:8" x14ac:dyDescent="0.35">
      <c r="A83" s="15"/>
      <c r="B83" s="24">
        <v>23</v>
      </c>
      <c r="C8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83,Data!$AL$2:$AL$1471,"Full-time")</f>
        <v>0</v>
      </c>
      <c r="D8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83,Data!$AL$2:$AL$1471,"Contractor")</f>
        <v>0</v>
      </c>
      <c r="E83" s="15"/>
      <c r="F83" s="15"/>
      <c r="G83" s="15"/>
      <c r="H83" s="15"/>
    </row>
    <row r="84" spans="1:8" x14ac:dyDescent="0.35">
      <c r="A84" s="15"/>
      <c r="B84" s="24">
        <v>24</v>
      </c>
      <c r="C8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84,Data!$AL$2:$AL$1471,"Full-time")</f>
        <v>0</v>
      </c>
      <c r="D8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84,Data!$AL$2:$AL$1471,"Contractor")</f>
        <v>0</v>
      </c>
      <c r="E84" s="15"/>
      <c r="F84" s="15"/>
      <c r="G84" s="15"/>
      <c r="H84" s="15"/>
    </row>
    <row r="85" spans="1:8" x14ac:dyDescent="0.35">
      <c r="A85" s="15"/>
      <c r="B85" s="24">
        <v>25</v>
      </c>
      <c r="C8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85,Data!$AL$2:$AL$1471,"Full-time")</f>
        <v>0</v>
      </c>
      <c r="D8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85,Data!$AL$2:$AL$1471,"Contractor")</f>
        <v>0</v>
      </c>
      <c r="E85" s="15"/>
      <c r="F85" s="15"/>
      <c r="G85" s="15"/>
      <c r="H85" s="15"/>
    </row>
    <row r="86" spans="1:8" x14ac:dyDescent="0.35">
      <c r="A86" s="15"/>
      <c r="B86" s="24">
        <v>26</v>
      </c>
      <c r="C8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86,Data!$AL$2:$AL$1471,"Full-time")</f>
        <v>0</v>
      </c>
      <c r="D8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86,Data!$AL$2:$AL$1471,"Contractor")</f>
        <v>0</v>
      </c>
      <c r="E86" s="15"/>
      <c r="F86" s="15"/>
      <c r="G86" s="15"/>
      <c r="H86" s="15"/>
    </row>
    <row r="87" spans="1:8" x14ac:dyDescent="0.35">
      <c r="A87" s="15"/>
      <c r="B87" s="24">
        <v>27</v>
      </c>
      <c r="C8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87,Data!$AL$2:$AL$1471,"Full-time")</f>
        <v>0</v>
      </c>
      <c r="D8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87,Data!$AL$2:$AL$1471,"Contractor")</f>
        <v>0</v>
      </c>
      <c r="E87" s="15"/>
      <c r="F87" s="15"/>
      <c r="G87" s="15"/>
      <c r="H87" s="15"/>
    </row>
    <row r="88" spans="1:8" x14ac:dyDescent="0.35">
      <c r="A88" s="15"/>
      <c r="B88" s="24">
        <v>28</v>
      </c>
      <c r="C8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88,Data!$AL$2:$AL$1471,"Full-time")</f>
        <v>0</v>
      </c>
      <c r="D88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88,Data!$AL$2:$AL$1471,"Contractor")</f>
        <v>0</v>
      </c>
      <c r="E88" s="15"/>
      <c r="F88" s="15"/>
      <c r="G88" s="15"/>
      <c r="H88" s="15"/>
    </row>
    <row r="89" spans="1:8" x14ac:dyDescent="0.35">
      <c r="A89" s="15"/>
      <c r="B89" s="24">
        <v>29</v>
      </c>
      <c r="C8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89,Data!$AL$2:$AL$1471,"Full-time")</f>
        <v>0</v>
      </c>
      <c r="D89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89,Data!$AL$2:$AL$1471,"Contractor")</f>
        <v>0</v>
      </c>
      <c r="E89" s="15"/>
      <c r="F89" s="15"/>
      <c r="G89" s="15"/>
      <c r="H89" s="15"/>
    </row>
    <row r="90" spans="1:8" x14ac:dyDescent="0.35">
      <c r="A90" s="15"/>
      <c r="B90" s="24">
        <v>30</v>
      </c>
      <c r="C9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90,Data!$AL$2:$AL$1471,"Full-time")</f>
        <v>0</v>
      </c>
      <c r="D90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90,Data!$AL$2:$AL$1471,"Contractor")</f>
        <v>0</v>
      </c>
      <c r="E90" s="15"/>
      <c r="F90" s="15"/>
      <c r="G90" s="15"/>
      <c r="H90" s="15"/>
    </row>
    <row r="91" spans="1:8" x14ac:dyDescent="0.35">
      <c r="A91" s="15"/>
      <c r="B91" s="24">
        <v>31</v>
      </c>
      <c r="C9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91,Data!$AL$2:$AL$1471,"Full-time")</f>
        <v>0</v>
      </c>
      <c r="D91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91,Data!$AL$2:$AL$1471,"Contractor")</f>
        <v>0</v>
      </c>
      <c r="E91" s="15"/>
      <c r="F91" s="15"/>
      <c r="G91" s="15"/>
      <c r="H91" s="15"/>
    </row>
    <row r="92" spans="1:8" x14ac:dyDescent="0.35">
      <c r="A92" s="15"/>
      <c r="B92" s="24">
        <v>32</v>
      </c>
      <c r="C9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92,Data!$AL$2:$AL$1471,"Full-time")</f>
        <v>0</v>
      </c>
      <c r="D92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92,Data!$AL$2:$AL$1471,"Contractor")</f>
        <v>0</v>
      </c>
      <c r="E92" s="15"/>
      <c r="F92" s="15"/>
      <c r="G92" s="15"/>
      <c r="H92" s="15"/>
    </row>
    <row r="93" spans="1:8" x14ac:dyDescent="0.35">
      <c r="A93" s="15"/>
      <c r="B93" s="24">
        <v>33</v>
      </c>
      <c r="C9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93,Data!$AL$2:$AL$1471,"Full-time")</f>
        <v>0</v>
      </c>
      <c r="D93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93,Data!$AL$2:$AL$1471,"Contractor")</f>
        <v>0</v>
      </c>
      <c r="E93" s="15"/>
      <c r="F93" s="15"/>
      <c r="G93" s="15"/>
      <c r="H93" s="15"/>
    </row>
    <row r="94" spans="1:8" x14ac:dyDescent="0.35">
      <c r="A94" s="15"/>
      <c r="B94" s="24">
        <v>34</v>
      </c>
      <c r="C9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94,Data!$AL$2:$AL$1471,"Full-time")</f>
        <v>0</v>
      </c>
      <c r="D94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94,Data!$AL$2:$AL$1471,"Contractor")</f>
        <v>0</v>
      </c>
      <c r="E94" s="15"/>
      <c r="F94" s="15"/>
      <c r="G94" s="15"/>
      <c r="H94" s="15"/>
    </row>
    <row r="95" spans="1:8" x14ac:dyDescent="0.35">
      <c r="A95" s="15"/>
      <c r="B95" s="24">
        <v>35</v>
      </c>
      <c r="C9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95,Data!$AL$2:$AL$1471,"Full-time")</f>
        <v>0</v>
      </c>
      <c r="D95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95,Data!$AL$2:$AL$1471,"Contractor")</f>
        <v>0</v>
      </c>
      <c r="E95" s="15"/>
      <c r="F95" s="15"/>
      <c r="G95" s="15"/>
      <c r="H95" s="15"/>
    </row>
    <row r="96" spans="1:8" x14ac:dyDescent="0.35">
      <c r="A96" s="15"/>
      <c r="B96" s="24">
        <v>36</v>
      </c>
      <c r="C9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96,Data!$AL$2:$AL$1471,"Full-time")</f>
        <v>0</v>
      </c>
      <c r="D96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96,Data!$AL$2:$AL$1471,"Contractor")</f>
        <v>0</v>
      </c>
      <c r="E96" s="15"/>
      <c r="F96" s="15"/>
      <c r="G96" s="15"/>
      <c r="H96" s="15"/>
    </row>
    <row r="97" spans="1:8" x14ac:dyDescent="0.35">
      <c r="A97" s="15"/>
      <c r="B97" s="24">
        <v>37</v>
      </c>
      <c r="C9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97,Data!$AL$2:$AL$1471,"Full-time")</f>
        <v>0</v>
      </c>
      <c r="D97" s="26">
        <f>SUMIFS(Data!$Z$2:$Z$1471,Data!$E$2:$E$1471,Analysis!$C$3,Data!$AL$2:$AL$1471,Analysis!$E$3,Data!$H$2:$H$1471,Analysis!$F$3,Data!$AQ$2:$AQ$1471,"&gt;="&amp;Analysis!$G$3,Data!$AQ$2:$AQ$1471,"&lt;="&amp;Analysis!$H$3,Data!$C$2:$C$1471,"No",Data!$AF$2:$AF$1471,B97,Data!$AL$2:$AL$1471,"Contractor")</f>
        <v>0</v>
      </c>
      <c r="E97" s="15"/>
      <c r="F97" s="15"/>
      <c r="G97" s="15"/>
      <c r="H97" s="15"/>
    </row>
    <row r="98" spans="1:8" x14ac:dyDescent="0.35">
      <c r="A98" s="15"/>
      <c r="B98" s="15"/>
      <c r="C98" s="15"/>
      <c r="D98" s="15"/>
      <c r="E98" s="15"/>
      <c r="F98" s="15"/>
      <c r="G98" s="15"/>
      <c r="H98" s="15"/>
    </row>
    <row r="99" spans="1:8" ht="15.5" x14ac:dyDescent="0.35">
      <c r="A99" s="15"/>
      <c r="B99" s="18" t="s">
        <v>79</v>
      </c>
      <c r="C99" s="15"/>
      <c r="D99" s="15"/>
      <c r="E99" s="15"/>
      <c r="F99" s="15"/>
      <c r="G99" s="15"/>
      <c r="H99" s="15"/>
    </row>
    <row r="100" spans="1:8" x14ac:dyDescent="0.35">
      <c r="A100" s="15"/>
      <c r="B100" s="23" t="s">
        <v>80</v>
      </c>
      <c r="C100" s="23" t="s">
        <v>81</v>
      </c>
      <c r="D100" s="23" t="s">
        <v>82</v>
      </c>
      <c r="E100" s="15"/>
      <c r="F100" s="15"/>
      <c r="G100" s="15"/>
      <c r="H100" s="15"/>
    </row>
    <row r="101" spans="1:8" x14ac:dyDescent="0.35">
      <c r="A101" s="15"/>
      <c r="B101" s="24">
        <v>0</v>
      </c>
      <c r="C10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101,Data!$H$2:$H$1471,"Female")</f>
        <v>0</v>
      </c>
      <c r="D10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101,Data!$H$2:$H$1471,"Male")</f>
        <v>0</v>
      </c>
      <c r="E101" s="15"/>
      <c r="F101" s="15"/>
      <c r="G101" s="15"/>
      <c r="H101" s="15"/>
    </row>
    <row r="102" spans="1:8" x14ac:dyDescent="0.35">
      <c r="A102" s="15"/>
      <c r="B102" s="24">
        <v>1</v>
      </c>
      <c r="C10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102,Data!$H$2:$H$1471,"Female")</f>
        <v>0</v>
      </c>
      <c r="D10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102,Data!$H$2:$H$1471,"Male")</f>
        <v>0</v>
      </c>
      <c r="E102" s="15"/>
      <c r="F102" s="15"/>
      <c r="G102" s="15"/>
      <c r="H102" s="15"/>
    </row>
    <row r="103" spans="1:8" x14ac:dyDescent="0.35">
      <c r="A103" s="15"/>
      <c r="B103" s="24">
        <v>2</v>
      </c>
      <c r="C10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103,Data!$H$2:$H$1471,"Female")</f>
        <v>0</v>
      </c>
      <c r="D10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103,Data!$H$2:$H$1471,"Male")</f>
        <v>0</v>
      </c>
      <c r="E103" s="15"/>
      <c r="F103" s="15"/>
      <c r="G103" s="15"/>
      <c r="H103" s="15"/>
    </row>
    <row r="104" spans="1:8" x14ac:dyDescent="0.35">
      <c r="A104" s="15"/>
      <c r="B104" s="24">
        <v>3</v>
      </c>
      <c r="C10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104,Data!$H$2:$H$1471,"Female")</f>
        <v>0</v>
      </c>
      <c r="D10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104,Data!$H$2:$H$1471,"Male")</f>
        <v>0</v>
      </c>
      <c r="E104" s="15"/>
      <c r="F104" s="15"/>
      <c r="G104" s="15"/>
      <c r="H104" s="15"/>
    </row>
    <row r="105" spans="1:8" x14ac:dyDescent="0.35">
      <c r="A105" s="15"/>
      <c r="B105" s="24">
        <v>4</v>
      </c>
      <c r="C10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105,Data!$H$2:$H$1471,"Female")</f>
        <v>0</v>
      </c>
      <c r="D10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105,Data!$H$2:$H$1471,"Male")</f>
        <v>0</v>
      </c>
      <c r="E105" s="15"/>
      <c r="F105" s="15"/>
      <c r="G105" s="15"/>
      <c r="H105" s="15"/>
    </row>
    <row r="106" spans="1:8" x14ac:dyDescent="0.35">
      <c r="A106" s="15"/>
      <c r="B106" s="24">
        <v>5</v>
      </c>
      <c r="C10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106,Data!$H$2:$H$1471,"Female")</f>
        <v>0</v>
      </c>
      <c r="D10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106,Data!$H$2:$H$1471,"Male")</f>
        <v>0</v>
      </c>
      <c r="E106" s="15"/>
      <c r="F106" s="15"/>
      <c r="G106" s="15"/>
      <c r="H106" s="15"/>
    </row>
    <row r="107" spans="1:8" x14ac:dyDescent="0.35">
      <c r="A107" s="15"/>
      <c r="B107" s="24">
        <v>6</v>
      </c>
      <c r="C10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107,Data!$H$2:$H$1471,"Female")</f>
        <v>0</v>
      </c>
      <c r="D10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107,Data!$H$2:$H$1471,"Male")</f>
        <v>0</v>
      </c>
      <c r="E107" s="15"/>
      <c r="F107" s="15"/>
      <c r="G107" s="15"/>
      <c r="H107" s="15"/>
    </row>
    <row r="108" spans="1:8" x14ac:dyDescent="0.35">
      <c r="A108" s="15"/>
      <c r="B108" s="24">
        <v>7</v>
      </c>
      <c r="C10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108,Data!$H$2:$H$1471,"Female")</f>
        <v>0</v>
      </c>
      <c r="D10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108,Data!$H$2:$H$1471,"Male")</f>
        <v>0</v>
      </c>
      <c r="E108" s="15"/>
      <c r="F108" s="15"/>
      <c r="G108" s="15"/>
      <c r="H108" s="15"/>
    </row>
    <row r="109" spans="1:8" x14ac:dyDescent="0.35">
      <c r="A109" s="15"/>
      <c r="B109" s="24">
        <v>8</v>
      </c>
      <c r="C10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109,Data!$H$2:$H$1471,"Female")</f>
        <v>0</v>
      </c>
      <c r="D10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109,Data!$H$2:$H$1471,"Male")</f>
        <v>0</v>
      </c>
      <c r="E109" s="15"/>
      <c r="F109" s="15"/>
      <c r="G109" s="15"/>
      <c r="H109" s="15"/>
    </row>
    <row r="110" spans="1:8" x14ac:dyDescent="0.35">
      <c r="A110" s="15"/>
      <c r="B110" s="24">
        <v>9</v>
      </c>
      <c r="C11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110,Data!$H$2:$H$1471,"Female")</f>
        <v>0</v>
      </c>
      <c r="D11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110,Data!$H$2:$H$1471,"Male")</f>
        <v>0</v>
      </c>
      <c r="E110" s="15"/>
      <c r="F110" s="15"/>
      <c r="G110" s="15"/>
      <c r="H110" s="15"/>
    </row>
    <row r="111" spans="1:8" x14ac:dyDescent="0.35">
      <c r="A111" s="15"/>
      <c r="B111" s="24">
        <v>10</v>
      </c>
      <c r="C11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111,Data!$H$2:$H$1471,"Female")</f>
        <v>0</v>
      </c>
      <c r="D11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111,Data!$H$2:$H$1471,"Male")</f>
        <v>0</v>
      </c>
      <c r="E111" s="15"/>
      <c r="F111" s="15"/>
      <c r="G111" s="15"/>
      <c r="H111" s="15"/>
    </row>
    <row r="112" spans="1:8" x14ac:dyDescent="0.35">
      <c r="A112" s="15"/>
      <c r="B112" s="24">
        <v>11</v>
      </c>
      <c r="C11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112,Data!$H$2:$H$1471,"Female")</f>
        <v>0</v>
      </c>
      <c r="D11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112,Data!$H$2:$H$1471,"Male")</f>
        <v>0</v>
      </c>
      <c r="E112" s="15"/>
      <c r="F112" s="15"/>
      <c r="G112" s="15"/>
      <c r="H112" s="15"/>
    </row>
    <row r="113" spans="1:8" x14ac:dyDescent="0.35">
      <c r="A113" s="15"/>
      <c r="B113" s="24">
        <v>12</v>
      </c>
      <c r="C11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113,Data!$H$2:$H$1471,"Female")</f>
        <v>0</v>
      </c>
      <c r="D11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113,Data!$H$2:$H$1471,"Male")</f>
        <v>0</v>
      </c>
      <c r="E113" s="15"/>
      <c r="F113" s="15"/>
      <c r="G113" s="15"/>
      <c r="H113" s="15"/>
    </row>
    <row r="114" spans="1:8" x14ac:dyDescent="0.35">
      <c r="A114" s="15"/>
      <c r="B114" s="24">
        <v>13</v>
      </c>
      <c r="C11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114,Data!$H$2:$H$1471,"Female")</f>
        <v>0</v>
      </c>
      <c r="D11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114,Data!$H$2:$H$1471,"Male")</f>
        <v>0</v>
      </c>
      <c r="E114" s="15"/>
      <c r="F114" s="15"/>
      <c r="G114" s="15"/>
      <c r="H114" s="15"/>
    </row>
    <row r="115" spans="1:8" x14ac:dyDescent="0.35">
      <c r="A115" s="15"/>
      <c r="B115" s="24">
        <v>14</v>
      </c>
      <c r="C11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115,Data!$H$2:$H$1471,"Female")</f>
        <v>0</v>
      </c>
      <c r="D11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115,Data!$H$2:$H$1471,"Male")</f>
        <v>0</v>
      </c>
      <c r="E115" s="15"/>
      <c r="F115" s="15"/>
      <c r="G115" s="15"/>
      <c r="H115" s="15"/>
    </row>
    <row r="116" spans="1:8" x14ac:dyDescent="0.35">
      <c r="A116" s="15"/>
      <c r="B116" s="24">
        <v>15</v>
      </c>
      <c r="C11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116,Data!$H$2:$H$1471,"Female")</f>
        <v>0</v>
      </c>
      <c r="D11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116,Data!$H$2:$H$1471,"Male")</f>
        <v>0</v>
      </c>
      <c r="E116" s="15"/>
      <c r="F116" s="15"/>
      <c r="G116" s="15"/>
      <c r="H116" s="15"/>
    </row>
    <row r="117" spans="1:8" x14ac:dyDescent="0.35">
      <c r="A117" s="15"/>
      <c r="B117" s="24">
        <v>16</v>
      </c>
      <c r="C11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117,Data!$H$2:$H$1471,"Female")</f>
        <v>0</v>
      </c>
      <c r="D11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117,Data!$H$2:$H$1471,"Male")</f>
        <v>0</v>
      </c>
      <c r="E117" s="15"/>
      <c r="F117" s="15"/>
      <c r="G117" s="15"/>
      <c r="H117" s="15"/>
    </row>
    <row r="118" spans="1:8" x14ac:dyDescent="0.35">
      <c r="A118" s="15"/>
      <c r="B118" s="24">
        <v>17</v>
      </c>
      <c r="C11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118,Data!$H$2:$H$1471,"Female")</f>
        <v>0</v>
      </c>
      <c r="D11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118,Data!$H$2:$H$1471,"Male")</f>
        <v>0</v>
      </c>
      <c r="E118" s="15"/>
      <c r="F118" s="15"/>
      <c r="G118" s="15"/>
      <c r="H118" s="15"/>
    </row>
    <row r="119" spans="1:8" x14ac:dyDescent="0.35">
      <c r="A119" s="15"/>
      <c r="B119" s="24">
        <v>18</v>
      </c>
      <c r="C11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119,Data!$H$2:$H$1471,"Female")</f>
        <v>0</v>
      </c>
      <c r="D11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119,Data!$H$2:$H$1471,"Male")</f>
        <v>0</v>
      </c>
      <c r="E119" s="15"/>
      <c r="F119" s="15"/>
      <c r="G119" s="15"/>
      <c r="H119" s="15"/>
    </row>
    <row r="120" spans="1:8" x14ac:dyDescent="0.35">
      <c r="A120" s="15"/>
      <c r="B120" s="24">
        <v>19</v>
      </c>
      <c r="C12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120,Data!$H$2:$H$1471,"Female")</f>
        <v>0</v>
      </c>
      <c r="D12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120,Data!$H$2:$H$1471,"Male")</f>
        <v>0</v>
      </c>
      <c r="E120" s="15"/>
      <c r="F120" s="15"/>
      <c r="G120" s="15"/>
      <c r="H120" s="15"/>
    </row>
    <row r="121" spans="1:8" x14ac:dyDescent="0.35">
      <c r="A121" s="15"/>
      <c r="B121" s="24">
        <v>20</v>
      </c>
      <c r="C12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121,Data!$H$2:$H$1471,"Female")</f>
        <v>0</v>
      </c>
      <c r="D12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121,Data!$H$2:$H$1471,"Male")</f>
        <v>0</v>
      </c>
      <c r="E121" s="15"/>
      <c r="F121" s="15"/>
      <c r="G121" s="15"/>
      <c r="H121" s="15"/>
    </row>
    <row r="122" spans="1:8" x14ac:dyDescent="0.35">
      <c r="A122" s="15"/>
      <c r="B122" s="24">
        <v>21</v>
      </c>
      <c r="C12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122,Data!$H$2:$H$1471,"Female")</f>
        <v>0</v>
      </c>
      <c r="D12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122,Data!$H$2:$H$1471,"Male")</f>
        <v>0</v>
      </c>
      <c r="E122" s="15"/>
      <c r="F122" s="15"/>
      <c r="G122" s="15"/>
      <c r="H122" s="15"/>
    </row>
    <row r="123" spans="1:8" x14ac:dyDescent="0.35">
      <c r="A123" s="15"/>
      <c r="B123" s="24">
        <v>22</v>
      </c>
      <c r="C12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123,Data!$H$2:$H$1471,"Female")</f>
        <v>0</v>
      </c>
      <c r="D12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123,Data!$H$2:$H$1471,"Male")</f>
        <v>0</v>
      </c>
      <c r="E123" s="15"/>
      <c r="F123" s="15"/>
      <c r="G123" s="15"/>
      <c r="H123" s="15"/>
    </row>
    <row r="124" spans="1:8" x14ac:dyDescent="0.35">
      <c r="A124" s="15"/>
      <c r="B124" s="24">
        <v>23</v>
      </c>
      <c r="C12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124,Data!$H$2:$H$1471,"Female")</f>
        <v>0</v>
      </c>
      <c r="D12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124,Data!$H$2:$H$1471,"Male")</f>
        <v>0</v>
      </c>
      <c r="E124" s="15"/>
      <c r="F124" s="15"/>
      <c r="G124" s="15"/>
      <c r="H124" s="15"/>
    </row>
    <row r="125" spans="1:8" x14ac:dyDescent="0.35">
      <c r="A125" s="15"/>
      <c r="B125" s="24">
        <v>24</v>
      </c>
      <c r="C12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125,Data!$H$2:$H$1471,"Female")</f>
        <v>0</v>
      </c>
      <c r="D12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125,Data!$H$2:$H$1471,"Male")</f>
        <v>0</v>
      </c>
      <c r="E125" s="15"/>
      <c r="F125" s="15"/>
      <c r="G125" s="15"/>
      <c r="H125" s="15"/>
    </row>
    <row r="126" spans="1:8" x14ac:dyDescent="0.35">
      <c r="A126" s="15"/>
      <c r="B126" s="24">
        <v>25</v>
      </c>
      <c r="C12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126,Data!$H$2:$H$1471,"Female")</f>
        <v>0</v>
      </c>
      <c r="D12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126,Data!$H$2:$H$1471,"Male")</f>
        <v>0</v>
      </c>
      <c r="E126" s="15"/>
      <c r="F126" s="15"/>
      <c r="G126" s="15"/>
      <c r="H126" s="15"/>
    </row>
    <row r="127" spans="1:8" x14ac:dyDescent="0.35">
      <c r="A127" s="15"/>
      <c r="B127" s="24">
        <v>26</v>
      </c>
      <c r="C12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127,Data!$H$2:$H$1471,"Female")</f>
        <v>0</v>
      </c>
      <c r="D12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127,Data!$H$2:$H$1471,"Male")</f>
        <v>0</v>
      </c>
      <c r="E127" s="15"/>
      <c r="F127" s="15"/>
      <c r="G127" s="15"/>
      <c r="H127" s="15"/>
    </row>
    <row r="128" spans="1:8" x14ac:dyDescent="0.35">
      <c r="A128" s="15"/>
      <c r="B128" s="24">
        <v>27</v>
      </c>
      <c r="C12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128,Data!$H$2:$H$1471,"Female")</f>
        <v>0</v>
      </c>
      <c r="D12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128,Data!$H$2:$H$1471,"Male")</f>
        <v>0</v>
      </c>
      <c r="E128" s="15"/>
      <c r="F128" s="15"/>
      <c r="G128" s="15"/>
      <c r="H128" s="15"/>
    </row>
    <row r="129" spans="1:8" x14ac:dyDescent="0.35">
      <c r="A129" s="15"/>
      <c r="B129" s="24">
        <v>28</v>
      </c>
      <c r="C12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129,Data!$H$2:$H$1471,"Female")</f>
        <v>0</v>
      </c>
      <c r="D12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129,Data!$H$2:$H$1471,"Male")</f>
        <v>0</v>
      </c>
      <c r="E129" s="15"/>
      <c r="F129" s="15"/>
      <c r="G129" s="15"/>
      <c r="H129" s="15"/>
    </row>
    <row r="130" spans="1:8" x14ac:dyDescent="0.35">
      <c r="A130" s="15"/>
      <c r="B130" s="24">
        <v>29</v>
      </c>
      <c r="C13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130,Data!$H$2:$H$1471,"Female")</f>
        <v>0</v>
      </c>
      <c r="D13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130,Data!$H$2:$H$1471,"Male")</f>
        <v>0</v>
      </c>
      <c r="E130" s="15"/>
      <c r="F130" s="15"/>
      <c r="G130" s="15"/>
      <c r="H130" s="15"/>
    </row>
    <row r="131" spans="1:8" x14ac:dyDescent="0.35">
      <c r="A131" s="15"/>
      <c r="B131" s="24">
        <v>30</v>
      </c>
      <c r="C13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131,Data!$H$2:$H$1471,"Female")</f>
        <v>0</v>
      </c>
      <c r="D13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131,Data!$H$2:$H$1471,"Male")</f>
        <v>0</v>
      </c>
      <c r="E131" s="15"/>
      <c r="F131" s="15"/>
      <c r="G131" s="15"/>
      <c r="H131" s="15"/>
    </row>
    <row r="132" spans="1:8" x14ac:dyDescent="0.35">
      <c r="A132" s="15"/>
      <c r="B132" s="24">
        <v>31</v>
      </c>
      <c r="C13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132,Data!$H$2:$H$1471,"Female")</f>
        <v>0</v>
      </c>
      <c r="D132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132,Data!$H$2:$H$1471,"Male")</f>
        <v>0</v>
      </c>
      <c r="E132" s="15"/>
      <c r="F132" s="15"/>
      <c r="G132" s="15"/>
      <c r="H132" s="15"/>
    </row>
    <row r="133" spans="1:8" x14ac:dyDescent="0.35">
      <c r="A133" s="15"/>
      <c r="B133" s="24">
        <v>32</v>
      </c>
      <c r="C13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133,Data!$H$2:$H$1471,"Female")</f>
        <v>0</v>
      </c>
      <c r="D133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133,Data!$H$2:$H$1471,"Male")</f>
        <v>0</v>
      </c>
      <c r="E133" s="15"/>
      <c r="F133" s="15"/>
      <c r="G133" s="15"/>
      <c r="H133" s="15"/>
    </row>
    <row r="134" spans="1:8" x14ac:dyDescent="0.35">
      <c r="A134" s="15"/>
      <c r="B134" s="24">
        <v>33</v>
      </c>
      <c r="C13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134,Data!$H$2:$H$1471,"Female")</f>
        <v>0</v>
      </c>
      <c r="D134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134,Data!$H$2:$H$1471,"Male")</f>
        <v>0</v>
      </c>
      <c r="E134" s="15"/>
      <c r="F134" s="15"/>
      <c r="G134" s="15"/>
      <c r="H134" s="15"/>
    </row>
    <row r="135" spans="1:8" x14ac:dyDescent="0.35">
      <c r="A135" s="15"/>
      <c r="B135" s="24">
        <v>34</v>
      </c>
      <c r="C13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135,Data!$H$2:$H$1471,"Female")</f>
        <v>0</v>
      </c>
      <c r="D135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135,Data!$H$2:$H$1471,"Male")</f>
        <v>0</v>
      </c>
      <c r="E135" s="15"/>
      <c r="F135" s="15"/>
      <c r="G135" s="15"/>
      <c r="H135" s="15"/>
    </row>
    <row r="136" spans="1:8" x14ac:dyDescent="0.35">
      <c r="A136" s="15"/>
      <c r="B136" s="24">
        <v>35</v>
      </c>
      <c r="C13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136,Data!$H$2:$H$1471,"Female")</f>
        <v>0</v>
      </c>
      <c r="D136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136,Data!$H$2:$H$1471,"Male")</f>
        <v>0</v>
      </c>
      <c r="E136" s="15"/>
      <c r="F136" s="15"/>
      <c r="G136" s="15"/>
      <c r="H136" s="15"/>
    </row>
    <row r="137" spans="1:8" x14ac:dyDescent="0.35">
      <c r="A137" s="15"/>
      <c r="B137" s="24">
        <v>36</v>
      </c>
      <c r="C13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137,Data!$H$2:$H$1471,"Female")</f>
        <v>0</v>
      </c>
      <c r="D137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137,Data!$H$2:$H$1471,"Male")</f>
        <v>0</v>
      </c>
      <c r="E137" s="15"/>
      <c r="F137" s="15"/>
      <c r="G137" s="15"/>
      <c r="H137" s="15"/>
    </row>
    <row r="138" spans="1:8" x14ac:dyDescent="0.35">
      <c r="A138" s="15"/>
      <c r="B138" s="24">
        <v>37</v>
      </c>
      <c r="C13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138,Data!$H$2:$H$1471,"Female")</f>
        <v>0</v>
      </c>
      <c r="D138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138,Data!$H$2:$H$1471,"Male")</f>
        <v>0</v>
      </c>
      <c r="E138" s="15"/>
      <c r="F138" s="15"/>
      <c r="G138" s="15"/>
      <c r="H138" s="15"/>
    </row>
    <row r="139" spans="1:8" x14ac:dyDescent="0.35">
      <c r="A139" s="15"/>
      <c r="B139" s="24">
        <v>38</v>
      </c>
      <c r="C13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139,Data!$H$2:$H$1471,"Female")</f>
        <v>0</v>
      </c>
      <c r="D139" s="26">
        <f>SUMIFS(Data!$Z$2:$Z$1471,Data!$E$2:$E$1471,Analysis!$C$3,Data!$AL$2:$AL$1471,Analysis!$E$3,Data!$H$2:$H$1471,Analysis!$F$3,Data!$AQ$2:$AQ$1471,"&gt;="&amp;Analysis!$G$3,Data!$AQ$2:$AQ$1471,"&lt;="&amp;Analysis!$H$3,Data!$C$2:$C$1471,"No",Data!$S$2:$S$1471,B139,Data!$H$2:$H$1471,"Male")</f>
        <v>0</v>
      </c>
      <c r="E139" s="15"/>
      <c r="F139" s="15"/>
      <c r="G139" s="15"/>
      <c r="H139" s="15"/>
    </row>
    <row r="140" spans="1:8" x14ac:dyDescent="0.35">
      <c r="A140" s="15"/>
      <c r="B140" s="24">
        <v>39</v>
      </c>
      <c r="C14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140,Data!$H$2:$H$1471,"Female")</f>
        <v>0</v>
      </c>
      <c r="D140" s="26">
        <f>SUMIFS(Data!$Z$2:$Z$1471,Data!$E$2:$E$1471,Analysis!$C$3,Data!$AL$2:$AL$1471,Analysis!$E$3,Data!$H$2:$H$1471,Analysis!$F$3,Data!$AQ$2:$AQ$1471,"&gt;="&amp;Analysis!$G$3,Data!$AQ$2:$AQ$1471,"&lt;="&amp;Analysis!$H$3,Data!$C$2:$C$1471,"No",Data!$S$2:$S$1471,B140,Data!$H$2:$H$1471,"Male")</f>
        <v>0</v>
      </c>
      <c r="E140" s="15"/>
      <c r="F140" s="15"/>
      <c r="G140" s="15"/>
      <c r="H140" s="15"/>
    </row>
    <row r="141" spans="1:8" x14ac:dyDescent="0.35">
      <c r="A141" s="15"/>
      <c r="B141" s="24">
        <v>40</v>
      </c>
      <c r="C14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141,Data!$H$2:$H$1471,"Female")</f>
        <v>0</v>
      </c>
      <c r="D141" s="26">
        <f>SUMIFS(Data!$Z$2:$Z$1471,Data!$E$2:$E$1471,Analysis!$C$3,Data!$AL$2:$AL$1471,Analysis!$E$3,Data!$H$2:$H$1471,Analysis!$F$3,Data!$AQ$2:$AQ$1471,"&gt;="&amp;Analysis!$G$3,Data!$AQ$2:$AQ$1471,"&lt;="&amp;Analysis!$H$3,Data!$C$2:$C$1471,"No",Data!$S$2:$S$1471,B141,Data!$H$2:$H$1471,"Male")</f>
        <v>0</v>
      </c>
      <c r="E141" s="15"/>
      <c r="F141" s="15"/>
      <c r="G141" s="15"/>
      <c r="H141" s="15"/>
    </row>
    <row r="142" spans="1:8" x14ac:dyDescent="0.35">
      <c r="A142" s="15"/>
      <c r="B142" s="15"/>
      <c r="C142" s="15"/>
      <c r="D142" s="15"/>
      <c r="E142" s="15"/>
      <c r="F142" s="15"/>
      <c r="G142" s="15"/>
      <c r="H142" s="15"/>
    </row>
    <row r="143" spans="1:8" ht="15.5" x14ac:dyDescent="0.35">
      <c r="A143" s="15"/>
      <c r="B143" s="18" t="s">
        <v>83</v>
      </c>
      <c r="C143" s="15"/>
      <c r="D143" s="15"/>
      <c r="E143" s="15"/>
      <c r="F143" s="15"/>
      <c r="G143" s="15"/>
      <c r="H143" s="15"/>
    </row>
    <row r="144" spans="1:8" x14ac:dyDescent="0.35">
      <c r="A144" s="15"/>
      <c r="B144" s="23" t="s">
        <v>84</v>
      </c>
      <c r="C144" s="23" t="s">
        <v>33</v>
      </c>
      <c r="D144" s="23" t="s">
        <v>85</v>
      </c>
      <c r="E144" s="23" t="s">
        <v>86</v>
      </c>
      <c r="F144" s="15"/>
      <c r="G144" s="15"/>
      <c r="H144" s="15"/>
    </row>
    <row r="145" spans="1:8" x14ac:dyDescent="0.35">
      <c r="A145" s="15"/>
      <c r="B145" s="24" t="s">
        <v>87</v>
      </c>
      <c r="C145" s="24">
        <f>COUNTIFS(Data!$E$2:$E$1471,Analysis!$C$3,Data!$AL$2:$AL$1471,Analysis!$E$3,Data!$H$2:$H$1471,Analysis!$F$3,Data!$AQ$2:$AQ$1471,"&gt;="&amp;Analysis!$G$3,Data!$AQ$2:$AQ$1471,"&lt;="&amp;Analysis!$H$3,Data!$P$2:$P$1471,"Yes")</f>
        <v>0</v>
      </c>
      <c r="D145" s="24">
        <f>COUNTIFS(Data!$E$2:$E$1471,Analysis!$C$3,Data!$AL$2:$AL$1471,Analysis!$E$3,Data!$H$2:$H$1471,Analysis!$F$3,Data!$AQ$2:$AQ$1471,"&gt;="&amp;Analysis!$G$3,Data!$AQ$2:$AQ$1471,"&lt;="&amp;Analysis!$H$3,Data!$P$2:$P$1471,"Yes",Data!$C$2:$C$1471,"Yes")</f>
        <v>0</v>
      </c>
      <c r="E145" s="27">
        <f t="shared" ref="E145:E158" si="0">IFERROR(D145/C145,0)</f>
        <v>0</v>
      </c>
      <c r="F145" s="15"/>
      <c r="G145" s="15"/>
      <c r="H145" s="15"/>
    </row>
    <row r="146" spans="1:8" x14ac:dyDescent="0.35">
      <c r="A146" s="15"/>
      <c r="B146" s="24" t="s">
        <v>88</v>
      </c>
      <c r="C146" s="24">
        <f>COUNTIFS(Data!$E$2:$E$1471,Analysis!$C$3,Data!$AL$2:$AL$1471,Analysis!$E$3,Data!$H$2:$H$1471,Analysis!$F$3,Data!$AQ$2:$AQ$1471,"&gt;="&amp;Analysis!$G$3,Data!$AQ$2:$AQ$1471,"&lt;="&amp;Analysis!$H$3,Data!$P$2:$P$1471,"No")</f>
        <v>0</v>
      </c>
      <c r="D146" s="24">
        <f>COUNTIFS(Data!$E$2:$E$1471,Analysis!$C$3,Data!$AL$2:$AL$1471,Analysis!$E$3,Data!$H$2:$H$1471,Analysis!$F$3,Data!$AQ$2:$AQ$1471,"&gt;="&amp;Analysis!$G$3,Data!$AQ$2:$AQ$1471,"&lt;="&amp;Analysis!$H$3,Data!$P$2:$P$1471,"No",Data!$C$2:$C$1471,"Yes")</f>
        <v>0</v>
      </c>
      <c r="E146" s="27">
        <f t="shared" si="0"/>
        <v>0</v>
      </c>
      <c r="F146" s="15"/>
      <c r="G146" s="15"/>
      <c r="H146" s="15"/>
    </row>
    <row r="147" spans="1:8" x14ac:dyDescent="0.35">
      <c r="A147" s="15"/>
      <c r="B147" s="24" t="s">
        <v>89</v>
      </c>
      <c r="C147" s="24">
        <f>COUNTIFS(Data!$E$2:$E$1471,Analysis!$C$3,Data!$AL$2:$AL$1471,Analysis!$E$3,Data!$H$2:$H$1471,Analysis!$F$3,Data!$AQ$2:$AQ$1471,"&gt;="&amp;Analysis!$G$3,Data!$AQ$2:$AQ$1471,"&lt;="&amp;Analysis!$H$3,Data!$M$2:$M$1471,"Bad")</f>
        <v>0</v>
      </c>
      <c r="D147" s="24">
        <f>COUNTIFS(Data!$E$2:$E$1471,Analysis!$C$3,Data!$AL$2:$AL$1471,Analysis!$E$3,Data!$H$2:$H$1471,Analysis!$F$3,Data!$AQ$2:$AQ$1471,"&gt;="&amp;Analysis!$G$3,Data!$AQ$2:$AQ$1471,"&lt;="&amp;Analysis!$H$3,Data!$M$2:$M$1471,"Bad",Data!$C$2:$C$1471,"Yes")</f>
        <v>0</v>
      </c>
      <c r="E147" s="27">
        <f t="shared" si="0"/>
        <v>0</v>
      </c>
      <c r="F147" s="15"/>
      <c r="G147" s="15"/>
      <c r="H147" s="15"/>
    </row>
    <row r="148" spans="1:8" x14ac:dyDescent="0.35">
      <c r="A148" s="15"/>
      <c r="B148" s="24" t="s">
        <v>90</v>
      </c>
      <c r="C148" s="24">
        <f>COUNTIFS(Data!$E$2:$E$1471,Analysis!$C$3,Data!$AL$2:$AL$1471,Analysis!$E$3,Data!$H$2:$H$1471,Analysis!$F$3,Data!$AQ$2:$AQ$1471,"&gt;="&amp;Analysis!$G$3,Data!$AQ$2:$AQ$1471,"&lt;="&amp;Analysis!$H$3,Data!$M$2:$M$1471,"Better")</f>
        <v>0</v>
      </c>
      <c r="D148" s="24">
        <f>COUNTIFS(Data!$E$2:$E$1471,Analysis!$C$3,Data!$AL$2:$AL$1471,Analysis!$E$3,Data!$H$2:$H$1471,Analysis!$F$3,Data!$AQ$2:$AQ$1471,"&gt;="&amp;Analysis!$G$3,Data!$AQ$2:$AQ$1471,"&lt;="&amp;Analysis!$H$3,Data!$M$2:$M$1471,"Better",Data!$C$2:$C$1471,"Yes")</f>
        <v>0</v>
      </c>
      <c r="E148" s="27">
        <f t="shared" si="0"/>
        <v>0</v>
      </c>
      <c r="F148" s="15"/>
      <c r="G148" s="15"/>
      <c r="H148" s="15"/>
    </row>
    <row r="149" spans="1:8" x14ac:dyDescent="0.35">
      <c r="A149" s="15"/>
      <c r="B149" s="24" t="s">
        <v>91</v>
      </c>
      <c r="C149" s="24">
        <f>COUNTIFS(Data!$E$2:$E$1471,Analysis!$C$3,Data!$AL$2:$AL$1471,Analysis!$E$3,Data!$H$2:$H$1471,Analysis!$F$3,Data!$AQ$2:$AQ$1471,"&gt;="&amp;Analysis!$G$3,Data!$AQ$2:$AQ$1471,"&lt;="&amp;Analysis!$H$3,Data!$K$2:$K$1471,"Low")</f>
        <v>0</v>
      </c>
      <c r="D149" s="24">
        <f>COUNTIFS(Data!$E$2:$E$1471,Analysis!$C$3,Data!$AL$2:$AL$1471,Analysis!$E$3,Data!$H$2:$H$1471,Analysis!$F$3,Data!$AQ$2:$AQ$1471,"&gt;="&amp;Analysis!$G$3,Data!$AQ$2:$AQ$1471,"&lt;="&amp;Analysis!$H$3,Data!$K$2:$K$1471,"Low",Data!$C$2:$C$1471,"Yes")</f>
        <v>0</v>
      </c>
      <c r="E149" s="27">
        <f t="shared" si="0"/>
        <v>0</v>
      </c>
      <c r="F149" s="15"/>
      <c r="G149" s="15"/>
      <c r="H149" s="15"/>
    </row>
    <row r="150" spans="1:8" x14ac:dyDescent="0.35">
      <c r="A150" s="15"/>
      <c r="B150" s="24" t="s">
        <v>92</v>
      </c>
      <c r="C150" s="24">
        <f>COUNTIFS(Data!$E$2:$E$1471,Analysis!$C$3,Data!$AL$2:$AL$1471,Analysis!$E$3,Data!$H$2:$H$1471,Analysis!$F$3,Data!$AQ$2:$AQ$1471,"&gt;="&amp;Analysis!$G$3,Data!$AQ$2:$AQ$1471,"&lt;="&amp;Analysis!$H$3,Data!$K$2:$K$1471,"Very High")</f>
        <v>0</v>
      </c>
      <c r="D150" s="24">
        <f>COUNTIFS(Data!$E$2:$E$1471,Analysis!$C$3,Data!$AL$2:$AL$1471,Analysis!$E$3,Data!$H$2:$H$1471,Analysis!$F$3,Data!$AQ$2:$AQ$1471,"&gt;="&amp;Analysis!$G$3,Data!$AQ$2:$AQ$1471,"&lt;="&amp;Analysis!$H$3,Data!$K$2:$K$1471,"Very High",Data!$C$2:$C$1471,"Yes")</f>
        <v>0</v>
      </c>
      <c r="E150" s="27">
        <f t="shared" si="0"/>
        <v>0</v>
      </c>
      <c r="F150" s="15"/>
      <c r="G150" s="15"/>
      <c r="H150" s="15"/>
    </row>
    <row r="151" spans="1:8" x14ac:dyDescent="0.35">
      <c r="A151" s="15"/>
      <c r="B151" s="24" t="s">
        <v>93</v>
      </c>
      <c r="C151" s="24">
        <f>COUNTIFS(Data!$E$2:$E$1471,Analysis!$C$3,Data!$AL$2:$AL$1471,Analysis!$E$3,Data!$H$2:$H$1471,Analysis!$F$3,Data!$AQ$2:$AQ$1471,"&gt;="&amp;Analysis!$G$3,Data!$AQ$2:$AQ$1471,"&lt;="&amp;Analysis!$H$3,Data!$AG$2:$AG$1471,"2_Between 20 and 30")</f>
        <v>0</v>
      </c>
      <c r="D151" s="24">
        <f>COUNTIFS(Data!$E$2:$E$1471,Analysis!$C$3,Data!$AL$2:$AL$1471,Analysis!$E$3,Data!$H$2:$H$1471,Analysis!$F$3,Data!$AQ$2:$AQ$1471,"&gt;="&amp;Analysis!$G$3,Data!$AQ$2:$AQ$1471,"&lt;="&amp;Analysis!$H$3,Data!$AG$2:$AG$1471,"2_Between 20 and 30",Data!$C$2:$C$1471,"Yes")</f>
        <v>0</v>
      </c>
      <c r="E151" s="27">
        <f t="shared" si="0"/>
        <v>0</v>
      </c>
      <c r="F151" s="15"/>
      <c r="G151" s="15"/>
      <c r="H151" s="15"/>
    </row>
    <row r="152" spans="1:8" x14ac:dyDescent="0.35">
      <c r="A152" s="15"/>
      <c r="B152" s="24" t="s">
        <v>94</v>
      </c>
      <c r="C152" s="24">
        <f>COUNTIFS(Data!$E$2:$E$1471,Analysis!$C$3,Data!$AL$2:$AL$1471,Analysis!$E$3,Data!$H$2:$H$1471,Analysis!$F$3,Data!$AQ$2:$AQ$1471,"&gt;="&amp;Analysis!$G$3,Data!$AQ$2:$AQ$1471,"&lt;="&amp;Analysis!$H$3,Data!$AG$2:$AG$1471,"4_Between 40 and 50")</f>
        <v>0</v>
      </c>
      <c r="D152" s="24">
        <f>COUNTIFS(Data!$E$2:$E$1471,Analysis!$C$3,Data!$AL$2:$AL$1471,Analysis!$E$3,Data!$H$2:$H$1471,Analysis!$F$3,Data!$AQ$2:$AQ$1471,"&gt;="&amp;Analysis!$G$3,Data!$AQ$2:$AQ$1471,"&lt;="&amp;Analysis!$H$3,Data!$AG$2:$AG$1471,"4_Between 40 and 50",Data!$C$2:$C$1471,"Yes")</f>
        <v>0</v>
      </c>
      <c r="E152" s="27">
        <f t="shared" si="0"/>
        <v>0</v>
      </c>
      <c r="F152" s="15"/>
      <c r="G152" s="15"/>
      <c r="H152" s="15"/>
    </row>
    <row r="153" spans="1:8" x14ac:dyDescent="0.35">
      <c r="A153" s="15"/>
      <c r="B153" s="24" t="s">
        <v>95</v>
      </c>
      <c r="C153" s="24">
        <f>COUNTIFS(Data!$E$2:$E$1471,Analysis!$C$3,Data!$AL$2:$AL$1471,Analysis!$E$3,Data!$H$2:$H$1471,Analysis!$F$3,Data!$AQ$2:$AQ$1471,"&gt;="&amp;Analysis!$G$3,Data!$AQ$2:$AQ$1471,"&lt;="&amp;Analysis!$H$3,Data!$N$2:$N$1471,"Single")</f>
        <v>0</v>
      </c>
      <c r="D153" s="24">
        <f>COUNTIFS(Data!$E$2:$E$1471,Analysis!$C$3,Data!$AL$2:$AL$1471,Analysis!$E$3,Data!$H$2:$H$1471,Analysis!$F$3,Data!$AQ$2:$AQ$1471,"&gt;="&amp;Analysis!$G$3,Data!$AQ$2:$AQ$1471,"&lt;="&amp;Analysis!$H$3,Data!$N$2:$N$1471,"Single",Data!$C$2:$C$1471,"Yes")</f>
        <v>0</v>
      </c>
      <c r="E153" s="27">
        <f t="shared" si="0"/>
        <v>0</v>
      </c>
      <c r="F153" s="15"/>
      <c r="G153" s="15"/>
      <c r="H153" s="15"/>
    </row>
    <row r="154" spans="1:8" x14ac:dyDescent="0.35">
      <c r="A154" s="15"/>
      <c r="B154" s="24" t="s">
        <v>96</v>
      </c>
      <c r="C154" s="24">
        <f>COUNTIFS(Data!$E$2:$E$1471,Analysis!$C$3,Data!$AL$2:$AL$1471,Analysis!$E$3,Data!$H$2:$H$1471,Analysis!$F$3,Data!$AQ$2:$AQ$1471,"&gt;="&amp;Analysis!$G$3,Data!$AQ$2:$AQ$1471,"&lt;="&amp;Analysis!$H$3,Data!$N$2:$N$1471,"Divorced")</f>
        <v>0</v>
      </c>
      <c r="D154" s="24">
        <f>COUNTIFS(Data!$E$2:$E$1471,Analysis!$C$3,Data!$AL$2:$AL$1471,Analysis!$E$3,Data!$H$2:$H$1471,Analysis!$F$3,Data!$AQ$2:$AQ$1471,"&gt;="&amp;Analysis!$G$3,Data!$AQ$2:$AQ$1471,"&lt;="&amp;Analysis!$H$3,Data!$N$2:$N$1471,"Divorced",Data!$C$2:$C$1471,"Yes")</f>
        <v>0</v>
      </c>
      <c r="E154" s="27">
        <f t="shared" si="0"/>
        <v>0</v>
      </c>
      <c r="F154" s="15"/>
      <c r="G154" s="15"/>
      <c r="H154" s="15"/>
    </row>
    <row r="155" spans="1:8" x14ac:dyDescent="0.35">
      <c r="A155" s="15"/>
      <c r="B155" s="24" t="s">
        <v>97</v>
      </c>
      <c r="C155" s="24">
        <f>COUNTIFS(Data!$E$2:$E$1471,Analysis!$C$3,Data!$AL$2:$AL$1471,Analysis!$E$3,Data!$H$2:$H$1471,Analysis!$F$3,Data!$AQ$2:$AQ$1471,"&gt;="&amp;Analysis!$G$3,Data!$AQ$2:$AQ$1471,"&lt;="&amp;Analysis!$H$3,Data!$D$2:$D$1471,"Travel_Frequently")</f>
        <v>0</v>
      </c>
      <c r="D155" s="24">
        <f>COUNTIFS(Data!$E$2:$E$1471,Analysis!$C$3,Data!$AL$2:$AL$1471,Analysis!$E$3,Data!$H$2:$H$1471,Analysis!$F$3,Data!$AQ$2:$AQ$1471,"&gt;="&amp;Analysis!$G$3,Data!$AQ$2:$AQ$1471,"&lt;="&amp;Analysis!$H$3,Data!$D$2:$D$1471,"Travel_Frequently",Data!$C$2:$C$1471,"Yes")</f>
        <v>0</v>
      </c>
      <c r="E155" s="27">
        <f t="shared" si="0"/>
        <v>0</v>
      </c>
      <c r="F155" s="15"/>
      <c r="G155" s="15"/>
      <c r="H155" s="15"/>
    </row>
    <row r="156" spans="1:8" x14ac:dyDescent="0.35">
      <c r="A156" s="15"/>
      <c r="B156" s="24" t="s">
        <v>98</v>
      </c>
      <c r="C156" s="24">
        <f>COUNTIFS(Data!$E$2:$E$1471,Analysis!$C$3,Data!$AL$2:$AL$1471,Analysis!$E$3,Data!$H$2:$H$1471,Analysis!$F$3,Data!$AQ$2:$AQ$1471,"&gt;="&amp;Analysis!$G$3,Data!$AQ$2:$AQ$1471,"&lt;="&amp;Analysis!$H$3,Data!$D$2:$D$1471,"Non-Travel")</f>
        <v>0</v>
      </c>
      <c r="D156" s="24">
        <f>COUNTIFS(Data!$E$2:$E$1471,Analysis!$C$3,Data!$AL$2:$AL$1471,Analysis!$E$3,Data!$H$2:$H$1471,Analysis!$F$3,Data!$AQ$2:$AQ$1471,"&gt;="&amp;Analysis!$G$3,Data!$AQ$2:$AQ$1471,"&lt;="&amp;Analysis!$H$3,Data!$D$2:$D$1471,"Non-Travel",Data!$C$2:$C$1471,"Yes")</f>
        <v>0</v>
      </c>
      <c r="E156" s="27">
        <f t="shared" si="0"/>
        <v>0</v>
      </c>
      <c r="F156" s="15"/>
      <c r="G156" s="15"/>
      <c r="H156" s="15"/>
    </row>
    <row r="157" spans="1:8" x14ac:dyDescent="0.35">
      <c r="A157" s="15"/>
      <c r="B157" s="24" t="s">
        <v>78</v>
      </c>
      <c r="C157" s="24">
        <f>COUNTIFS(Data!$E$2:$E$1471,Analysis!$C$3,Data!$AL$2:$AL$1471,Analysis!$E$3,Data!$H$2:$H$1471,Analysis!$F$3,Data!$AQ$2:$AQ$1471,"&gt;="&amp;Analysis!$G$3,Data!$AQ$2:$AQ$1471,"&lt;="&amp;Analysis!$H$3,Data!$AL$2:$AL$1471,"Contractor")</f>
        <v>0</v>
      </c>
      <c r="D157" s="24">
        <f>COUNTIFS(Data!$E$2:$E$1471,Analysis!$C$3,Data!$AL$2:$AL$1471,Analysis!$E$3,Data!$H$2:$H$1471,Analysis!$F$3,Data!$AQ$2:$AQ$1471,"&gt;="&amp;Analysis!$G$3,Data!$AQ$2:$AQ$1471,"&lt;="&amp;Analysis!$H$3,Data!$AL$2:$AL$1471,"Contractor",Data!$C$2:$C$1471,"Yes")</f>
        <v>0</v>
      </c>
      <c r="E157" s="27">
        <f t="shared" si="0"/>
        <v>0</v>
      </c>
      <c r="F157" s="15"/>
      <c r="G157" s="15"/>
      <c r="H157" s="15"/>
    </row>
    <row r="158" spans="1:8" x14ac:dyDescent="0.35">
      <c r="A158" s="15"/>
      <c r="B158" s="24" t="s">
        <v>77</v>
      </c>
      <c r="C158" s="24">
        <f>COUNTIFS(Data!$E$2:$E$1471,Analysis!$C$3,Data!$AL$2:$AL$1471,Analysis!$E$3,Data!$H$2:$H$1471,Analysis!$F$3,Data!$AQ$2:$AQ$1471,"&gt;="&amp;Analysis!$G$3,Data!$AQ$2:$AQ$1471,"&lt;="&amp;Analysis!$H$3,Data!$AL$2:$AL$1471,"Full-time")</f>
        <v>0</v>
      </c>
      <c r="D158" s="24">
        <f>COUNTIFS(Data!$E$2:$E$1471,Analysis!$C$3,Data!$AL$2:$AL$1471,Analysis!$E$3,Data!$H$2:$H$1471,Analysis!$F$3,Data!$AQ$2:$AQ$1471,"&gt;="&amp;Analysis!$G$3,Data!$AQ$2:$AQ$1471,"&lt;="&amp;Analysis!$H$3,Data!$AL$2:$AL$1471,"Full-time",Data!$C$2:$C$1471,"Yes")</f>
        <v>0</v>
      </c>
      <c r="E158" s="27">
        <f t="shared" si="0"/>
        <v>0</v>
      </c>
      <c r="F158" s="15"/>
      <c r="G158" s="15"/>
      <c r="H158" s="15"/>
    </row>
    <row r="159" spans="1:8" x14ac:dyDescent="0.35">
      <c r="A159" s="15"/>
      <c r="B159" s="15"/>
      <c r="C159" s="15"/>
      <c r="D159" s="15"/>
      <c r="E159" s="15"/>
      <c r="F159" s="15"/>
      <c r="G159" s="15"/>
      <c r="H159" s="15"/>
    </row>
    <row r="160" spans="1:8" ht="15.5" x14ac:dyDescent="0.35">
      <c r="A160" s="15"/>
      <c r="B160" s="18" t="s">
        <v>99</v>
      </c>
      <c r="C160" s="15"/>
      <c r="D160" s="15"/>
      <c r="E160" s="15"/>
      <c r="F160" s="15"/>
      <c r="G160" s="15"/>
      <c r="H160" s="15"/>
    </row>
    <row r="161" spans="1:8" x14ac:dyDescent="0.35">
      <c r="A161" s="15"/>
      <c r="B161" s="23" t="s">
        <v>84</v>
      </c>
      <c r="C161" s="23" t="s">
        <v>100</v>
      </c>
      <c r="D161" s="15"/>
      <c r="E161" s="15"/>
      <c r="F161" s="15"/>
      <c r="G161" s="15"/>
      <c r="H161" s="15"/>
    </row>
    <row r="162" spans="1:8" x14ac:dyDescent="0.35">
      <c r="A162" s="15"/>
      <c r="B162" s="15" t="s">
        <v>101</v>
      </c>
      <c r="C162" s="22">
        <f>IFERROR(AVERAGEIFS(Data!$Z$2:$Z$1471,Data!$E$2:$E$1471,Analysis!$C$3,Data!$AL$2:$AL$1471,Analysis!$E$3,Data!$H$2:$H$1471,Analysis!$F$3,Data!$AQ$2:$AQ$1471,"&gt;="&amp;Analysis!$G$3,Data!$AQ$2:$AQ$1471,"&lt;="&amp;Analysis!$H$3,Data!$C$2:$C$1471,"No"),0)</f>
        <v>0</v>
      </c>
      <c r="D162" s="15"/>
      <c r="E162" s="15"/>
      <c r="F162" s="15"/>
      <c r="G162" s="15"/>
      <c r="H162" s="15"/>
    </row>
    <row r="163" spans="1:8" x14ac:dyDescent="0.35">
      <c r="A163" s="15"/>
      <c r="B163" s="15" t="s">
        <v>102</v>
      </c>
      <c r="C163" s="22">
        <f>IFERROR(AVERAGEIFS(Data!$Z$2:$Z$1471,Data!$E$2:$E$1471,Analysis!$C$3,Data!$AL$2:$AL$1471,Analysis!$E$3,Data!$H$2:$H$1471,Analysis!$F$3,Data!$AQ$2:$AQ$1471,"&gt;="&amp;Analysis!$G$3,Data!$AQ$2:$AQ$1471,"&lt;="&amp;Analysis!$H$3,Data!$C$2:$C$1471,"Yes"),0)</f>
        <v>0</v>
      </c>
      <c r="D163" s="15"/>
      <c r="E163" s="15"/>
      <c r="F163" s="15"/>
      <c r="G163" s="15"/>
      <c r="H163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47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43" width="14" customWidth="1"/>
  </cols>
  <sheetData>
    <row r="1" spans="1:43" x14ac:dyDescent="0.35">
      <c r="A1" s="28" t="s">
        <v>103</v>
      </c>
      <c r="B1" s="28" t="s">
        <v>104</v>
      </c>
      <c r="C1" s="28" t="s">
        <v>105</v>
      </c>
      <c r="D1" s="28" t="s">
        <v>106</v>
      </c>
      <c r="E1" s="28" t="s">
        <v>107</v>
      </c>
      <c r="F1" s="28" t="s">
        <v>32</v>
      </c>
      <c r="G1" s="28" t="s">
        <v>108</v>
      </c>
      <c r="H1" s="28" t="s">
        <v>19</v>
      </c>
      <c r="I1" s="28" t="s">
        <v>109</v>
      </c>
      <c r="J1" s="28" t="s">
        <v>110</v>
      </c>
      <c r="K1" s="28" t="s">
        <v>111</v>
      </c>
      <c r="L1" s="28" t="s">
        <v>112</v>
      </c>
      <c r="M1" s="28" t="s">
        <v>113</v>
      </c>
      <c r="N1" s="28" t="s">
        <v>114</v>
      </c>
      <c r="O1" s="28" t="s">
        <v>115</v>
      </c>
      <c r="P1" s="28" t="s">
        <v>116</v>
      </c>
      <c r="Q1" s="28" t="s">
        <v>117</v>
      </c>
      <c r="R1" s="28" t="s">
        <v>118</v>
      </c>
      <c r="S1" s="28" t="s">
        <v>119</v>
      </c>
      <c r="T1" s="28" t="s">
        <v>120</v>
      </c>
      <c r="U1" s="28" t="s">
        <v>121</v>
      </c>
      <c r="V1" s="28" t="s">
        <v>122</v>
      </c>
      <c r="W1" s="28" t="s">
        <v>123</v>
      </c>
      <c r="X1" s="28" t="s">
        <v>124</v>
      </c>
      <c r="Y1" s="28" t="s">
        <v>125</v>
      </c>
      <c r="Z1" s="28" t="s">
        <v>126</v>
      </c>
      <c r="AA1" s="28" t="s">
        <v>127</v>
      </c>
      <c r="AB1" s="28" t="s">
        <v>128</v>
      </c>
      <c r="AC1" s="28" t="s">
        <v>129</v>
      </c>
      <c r="AD1" s="28" t="s">
        <v>130</v>
      </c>
      <c r="AE1" s="28" t="s">
        <v>131</v>
      </c>
      <c r="AF1" s="28" t="s">
        <v>132</v>
      </c>
      <c r="AG1" s="28" t="s">
        <v>133</v>
      </c>
      <c r="AH1" s="28" t="s">
        <v>134</v>
      </c>
      <c r="AI1" s="28" t="s">
        <v>135</v>
      </c>
      <c r="AJ1" s="28" t="s">
        <v>136</v>
      </c>
      <c r="AK1" s="28" t="s">
        <v>137</v>
      </c>
      <c r="AL1" s="28" t="s">
        <v>138</v>
      </c>
      <c r="AM1" s="28" t="s">
        <v>139</v>
      </c>
      <c r="AN1" s="28" t="s">
        <v>140</v>
      </c>
      <c r="AO1" s="28" t="s">
        <v>141</v>
      </c>
      <c r="AP1" s="28" t="s">
        <v>142</v>
      </c>
      <c r="AQ1" s="28" t="s">
        <v>143</v>
      </c>
    </row>
    <row r="2" spans="1:43" x14ac:dyDescent="0.35">
      <c r="A2">
        <v>1522</v>
      </c>
      <c r="B2">
        <v>37</v>
      </c>
      <c r="C2" t="s">
        <v>144</v>
      </c>
      <c r="D2" t="s">
        <v>145</v>
      </c>
      <c r="E2" t="s">
        <v>4</v>
      </c>
      <c r="F2" t="s">
        <v>37</v>
      </c>
      <c r="G2" t="s">
        <v>41</v>
      </c>
      <c r="H2" t="s">
        <v>82</v>
      </c>
      <c r="I2" t="s">
        <v>42</v>
      </c>
      <c r="J2" t="s">
        <v>146</v>
      </c>
      <c r="K2" t="s">
        <v>41</v>
      </c>
      <c r="L2" t="s">
        <v>147</v>
      </c>
      <c r="M2" t="s">
        <v>47</v>
      </c>
      <c r="N2" t="s">
        <v>95</v>
      </c>
      <c r="P2" t="s">
        <v>148</v>
      </c>
      <c r="Q2">
        <v>13</v>
      </c>
      <c r="R2">
        <v>6</v>
      </c>
      <c r="S2">
        <v>11</v>
      </c>
      <c r="T2">
        <v>0</v>
      </c>
      <c r="U2">
        <v>7</v>
      </c>
      <c r="V2">
        <v>1</v>
      </c>
      <c r="W2">
        <v>100</v>
      </c>
      <c r="X2">
        <v>224</v>
      </c>
      <c r="Y2">
        <v>7568</v>
      </c>
      <c r="Z2">
        <v>2362</v>
      </c>
      <c r="AA2">
        <v>2</v>
      </c>
      <c r="AB2" s="29">
        <v>44773</v>
      </c>
      <c r="AC2" s="29">
        <v>30826</v>
      </c>
      <c r="AD2" s="29">
        <v>37136</v>
      </c>
      <c r="AE2" s="29">
        <v>40205</v>
      </c>
      <c r="AF2">
        <v>8</v>
      </c>
      <c r="AG2" t="s">
        <v>149</v>
      </c>
      <c r="AH2">
        <v>1</v>
      </c>
      <c r="AI2">
        <v>29</v>
      </c>
      <c r="AJ2">
        <v>1</v>
      </c>
      <c r="AK2" t="s">
        <v>150</v>
      </c>
      <c r="AL2" t="s">
        <v>77</v>
      </c>
      <c r="AM2">
        <f t="shared" ref="AM2:AM65" si="0">ROUNDUP(MONTH(AD2)/3,0)</f>
        <v>3</v>
      </c>
      <c r="AN2">
        <f t="shared" ref="AN2:AN65" si="1">MONTH(AD2)</f>
        <v>9</v>
      </c>
      <c r="AO2">
        <f t="shared" ref="AO2:AO65" si="2">IF(C2="Yes",ROUNDUP(MONTH(AE2)/3,0),"")</f>
        <v>1</v>
      </c>
      <c r="AP2">
        <f t="shared" ref="AP2:AP65" si="3">IF(C2="Yes",MONTH(AE2),"")</f>
        <v>1</v>
      </c>
      <c r="AQ2">
        <f t="shared" ref="AQ2:AQ65" si="4">YEAR(AD2)</f>
        <v>2001</v>
      </c>
    </row>
    <row r="3" spans="1:43" x14ac:dyDescent="0.35">
      <c r="A3">
        <v>1101</v>
      </c>
      <c r="B3">
        <v>42</v>
      </c>
      <c r="C3" t="s">
        <v>144</v>
      </c>
      <c r="D3" t="s">
        <v>151</v>
      </c>
      <c r="E3" t="s">
        <v>4</v>
      </c>
      <c r="F3" t="s">
        <v>37</v>
      </c>
      <c r="G3" t="s">
        <v>41</v>
      </c>
      <c r="H3" t="s">
        <v>81</v>
      </c>
      <c r="I3" t="s">
        <v>42</v>
      </c>
      <c r="J3" t="s">
        <v>146</v>
      </c>
      <c r="K3" t="s">
        <v>43</v>
      </c>
      <c r="L3" t="s">
        <v>152</v>
      </c>
      <c r="M3" t="s">
        <v>49</v>
      </c>
      <c r="N3" t="s">
        <v>95</v>
      </c>
      <c r="P3" t="s">
        <v>148</v>
      </c>
      <c r="Q3">
        <v>22</v>
      </c>
      <c r="R3">
        <v>1</v>
      </c>
      <c r="S3">
        <v>14</v>
      </c>
      <c r="T3">
        <v>3</v>
      </c>
      <c r="U3">
        <v>8</v>
      </c>
      <c r="V3">
        <v>29</v>
      </c>
      <c r="W3">
        <v>54</v>
      </c>
      <c r="X3">
        <v>827</v>
      </c>
      <c r="Y3">
        <v>3129</v>
      </c>
      <c r="Z3">
        <v>4508</v>
      </c>
      <c r="AA3">
        <v>4</v>
      </c>
      <c r="AB3" s="29">
        <v>44773</v>
      </c>
      <c r="AC3" s="29">
        <v>29226</v>
      </c>
      <c r="AD3" s="29">
        <v>35808</v>
      </c>
      <c r="AE3" s="29">
        <v>40294</v>
      </c>
      <c r="AF3">
        <v>12</v>
      </c>
      <c r="AG3" t="s">
        <v>153</v>
      </c>
      <c r="AH3">
        <v>1</v>
      </c>
      <c r="AI3">
        <v>30</v>
      </c>
      <c r="AJ3">
        <v>1</v>
      </c>
      <c r="AK3" t="s">
        <v>154</v>
      </c>
      <c r="AL3" t="s">
        <v>77</v>
      </c>
      <c r="AM3">
        <f t="shared" si="0"/>
        <v>1</v>
      </c>
      <c r="AN3">
        <f t="shared" si="1"/>
        <v>1</v>
      </c>
      <c r="AO3">
        <f t="shared" si="2"/>
        <v>2</v>
      </c>
      <c r="AP3">
        <f t="shared" si="3"/>
        <v>4</v>
      </c>
      <c r="AQ3">
        <f t="shared" si="4"/>
        <v>1998</v>
      </c>
    </row>
    <row r="4" spans="1:43" x14ac:dyDescent="0.35">
      <c r="A4">
        <v>1299</v>
      </c>
      <c r="B4">
        <v>29</v>
      </c>
      <c r="C4" t="s">
        <v>144</v>
      </c>
      <c r="D4" t="s">
        <v>145</v>
      </c>
      <c r="E4" t="s">
        <v>4</v>
      </c>
      <c r="F4" t="s">
        <v>38</v>
      </c>
      <c r="G4" t="s">
        <v>42</v>
      </c>
      <c r="H4" t="s">
        <v>81</v>
      </c>
      <c r="I4" t="s">
        <v>43</v>
      </c>
      <c r="J4" t="s">
        <v>155</v>
      </c>
      <c r="K4" t="s">
        <v>43</v>
      </c>
      <c r="L4" t="s">
        <v>147</v>
      </c>
      <c r="M4" t="s">
        <v>49</v>
      </c>
      <c r="N4" t="s">
        <v>96</v>
      </c>
      <c r="O4" t="s">
        <v>156</v>
      </c>
      <c r="P4" t="s">
        <v>144</v>
      </c>
      <c r="Q4">
        <v>13</v>
      </c>
      <c r="R4">
        <v>3</v>
      </c>
      <c r="S4">
        <v>10</v>
      </c>
      <c r="T4">
        <v>7</v>
      </c>
      <c r="U4">
        <v>7</v>
      </c>
      <c r="V4">
        <v>7</v>
      </c>
      <c r="W4">
        <v>39</v>
      </c>
      <c r="X4">
        <v>806</v>
      </c>
      <c r="Y4">
        <v>17285</v>
      </c>
      <c r="Z4">
        <v>3339</v>
      </c>
      <c r="AA4">
        <v>2</v>
      </c>
      <c r="AB4" s="29">
        <v>44773</v>
      </c>
      <c r="AC4" s="29">
        <v>34281</v>
      </c>
      <c r="AD4" s="29">
        <v>39917</v>
      </c>
      <c r="AE4" s="29">
        <v>42304</v>
      </c>
      <c r="AF4">
        <v>7</v>
      </c>
      <c r="AG4" t="s">
        <v>157</v>
      </c>
      <c r="AH4">
        <v>2</v>
      </c>
      <c r="AI4">
        <v>22</v>
      </c>
      <c r="AJ4">
        <v>1</v>
      </c>
      <c r="AK4" t="s">
        <v>150</v>
      </c>
      <c r="AL4" t="s">
        <v>78</v>
      </c>
      <c r="AM4">
        <f t="shared" si="0"/>
        <v>2</v>
      </c>
      <c r="AN4">
        <f t="shared" si="1"/>
        <v>4</v>
      </c>
      <c r="AO4">
        <f t="shared" si="2"/>
        <v>4</v>
      </c>
      <c r="AP4">
        <f t="shared" si="3"/>
        <v>10</v>
      </c>
      <c r="AQ4">
        <f t="shared" si="4"/>
        <v>2009</v>
      </c>
    </row>
    <row r="5" spans="1:43" x14ac:dyDescent="0.35">
      <c r="A5">
        <v>1457</v>
      </c>
      <c r="B5">
        <v>46</v>
      </c>
      <c r="C5" t="s">
        <v>144</v>
      </c>
      <c r="D5" t="s">
        <v>145</v>
      </c>
      <c r="E5" t="s">
        <v>158</v>
      </c>
      <c r="F5" t="s">
        <v>38</v>
      </c>
      <c r="G5" t="s">
        <v>41</v>
      </c>
      <c r="H5" t="s">
        <v>82</v>
      </c>
      <c r="I5" t="s">
        <v>43</v>
      </c>
      <c r="J5" t="s">
        <v>159</v>
      </c>
      <c r="K5" t="s">
        <v>44</v>
      </c>
      <c r="L5" t="s">
        <v>48</v>
      </c>
      <c r="M5" t="s">
        <v>50</v>
      </c>
      <c r="N5" t="s">
        <v>96</v>
      </c>
      <c r="O5" t="s">
        <v>41</v>
      </c>
      <c r="P5" t="s">
        <v>148</v>
      </c>
      <c r="Q5">
        <v>11</v>
      </c>
      <c r="R5">
        <v>4</v>
      </c>
      <c r="S5">
        <v>28</v>
      </c>
      <c r="T5">
        <v>4</v>
      </c>
      <c r="U5">
        <v>3</v>
      </c>
      <c r="V5">
        <v>9</v>
      </c>
      <c r="W5">
        <v>52</v>
      </c>
      <c r="X5">
        <v>377</v>
      </c>
      <c r="Y5">
        <v>15986</v>
      </c>
      <c r="Z5">
        <v>10096</v>
      </c>
      <c r="AA5">
        <v>1</v>
      </c>
      <c r="AB5" s="29">
        <v>44773</v>
      </c>
      <c r="AC5" s="29">
        <v>28009</v>
      </c>
      <c r="AD5" s="29">
        <v>40018</v>
      </c>
      <c r="AE5" s="29">
        <v>42487</v>
      </c>
      <c r="AF5">
        <v>7</v>
      </c>
      <c r="AG5" t="s">
        <v>153</v>
      </c>
      <c r="AH5">
        <v>1</v>
      </c>
      <c r="AI5">
        <v>39</v>
      </c>
      <c r="AJ5">
        <v>1</v>
      </c>
      <c r="AK5" t="s">
        <v>150</v>
      </c>
      <c r="AL5" t="s">
        <v>77</v>
      </c>
      <c r="AM5">
        <f t="shared" si="0"/>
        <v>3</v>
      </c>
      <c r="AN5">
        <f t="shared" si="1"/>
        <v>7</v>
      </c>
      <c r="AO5">
        <f t="shared" si="2"/>
        <v>2</v>
      </c>
      <c r="AP5">
        <f t="shared" si="3"/>
        <v>4</v>
      </c>
      <c r="AQ5">
        <f t="shared" si="4"/>
        <v>2009</v>
      </c>
    </row>
    <row r="6" spans="1:43" x14ac:dyDescent="0.35">
      <c r="A6">
        <v>1807</v>
      </c>
      <c r="B6">
        <v>34</v>
      </c>
      <c r="C6" t="s">
        <v>144</v>
      </c>
      <c r="D6" t="s">
        <v>151</v>
      </c>
      <c r="E6" t="s">
        <v>4</v>
      </c>
      <c r="F6" t="s">
        <v>37</v>
      </c>
      <c r="G6" t="s">
        <v>44</v>
      </c>
      <c r="H6" t="s">
        <v>82</v>
      </c>
      <c r="I6" t="s">
        <v>43</v>
      </c>
      <c r="J6" t="s">
        <v>155</v>
      </c>
      <c r="K6" t="s">
        <v>41</v>
      </c>
      <c r="L6" t="s">
        <v>41</v>
      </c>
      <c r="M6" t="s">
        <v>48</v>
      </c>
      <c r="N6" t="s">
        <v>160</v>
      </c>
      <c r="O6" t="s">
        <v>41</v>
      </c>
      <c r="P6" t="s">
        <v>148</v>
      </c>
      <c r="Q6">
        <v>17</v>
      </c>
      <c r="R6">
        <v>4</v>
      </c>
      <c r="S6">
        <v>11</v>
      </c>
      <c r="T6">
        <v>0</v>
      </c>
      <c r="U6">
        <v>6</v>
      </c>
      <c r="V6">
        <v>9</v>
      </c>
      <c r="W6">
        <v>93</v>
      </c>
      <c r="X6">
        <v>234</v>
      </c>
      <c r="Y6">
        <v>6208</v>
      </c>
      <c r="Z6">
        <v>5346</v>
      </c>
      <c r="AA6">
        <v>3</v>
      </c>
      <c r="AB6" s="29">
        <v>44773</v>
      </c>
      <c r="AC6" s="29">
        <v>32374</v>
      </c>
      <c r="AD6" s="29">
        <v>40283</v>
      </c>
      <c r="AE6" s="29">
        <v>42505</v>
      </c>
      <c r="AF6">
        <v>6</v>
      </c>
      <c r="AG6" t="s">
        <v>149</v>
      </c>
      <c r="AH6">
        <v>2</v>
      </c>
      <c r="AI6">
        <v>28</v>
      </c>
      <c r="AJ6">
        <v>1</v>
      </c>
      <c r="AK6" t="s">
        <v>150</v>
      </c>
      <c r="AL6" t="s">
        <v>77</v>
      </c>
      <c r="AM6">
        <f t="shared" si="0"/>
        <v>2</v>
      </c>
      <c r="AN6">
        <f t="shared" si="1"/>
        <v>4</v>
      </c>
      <c r="AO6">
        <f t="shared" si="2"/>
        <v>2</v>
      </c>
      <c r="AP6">
        <f t="shared" si="3"/>
        <v>5</v>
      </c>
      <c r="AQ6">
        <f t="shared" si="4"/>
        <v>2010</v>
      </c>
    </row>
    <row r="7" spans="1:43" x14ac:dyDescent="0.35">
      <c r="A7">
        <v>299</v>
      </c>
      <c r="B7">
        <v>30</v>
      </c>
      <c r="C7" t="s">
        <v>144</v>
      </c>
      <c r="D7" t="s">
        <v>151</v>
      </c>
      <c r="E7" t="s">
        <v>158</v>
      </c>
      <c r="F7" t="s">
        <v>37</v>
      </c>
      <c r="G7" t="s">
        <v>43</v>
      </c>
      <c r="H7" t="s">
        <v>81</v>
      </c>
      <c r="I7" t="s">
        <v>42</v>
      </c>
      <c r="J7" t="s">
        <v>159</v>
      </c>
      <c r="K7" t="s">
        <v>41</v>
      </c>
      <c r="L7" t="s">
        <v>147</v>
      </c>
      <c r="M7" t="s">
        <v>48</v>
      </c>
      <c r="N7" t="s">
        <v>95</v>
      </c>
      <c r="P7" t="s">
        <v>148</v>
      </c>
      <c r="Q7">
        <v>15</v>
      </c>
      <c r="R7">
        <v>5</v>
      </c>
      <c r="S7">
        <v>9</v>
      </c>
      <c r="T7">
        <v>0</v>
      </c>
      <c r="U7">
        <v>1</v>
      </c>
      <c r="V7">
        <v>26</v>
      </c>
      <c r="W7">
        <v>52</v>
      </c>
      <c r="X7">
        <v>334</v>
      </c>
      <c r="Y7">
        <v>22967</v>
      </c>
      <c r="Z7">
        <v>6696</v>
      </c>
      <c r="AA7">
        <v>5</v>
      </c>
      <c r="AB7" s="29">
        <v>44773</v>
      </c>
      <c r="AC7" s="29">
        <v>33857</v>
      </c>
      <c r="AD7" s="29">
        <v>40598</v>
      </c>
      <c r="AE7" s="29">
        <v>42698</v>
      </c>
      <c r="AF7">
        <v>6</v>
      </c>
      <c r="AG7" t="s">
        <v>149</v>
      </c>
      <c r="AH7">
        <v>2</v>
      </c>
      <c r="AI7">
        <v>24</v>
      </c>
      <c r="AJ7">
        <v>1</v>
      </c>
      <c r="AK7" t="s">
        <v>150</v>
      </c>
      <c r="AL7" t="s">
        <v>77</v>
      </c>
      <c r="AM7">
        <f t="shared" si="0"/>
        <v>1</v>
      </c>
      <c r="AN7">
        <f t="shared" si="1"/>
        <v>2</v>
      </c>
      <c r="AO7">
        <f t="shared" si="2"/>
        <v>4</v>
      </c>
      <c r="AP7">
        <f t="shared" si="3"/>
        <v>11</v>
      </c>
      <c r="AQ7">
        <f t="shared" si="4"/>
        <v>2011</v>
      </c>
    </row>
    <row r="8" spans="1:43" x14ac:dyDescent="0.35">
      <c r="A8">
        <v>300</v>
      </c>
      <c r="B8">
        <v>29</v>
      </c>
      <c r="C8" t="s">
        <v>144</v>
      </c>
      <c r="D8" t="s">
        <v>145</v>
      </c>
      <c r="E8" t="s">
        <v>4</v>
      </c>
      <c r="F8" t="s">
        <v>38</v>
      </c>
      <c r="G8" t="s">
        <v>43</v>
      </c>
      <c r="H8" t="s">
        <v>82</v>
      </c>
      <c r="I8" t="s">
        <v>43</v>
      </c>
      <c r="J8" t="s">
        <v>146</v>
      </c>
      <c r="K8" t="s">
        <v>43</v>
      </c>
      <c r="L8" t="s">
        <v>147</v>
      </c>
      <c r="M8" t="s">
        <v>48</v>
      </c>
      <c r="N8" t="s">
        <v>95</v>
      </c>
      <c r="P8" t="s">
        <v>148</v>
      </c>
      <c r="Q8">
        <v>14</v>
      </c>
      <c r="R8">
        <v>0</v>
      </c>
      <c r="S8">
        <v>7</v>
      </c>
      <c r="T8">
        <v>1</v>
      </c>
      <c r="U8">
        <v>5</v>
      </c>
      <c r="V8">
        <v>1</v>
      </c>
      <c r="W8">
        <v>85</v>
      </c>
      <c r="X8">
        <v>992</v>
      </c>
      <c r="Y8">
        <v>19757</v>
      </c>
      <c r="Z8">
        <v>2058</v>
      </c>
      <c r="AA8">
        <v>1</v>
      </c>
      <c r="AB8" s="29">
        <v>44773</v>
      </c>
      <c r="AC8" s="29">
        <v>34527</v>
      </c>
      <c r="AD8" s="29">
        <v>40588</v>
      </c>
      <c r="AE8" s="29">
        <v>42712</v>
      </c>
      <c r="AF8">
        <v>6</v>
      </c>
      <c r="AG8" t="s">
        <v>157</v>
      </c>
      <c r="AH8">
        <v>1</v>
      </c>
      <c r="AI8">
        <v>23</v>
      </c>
      <c r="AJ8">
        <v>1</v>
      </c>
      <c r="AK8" t="s">
        <v>150</v>
      </c>
      <c r="AL8" t="s">
        <v>77</v>
      </c>
      <c r="AM8">
        <f t="shared" si="0"/>
        <v>1</v>
      </c>
      <c r="AN8">
        <f t="shared" si="1"/>
        <v>2</v>
      </c>
      <c r="AO8">
        <f t="shared" si="2"/>
        <v>4</v>
      </c>
      <c r="AP8">
        <f t="shared" si="3"/>
        <v>12</v>
      </c>
      <c r="AQ8">
        <f t="shared" si="4"/>
        <v>2011</v>
      </c>
    </row>
    <row r="9" spans="1:43" x14ac:dyDescent="0.35">
      <c r="A9">
        <v>1200</v>
      </c>
      <c r="B9">
        <v>44</v>
      </c>
      <c r="C9" t="s">
        <v>144</v>
      </c>
      <c r="D9" t="s">
        <v>145</v>
      </c>
      <c r="E9" t="s">
        <v>4</v>
      </c>
      <c r="F9" t="s">
        <v>37</v>
      </c>
      <c r="G9" t="s">
        <v>43</v>
      </c>
      <c r="H9" t="s">
        <v>82</v>
      </c>
      <c r="I9" t="s">
        <v>43</v>
      </c>
      <c r="J9" t="s">
        <v>146</v>
      </c>
      <c r="K9" t="s">
        <v>43</v>
      </c>
      <c r="L9" t="s">
        <v>41</v>
      </c>
      <c r="M9" t="s">
        <v>49</v>
      </c>
      <c r="N9" t="s">
        <v>95</v>
      </c>
      <c r="P9" t="s">
        <v>144</v>
      </c>
      <c r="Q9">
        <v>11</v>
      </c>
      <c r="R9">
        <v>1</v>
      </c>
      <c r="S9">
        <v>6</v>
      </c>
      <c r="T9">
        <v>0</v>
      </c>
      <c r="U9">
        <v>2</v>
      </c>
      <c r="V9">
        <v>10</v>
      </c>
      <c r="W9">
        <v>96</v>
      </c>
      <c r="X9">
        <v>1097</v>
      </c>
      <c r="Y9">
        <v>10826</v>
      </c>
      <c r="Z9">
        <v>2936</v>
      </c>
      <c r="AA9">
        <v>4</v>
      </c>
      <c r="AB9" s="29">
        <v>44773</v>
      </c>
      <c r="AC9" s="29">
        <v>28761</v>
      </c>
      <c r="AD9" s="29">
        <v>40710</v>
      </c>
      <c r="AE9" s="29">
        <v>42730</v>
      </c>
      <c r="AF9">
        <v>6</v>
      </c>
      <c r="AG9" t="s">
        <v>153</v>
      </c>
      <c r="AH9">
        <v>1</v>
      </c>
      <c r="AI9">
        <v>38</v>
      </c>
      <c r="AJ9">
        <v>1</v>
      </c>
      <c r="AK9" t="s">
        <v>150</v>
      </c>
      <c r="AL9" t="s">
        <v>77</v>
      </c>
      <c r="AM9">
        <f t="shared" si="0"/>
        <v>2</v>
      </c>
      <c r="AN9">
        <f t="shared" si="1"/>
        <v>6</v>
      </c>
      <c r="AO9">
        <f t="shared" si="2"/>
        <v>4</v>
      </c>
      <c r="AP9">
        <f t="shared" si="3"/>
        <v>12</v>
      </c>
      <c r="AQ9">
        <f t="shared" si="4"/>
        <v>2011</v>
      </c>
    </row>
    <row r="10" spans="1:43" x14ac:dyDescent="0.35">
      <c r="A10">
        <v>1295</v>
      </c>
      <c r="B10">
        <v>44</v>
      </c>
      <c r="C10" t="s">
        <v>144</v>
      </c>
      <c r="D10" t="s">
        <v>145</v>
      </c>
      <c r="E10" t="s">
        <v>4</v>
      </c>
      <c r="F10" t="s">
        <v>38</v>
      </c>
      <c r="G10" t="s">
        <v>41</v>
      </c>
      <c r="H10" t="s">
        <v>81</v>
      </c>
      <c r="I10" t="s">
        <v>43</v>
      </c>
      <c r="J10" t="s">
        <v>161</v>
      </c>
      <c r="K10" t="s">
        <v>44</v>
      </c>
      <c r="L10" t="s">
        <v>48</v>
      </c>
      <c r="M10" t="s">
        <v>49</v>
      </c>
      <c r="N10" t="s">
        <v>160</v>
      </c>
      <c r="O10" t="s">
        <v>41</v>
      </c>
      <c r="P10" t="s">
        <v>148</v>
      </c>
      <c r="Q10">
        <v>11</v>
      </c>
      <c r="R10">
        <v>1</v>
      </c>
      <c r="S10">
        <v>10</v>
      </c>
      <c r="T10">
        <v>0</v>
      </c>
      <c r="U10">
        <v>5</v>
      </c>
      <c r="V10">
        <v>15</v>
      </c>
      <c r="W10">
        <v>73</v>
      </c>
      <c r="X10">
        <v>621</v>
      </c>
      <c r="Y10">
        <v>14075</v>
      </c>
      <c r="Z10">
        <v>7978</v>
      </c>
      <c r="AA10">
        <v>2</v>
      </c>
      <c r="AB10" s="29">
        <v>44773</v>
      </c>
      <c r="AC10" s="29">
        <v>28757</v>
      </c>
      <c r="AD10" s="29">
        <v>39422</v>
      </c>
      <c r="AE10" s="29">
        <v>42737</v>
      </c>
      <c r="AF10">
        <v>9</v>
      </c>
      <c r="AG10" t="s">
        <v>153</v>
      </c>
      <c r="AH10">
        <v>1</v>
      </c>
      <c r="AI10">
        <v>35</v>
      </c>
      <c r="AJ10">
        <v>1</v>
      </c>
      <c r="AK10" t="s">
        <v>150</v>
      </c>
      <c r="AL10" t="s">
        <v>77</v>
      </c>
      <c r="AM10">
        <f t="shared" si="0"/>
        <v>4</v>
      </c>
      <c r="AN10">
        <f t="shared" si="1"/>
        <v>12</v>
      </c>
      <c r="AO10">
        <f t="shared" si="2"/>
        <v>1</v>
      </c>
      <c r="AP10">
        <f t="shared" si="3"/>
        <v>1</v>
      </c>
      <c r="AQ10">
        <f t="shared" si="4"/>
        <v>2007</v>
      </c>
    </row>
    <row r="11" spans="1:43" x14ac:dyDescent="0.35">
      <c r="A11">
        <v>647</v>
      </c>
      <c r="B11">
        <v>33</v>
      </c>
      <c r="C11" t="s">
        <v>144</v>
      </c>
      <c r="D11" t="s">
        <v>151</v>
      </c>
      <c r="E11" t="s">
        <v>4</v>
      </c>
      <c r="F11" t="s">
        <v>38</v>
      </c>
      <c r="G11" t="s">
        <v>41</v>
      </c>
      <c r="H11" t="s">
        <v>81</v>
      </c>
      <c r="I11" t="s">
        <v>43</v>
      </c>
      <c r="J11" t="s">
        <v>155</v>
      </c>
      <c r="K11" t="s">
        <v>43</v>
      </c>
      <c r="L11" t="s">
        <v>147</v>
      </c>
      <c r="M11" t="s">
        <v>49</v>
      </c>
      <c r="N11" t="s">
        <v>160</v>
      </c>
      <c r="O11" t="s">
        <v>41</v>
      </c>
      <c r="P11" t="s">
        <v>144</v>
      </c>
      <c r="Q11">
        <v>16</v>
      </c>
      <c r="R11">
        <v>1</v>
      </c>
      <c r="S11">
        <v>6</v>
      </c>
      <c r="T11">
        <v>1</v>
      </c>
      <c r="U11">
        <v>2</v>
      </c>
      <c r="V11">
        <v>7</v>
      </c>
      <c r="W11">
        <v>55</v>
      </c>
      <c r="X11">
        <v>1287</v>
      </c>
      <c r="Y11">
        <v>14168</v>
      </c>
      <c r="Z11">
        <v>2886</v>
      </c>
      <c r="AA11">
        <v>4</v>
      </c>
      <c r="AB11" s="29">
        <v>44773</v>
      </c>
      <c r="AC11" s="29">
        <v>32424</v>
      </c>
      <c r="AD11" s="29">
        <v>40872</v>
      </c>
      <c r="AE11" s="29">
        <v>42760</v>
      </c>
      <c r="AF11">
        <v>5</v>
      </c>
      <c r="AG11" t="s">
        <v>149</v>
      </c>
      <c r="AH11">
        <v>1</v>
      </c>
      <c r="AI11">
        <v>28</v>
      </c>
      <c r="AJ11">
        <v>1</v>
      </c>
      <c r="AK11" t="s">
        <v>162</v>
      </c>
      <c r="AL11" t="s">
        <v>77</v>
      </c>
      <c r="AM11">
        <f t="shared" si="0"/>
        <v>4</v>
      </c>
      <c r="AN11">
        <f t="shared" si="1"/>
        <v>11</v>
      </c>
      <c r="AO11">
        <f t="shared" si="2"/>
        <v>1</v>
      </c>
      <c r="AP11">
        <f t="shared" si="3"/>
        <v>1</v>
      </c>
      <c r="AQ11">
        <f t="shared" si="4"/>
        <v>2011</v>
      </c>
    </row>
    <row r="12" spans="1:43" x14ac:dyDescent="0.35">
      <c r="A12">
        <v>401</v>
      </c>
      <c r="B12">
        <v>35</v>
      </c>
      <c r="C12" t="s">
        <v>144</v>
      </c>
      <c r="D12" t="s">
        <v>145</v>
      </c>
      <c r="E12" t="s">
        <v>158</v>
      </c>
      <c r="F12" t="s">
        <v>37</v>
      </c>
      <c r="G12" t="s">
        <v>44</v>
      </c>
      <c r="H12" t="s">
        <v>82</v>
      </c>
      <c r="I12" t="s">
        <v>42</v>
      </c>
      <c r="J12" t="s">
        <v>159</v>
      </c>
      <c r="K12" t="s">
        <v>44</v>
      </c>
      <c r="L12" t="s">
        <v>147</v>
      </c>
      <c r="M12" t="s">
        <v>49</v>
      </c>
      <c r="N12" t="s">
        <v>95</v>
      </c>
      <c r="P12" t="s">
        <v>144</v>
      </c>
      <c r="Q12">
        <v>12</v>
      </c>
      <c r="R12">
        <v>1</v>
      </c>
      <c r="S12">
        <v>8</v>
      </c>
      <c r="T12">
        <v>7</v>
      </c>
      <c r="U12">
        <v>4</v>
      </c>
      <c r="V12">
        <v>4</v>
      </c>
      <c r="W12">
        <v>48</v>
      </c>
      <c r="X12">
        <v>950</v>
      </c>
      <c r="Y12">
        <v>8450</v>
      </c>
      <c r="Z12">
        <v>5828</v>
      </c>
      <c r="AA12">
        <v>0</v>
      </c>
      <c r="AB12" s="29">
        <v>44773</v>
      </c>
      <c r="AC12" s="29">
        <v>31859</v>
      </c>
      <c r="AD12" s="29">
        <v>40219</v>
      </c>
      <c r="AE12" s="29">
        <v>42787</v>
      </c>
      <c r="AF12">
        <v>7</v>
      </c>
      <c r="AG12" t="s">
        <v>149</v>
      </c>
      <c r="AH12">
        <v>1</v>
      </c>
      <c r="AI12">
        <v>28</v>
      </c>
      <c r="AJ12">
        <v>1</v>
      </c>
      <c r="AK12" t="s">
        <v>150</v>
      </c>
      <c r="AL12" t="s">
        <v>77</v>
      </c>
      <c r="AM12">
        <f t="shared" si="0"/>
        <v>1</v>
      </c>
      <c r="AN12">
        <f t="shared" si="1"/>
        <v>2</v>
      </c>
      <c r="AO12">
        <f t="shared" si="2"/>
        <v>1</v>
      </c>
      <c r="AP12">
        <f t="shared" si="3"/>
        <v>2</v>
      </c>
      <c r="AQ12">
        <f t="shared" si="4"/>
        <v>2010</v>
      </c>
    </row>
    <row r="13" spans="1:43" x14ac:dyDescent="0.35">
      <c r="A13">
        <v>190</v>
      </c>
      <c r="B13">
        <v>32</v>
      </c>
      <c r="C13" t="s">
        <v>144</v>
      </c>
      <c r="D13" t="s">
        <v>145</v>
      </c>
      <c r="E13" t="s">
        <v>4</v>
      </c>
      <c r="F13" t="s">
        <v>38</v>
      </c>
      <c r="G13" t="s">
        <v>41</v>
      </c>
      <c r="H13" t="s">
        <v>81</v>
      </c>
      <c r="I13" t="s">
        <v>43</v>
      </c>
      <c r="J13" t="s">
        <v>155</v>
      </c>
      <c r="K13" t="s">
        <v>41</v>
      </c>
      <c r="L13" t="s">
        <v>48</v>
      </c>
      <c r="M13" t="s">
        <v>50</v>
      </c>
      <c r="N13" t="s">
        <v>95</v>
      </c>
      <c r="P13" t="s">
        <v>148</v>
      </c>
      <c r="Q13">
        <v>22</v>
      </c>
      <c r="R13">
        <v>7</v>
      </c>
      <c r="S13">
        <v>10</v>
      </c>
      <c r="T13">
        <v>0</v>
      </c>
      <c r="U13">
        <v>4</v>
      </c>
      <c r="V13">
        <v>9</v>
      </c>
      <c r="W13">
        <v>41</v>
      </c>
      <c r="X13">
        <v>1033</v>
      </c>
      <c r="Y13">
        <v>10224</v>
      </c>
      <c r="Z13">
        <v>4200</v>
      </c>
      <c r="AA13">
        <v>2</v>
      </c>
      <c r="AB13" s="29">
        <v>44773</v>
      </c>
      <c r="AC13" s="29">
        <v>33133</v>
      </c>
      <c r="AD13" s="29">
        <v>41302</v>
      </c>
      <c r="AE13" s="29">
        <v>42944</v>
      </c>
      <c r="AF13">
        <v>4</v>
      </c>
      <c r="AG13" t="s">
        <v>149</v>
      </c>
      <c r="AH13">
        <v>2</v>
      </c>
      <c r="AI13">
        <v>28</v>
      </c>
      <c r="AJ13">
        <v>1</v>
      </c>
      <c r="AK13" t="s">
        <v>162</v>
      </c>
      <c r="AL13" t="s">
        <v>77</v>
      </c>
      <c r="AM13">
        <f t="shared" si="0"/>
        <v>1</v>
      </c>
      <c r="AN13">
        <f t="shared" si="1"/>
        <v>1</v>
      </c>
      <c r="AO13">
        <f t="shared" si="2"/>
        <v>3</v>
      </c>
      <c r="AP13">
        <f t="shared" si="3"/>
        <v>7</v>
      </c>
      <c r="AQ13">
        <f t="shared" si="4"/>
        <v>2013</v>
      </c>
    </row>
    <row r="14" spans="1:43" x14ac:dyDescent="0.35">
      <c r="A14">
        <v>325</v>
      </c>
      <c r="B14">
        <v>33</v>
      </c>
      <c r="C14" t="s">
        <v>144</v>
      </c>
      <c r="D14" t="s">
        <v>145</v>
      </c>
      <c r="E14" t="s">
        <v>4</v>
      </c>
      <c r="F14" t="s">
        <v>38</v>
      </c>
      <c r="G14" t="s">
        <v>43</v>
      </c>
      <c r="H14" t="s">
        <v>82</v>
      </c>
      <c r="I14" t="s">
        <v>43</v>
      </c>
      <c r="J14" t="s">
        <v>155</v>
      </c>
      <c r="K14" t="s">
        <v>44</v>
      </c>
      <c r="L14" t="s">
        <v>147</v>
      </c>
      <c r="M14" t="s">
        <v>47</v>
      </c>
      <c r="N14" t="s">
        <v>160</v>
      </c>
      <c r="O14" t="s">
        <v>41</v>
      </c>
      <c r="P14" t="s">
        <v>144</v>
      </c>
      <c r="Q14">
        <v>13</v>
      </c>
      <c r="R14">
        <v>5</v>
      </c>
      <c r="S14">
        <v>8</v>
      </c>
      <c r="T14">
        <v>0</v>
      </c>
      <c r="U14">
        <v>4</v>
      </c>
      <c r="V14">
        <v>14</v>
      </c>
      <c r="W14">
        <v>58</v>
      </c>
      <c r="X14">
        <v>813</v>
      </c>
      <c r="Y14">
        <v>22149</v>
      </c>
      <c r="Z14">
        <v>2436</v>
      </c>
      <c r="AA14">
        <v>2</v>
      </c>
      <c r="AB14" s="29">
        <v>44773</v>
      </c>
      <c r="AC14" s="29">
        <v>32876</v>
      </c>
      <c r="AD14" s="29">
        <v>41472</v>
      </c>
      <c r="AE14" s="29">
        <v>42958</v>
      </c>
      <c r="AF14">
        <v>4</v>
      </c>
      <c r="AG14" t="s">
        <v>149</v>
      </c>
      <c r="AH14">
        <v>1</v>
      </c>
      <c r="AI14">
        <v>29</v>
      </c>
      <c r="AJ14">
        <v>1</v>
      </c>
      <c r="AK14" t="s">
        <v>162</v>
      </c>
      <c r="AL14" t="s">
        <v>78</v>
      </c>
      <c r="AM14">
        <f t="shared" si="0"/>
        <v>3</v>
      </c>
      <c r="AN14">
        <f t="shared" si="1"/>
        <v>7</v>
      </c>
      <c r="AO14">
        <f t="shared" si="2"/>
        <v>3</v>
      </c>
      <c r="AP14">
        <f t="shared" si="3"/>
        <v>8</v>
      </c>
      <c r="AQ14">
        <f t="shared" si="4"/>
        <v>2013</v>
      </c>
    </row>
    <row r="15" spans="1:43" x14ac:dyDescent="0.35">
      <c r="A15">
        <v>1310</v>
      </c>
      <c r="B15">
        <v>39</v>
      </c>
      <c r="C15" t="s">
        <v>144</v>
      </c>
      <c r="D15" t="s">
        <v>145</v>
      </c>
      <c r="E15" t="s">
        <v>4</v>
      </c>
      <c r="F15" t="s">
        <v>38</v>
      </c>
      <c r="G15" t="s">
        <v>43</v>
      </c>
      <c r="H15" t="s">
        <v>82</v>
      </c>
      <c r="I15" t="s">
        <v>43</v>
      </c>
      <c r="J15" t="s">
        <v>146</v>
      </c>
      <c r="K15" t="s">
        <v>41</v>
      </c>
      <c r="L15" t="s">
        <v>147</v>
      </c>
      <c r="M15" t="s">
        <v>49</v>
      </c>
      <c r="N15" t="s">
        <v>95</v>
      </c>
      <c r="P15" t="s">
        <v>148</v>
      </c>
      <c r="Q15">
        <v>13</v>
      </c>
      <c r="R15">
        <v>0</v>
      </c>
      <c r="S15">
        <v>6</v>
      </c>
      <c r="T15">
        <v>0</v>
      </c>
      <c r="U15">
        <v>3</v>
      </c>
      <c r="V15">
        <v>23</v>
      </c>
      <c r="W15">
        <v>93</v>
      </c>
      <c r="X15">
        <v>360</v>
      </c>
      <c r="Y15">
        <v>22154</v>
      </c>
      <c r="Z15">
        <v>3904</v>
      </c>
      <c r="AA15">
        <v>2</v>
      </c>
      <c r="AB15" s="29">
        <v>44773</v>
      </c>
      <c r="AC15" s="29">
        <v>30731</v>
      </c>
      <c r="AD15" s="29">
        <v>41393</v>
      </c>
      <c r="AE15" s="29">
        <v>42962</v>
      </c>
      <c r="AF15">
        <v>4</v>
      </c>
      <c r="AG15" t="s">
        <v>149</v>
      </c>
      <c r="AH15">
        <v>1</v>
      </c>
      <c r="AI15">
        <v>35</v>
      </c>
      <c r="AJ15">
        <v>1</v>
      </c>
      <c r="AK15" t="s">
        <v>162</v>
      </c>
      <c r="AL15" t="s">
        <v>77</v>
      </c>
      <c r="AM15">
        <f t="shared" si="0"/>
        <v>2</v>
      </c>
      <c r="AN15">
        <f t="shared" si="1"/>
        <v>4</v>
      </c>
      <c r="AO15">
        <f t="shared" si="2"/>
        <v>3</v>
      </c>
      <c r="AP15">
        <f t="shared" si="3"/>
        <v>8</v>
      </c>
      <c r="AQ15">
        <f t="shared" si="4"/>
        <v>2013</v>
      </c>
    </row>
    <row r="16" spans="1:43" x14ac:dyDescent="0.35">
      <c r="A16">
        <v>1004</v>
      </c>
      <c r="B16">
        <v>30</v>
      </c>
      <c r="C16" t="s">
        <v>144</v>
      </c>
      <c r="D16" t="s">
        <v>145</v>
      </c>
      <c r="E16" t="s">
        <v>4</v>
      </c>
      <c r="F16" t="s">
        <v>38</v>
      </c>
      <c r="G16" t="s">
        <v>41</v>
      </c>
      <c r="H16" t="s">
        <v>81</v>
      </c>
      <c r="I16" t="s">
        <v>43</v>
      </c>
      <c r="J16" t="s">
        <v>146</v>
      </c>
      <c r="K16" t="s">
        <v>43</v>
      </c>
      <c r="L16" t="s">
        <v>147</v>
      </c>
      <c r="M16" t="s">
        <v>49</v>
      </c>
      <c r="N16" t="s">
        <v>160</v>
      </c>
      <c r="P16" t="s">
        <v>144</v>
      </c>
      <c r="Q16">
        <v>11</v>
      </c>
      <c r="R16">
        <v>4</v>
      </c>
      <c r="S16">
        <v>7</v>
      </c>
      <c r="T16">
        <v>0</v>
      </c>
      <c r="U16">
        <v>1</v>
      </c>
      <c r="V16">
        <v>22</v>
      </c>
      <c r="W16">
        <v>48</v>
      </c>
      <c r="X16">
        <v>138</v>
      </c>
      <c r="Y16">
        <v>11539</v>
      </c>
      <c r="Z16">
        <v>2132</v>
      </c>
      <c r="AA16">
        <v>2</v>
      </c>
      <c r="AB16" s="29">
        <v>44773</v>
      </c>
      <c r="AC16" s="29">
        <v>34168</v>
      </c>
      <c r="AD16" s="29">
        <v>41367</v>
      </c>
      <c r="AE16" s="29">
        <v>42967</v>
      </c>
      <c r="AF16">
        <v>4</v>
      </c>
      <c r="AG16" t="s">
        <v>149</v>
      </c>
      <c r="AH16">
        <v>1</v>
      </c>
      <c r="AI16">
        <v>26</v>
      </c>
      <c r="AJ16">
        <v>1</v>
      </c>
      <c r="AK16" t="s">
        <v>162</v>
      </c>
      <c r="AL16" t="s">
        <v>77</v>
      </c>
      <c r="AM16">
        <f t="shared" si="0"/>
        <v>2</v>
      </c>
      <c r="AN16">
        <f t="shared" si="1"/>
        <v>4</v>
      </c>
      <c r="AO16">
        <f t="shared" si="2"/>
        <v>3</v>
      </c>
      <c r="AP16">
        <f t="shared" si="3"/>
        <v>8</v>
      </c>
      <c r="AQ16">
        <f t="shared" si="4"/>
        <v>2013</v>
      </c>
    </row>
    <row r="17" spans="1:43" x14ac:dyDescent="0.35">
      <c r="A17">
        <v>147</v>
      </c>
      <c r="B17">
        <v>34</v>
      </c>
      <c r="C17" t="s">
        <v>144</v>
      </c>
      <c r="D17" t="s">
        <v>151</v>
      </c>
      <c r="E17" t="s">
        <v>4</v>
      </c>
      <c r="F17" t="s">
        <v>38</v>
      </c>
      <c r="G17" t="s">
        <v>41</v>
      </c>
      <c r="H17" t="s">
        <v>82</v>
      </c>
      <c r="I17" t="s">
        <v>41</v>
      </c>
      <c r="J17" t="s">
        <v>155</v>
      </c>
      <c r="K17" t="s">
        <v>43</v>
      </c>
      <c r="L17" t="s">
        <v>152</v>
      </c>
      <c r="M17" t="s">
        <v>49</v>
      </c>
      <c r="N17" t="s">
        <v>95</v>
      </c>
      <c r="P17" t="s">
        <v>144</v>
      </c>
      <c r="Q17">
        <v>24</v>
      </c>
      <c r="R17">
        <v>1</v>
      </c>
      <c r="S17">
        <v>9</v>
      </c>
      <c r="T17">
        <v>0</v>
      </c>
      <c r="U17">
        <v>6</v>
      </c>
      <c r="V17">
        <v>7</v>
      </c>
      <c r="W17">
        <v>66</v>
      </c>
      <c r="X17">
        <v>658</v>
      </c>
      <c r="Y17">
        <v>22887</v>
      </c>
      <c r="Z17">
        <v>6074</v>
      </c>
      <c r="AA17">
        <v>3</v>
      </c>
      <c r="AB17" s="29">
        <v>44773</v>
      </c>
      <c r="AC17" s="29">
        <v>32474</v>
      </c>
      <c r="AD17" s="29">
        <v>40033</v>
      </c>
      <c r="AE17" s="29">
        <v>42968</v>
      </c>
      <c r="AF17">
        <v>8</v>
      </c>
      <c r="AG17" t="s">
        <v>149</v>
      </c>
      <c r="AH17">
        <v>2</v>
      </c>
      <c r="AI17">
        <v>26</v>
      </c>
      <c r="AJ17">
        <v>1</v>
      </c>
      <c r="AK17" t="s">
        <v>150</v>
      </c>
      <c r="AL17" t="s">
        <v>77</v>
      </c>
      <c r="AM17">
        <f t="shared" si="0"/>
        <v>3</v>
      </c>
      <c r="AN17">
        <f t="shared" si="1"/>
        <v>8</v>
      </c>
      <c r="AO17">
        <f t="shared" si="2"/>
        <v>3</v>
      </c>
      <c r="AP17">
        <f t="shared" si="3"/>
        <v>8</v>
      </c>
      <c r="AQ17">
        <f t="shared" si="4"/>
        <v>2009</v>
      </c>
    </row>
    <row r="18" spans="1:43" x14ac:dyDescent="0.35">
      <c r="A18">
        <v>1042</v>
      </c>
      <c r="B18">
        <v>36</v>
      </c>
      <c r="C18" t="s">
        <v>144</v>
      </c>
      <c r="D18" t="s">
        <v>145</v>
      </c>
      <c r="E18" t="s">
        <v>4</v>
      </c>
      <c r="F18" t="s">
        <v>37</v>
      </c>
      <c r="G18" t="s">
        <v>43</v>
      </c>
      <c r="H18" t="s">
        <v>81</v>
      </c>
      <c r="I18" t="s">
        <v>44</v>
      </c>
      <c r="J18" t="s">
        <v>155</v>
      </c>
      <c r="K18" t="s">
        <v>41</v>
      </c>
      <c r="L18" t="s">
        <v>147</v>
      </c>
      <c r="M18" t="s">
        <v>49</v>
      </c>
      <c r="N18" t="s">
        <v>95</v>
      </c>
      <c r="P18" t="s">
        <v>148</v>
      </c>
      <c r="Q18">
        <v>16</v>
      </c>
      <c r="R18">
        <v>1</v>
      </c>
      <c r="S18">
        <v>18</v>
      </c>
      <c r="T18">
        <v>15</v>
      </c>
      <c r="U18">
        <v>14</v>
      </c>
      <c r="V18">
        <v>16</v>
      </c>
      <c r="W18">
        <v>43</v>
      </c>
      <c r="X18">
        <v>885</v>
      </c>
      <c r="Y18">
        <v>8269</v>
      </c>
      <c r="Z18">
        <v>2743</v>
      </c>
      <c r="AA18">
        <v>1</v>
      </c>
      <c r="AB18" s="29">
        <v>44773</v>
      </c>
      <c r="AC18" s="29">
        <v>31893</v>
      </c>
      <c r="AD18" s="29">
        <v>36863</v>
      </c>
      <c r="AE18" s="29">
        <v>42987</v>
      </c>
      <c r="AF18">
        <v>17</v>
      </c>
      <c r="AG18" t="s">
        <v>149</v>
      </c>
      <c r="AH18">
        <v>1</v>
      </c>
      <c r="AI18">
        <v>19</v>
      </c>
      <c r="AJ18">
        <v>1</v>
      </c>
      <c r="AK18" t="s">
        <v>163</v>
      </c>
      <c r="AL18" t="s">
        <v>77</v>
      </c>
      <c r="AM18">
        <f t="shared" si="0"/>
        <v>4</v>
      </c>
      <c r="AN18">
        <f t="shared" si="1"/>
        <v>12</v>
      </c>
      <c r="AO18">
        <f t="shared" si="2"/>
        <v>3</v>
      </c>
      <c r="AP18">
        <f t="shared" si="3"/>
        <v>9</v>
      </c>
      <c r="AQ18">
        <f t="shared" si="4"/>
        <v>2000</v>
      </c>
    </row>
    <row r="19" spans="1:43" x14ac:dyDescent="0.35">
      <c r="A19">
        <v>502</v>
      </c>
      <c r="B19">
        <v>34</v>
      </c>
      <c r="C19" t="s">
        <v>144</v>
      </c>
      <c r="D19" t="s">
        <v>164</v>
      </c>
      <c r="E19" t="s">
        <v>158</v>
      </c>
      <c r="F19" t="s">
        <v>38</v>
      </c>
      <c r="G19" t="s">
        <v>41</v>
      </c>
      <c r="H19" t="s">
        <v>82</v>
      </c>
      <c r="I19" t="s">
        <v>44</v>
      </c>
      <c r="J19" t="s">
        <v>159</v>
      </c>
      <c r="K19" t="s">
        <v>44</v>
      </c>
      <c r="L19" t="s">
        <v>147</v>
      </c>
      <c r="M19" t="s">
        <v>48</v>
      </c>
      <c r="N19" t="s">
        <v>95</v>
      </c>
      <c r="P19" t="s">
        <v>144</v>
      </c>
      <c r="Q19">
        <v>13</v>
      </c>
      <c r="R19">
        <v>8</v>
      </c>
      <c r="S19">
        <v>9</v>
      </c>
      <c r="T19">
        <v>0</v>
      </c>
      <c r="U19">
        <v>4</v>
      </c>
      <c r="V19">
        <v>19</v>
      </c>
      <c r="W19">
        <v>67</v>
      </c>
      <c r="X19">
        <v>1362</v>
      </c>
      <c r="Y19">
        <v>4652</v>
      </c>
      <c r="Z19">
        <v>5304</v>
      </c>
      <c r="AA19">
        <v>3</v>
      </c>
      <c r="AB19" s="29">
        <v>44773</v>
      </c>
      <c r="AC19" s="29">
        <v>32391</v>
      </c>
      <c r="AD19" s="29">
        <v>41437</v>
      </c>
      <c r="AE19" s="29">
        <v>43000</v>
      </c>
      <c r="AF19">
        <v>4</v>
      </c>
      <c r="AG19" t="s">
        <v>149</v>
      </c>
      <c r="AH19">
        <v>1</v>
      </c>
      <c r="AI19">
        <v>30</v>
      </c>
      <c r="AJ19">
        <v>1</v>
      </c>
      <c r="AK19" t="s">
        <v>162</v>
      </c>
      <c r="AL19" t="s">
        <v>77</v>
      </c>
      <c r="AM19">
        <f t="shared" si="0"/>
        <v>2</v>
      </c>
      <c r="AN19">
        <f t="shared" si="1"/>
        <v>6</v>
      </c>
      <c r="AO19">
        <f t="shared" si="2"/>
        <v>3</v>
      </c>
      <c r="AP19">
        <f t="shared" si="3"/>
        <v>9</v>
      </c>
      <c r="AQ19">
        <f t="shared" si="4"/>
        <v>2013</v>
      </c>
    </row>
    <row r="20" spans="1:43" x14ac:dyDescent="0.35">
      <c r="A20">
        <v>967</v>
      </c>
      <c r="B20">
        <v>36</v>
      </c>
      <c r="C20" t="s">
        <v>144</v>
      </c>
      <c r="D20" t="s">
        <v>145</v>
      </c>
      <c r="E20" t="s">
        <v>158</v>
      </c>
      <c r="F20" t="s">
        <v>35</v>
      </c>
      <c r="G20" t="s">
        <v>43</v>
      </c>
      <c r="H20" t="s">
        <v>82</v>
      </c>
      <c r="I20" t="s">
        <v>42</v>
      </c>
      <c r="J20" t="s">
        <v>159</v>
      </c>
      <c r="K20" t="s">
        <v>44</v>
      </c>
      <c r="L20" t="s">
        <v>147</v>
      </c>
      <c r="M20" t="s">
        <v>49</v>
      </c>
      <c r="N20" t="s">
        <v>160</v>
      </c>
      <c r="O20" t="s">
        <v>41</v>
      </c>
      <c r="P20" t="s">
        <v>144</v>
      </c>
      <c r="Q20">
        <v>11</v>
      </c>
      <c r="R20">
        <v>1</v>
      </c>
      <c r="S20">
        <v>16</v>
      </c>
      <c r="T20">
        <v>3</v>
      </c>
      <c r="U20">
        <v>7</v>
      </c>
      <c r="V20">
        <v>3</v>
      </c>
      <c r="W20">
        <v>51</v>
      </c>
      <c r="X20">
        <v>530</v>
      </c>
      <c r="Y20">
        <v>5518</v>
      </c>
      <c r="Z20">
        <v>10325</v>
      </c>
      <c r="AA20">
        <v>6</v>
      </c>
      <c r="AB20" s="29">
        <v>44773</v>
      </c>
      <c r="AC20" s="29">
        <v>31912</v>
      </c>
      <c r="AD20" s="29">
        <v>37376</v>
      </c>
      <c r="AE20" s="29">
        <v>43001</v>
      </c>
      <c r="AF20">
        <v>15</v>
      </c>
      <c r="AG20" t="s">
        <v>149</v>
      </c>
      <c r="AH20">
        <v>1</v>
      </c>
      <c r="AI20">
        <v>21</v>
      </c>
      <c r="AJ20">
        <v>1</v>
      </c>
      <c r="AK20" t="s">
        <v>163</v>
      </c>
      <c r="AL20" t="s">
        <v>78</v>
      </c>
      <c r="AM20">
        <f t="shared" si="0"/>
        <v>2</v>
      </c>
      <c r="AN20">
        <f t="shared" si="1"/>
        <v>4</v>
      </c>
      <c r="AO20">
        <f t="shared" si="2"/>
        <v>3</v>
      </c>
      <c r="AP20">
        <f t="shared" si="3"/>
        <v>9</v>
      </c>
      <c r="AQ20">
        <f t="shared" si="4"/>
        <v>2002</v>
      </c>
    </row>
    <row r="21" spans="1:43" x14ac:dyDescent="0.35">
      <c r="A21">
        <v>1157</v>
      </c>
      <c r="B21">
        <v>33</v>
      </c>
      <c r="C21" t="s">
        <v>144</v>
      </c>
      <c r="D21" t="s">
        <v>145</v>
      </c>
      <c r="E21" t="s">
        <v>158</v>
      </c>
      <c r="F21" t="s">
        <v>37</v>
      </c>
      <c r="G21" t="s">
        <v>41</v>
      </c>
      <c r="H21" t="s">
        <v>81</v>
      </c>
      <c r="I21" t="s">
        <v>43</v>
      </c>
      <c r="J21" t="s">
        <v>159</v>
      </c>
      <c r="K21" t="s">
        <v>41</v>
      </c>
      <c r="L21" t="s">
        <v>48</v>
      </c>
      <c r="M21" t="s">
        <v>49</v>
      </c>
      <c r="N21" t="s">
        <v>95</v>
      </c>
      <c r="P21" t="s">
        <v>144</v>
      </c>
      <c r="Q21">
        <v>17</v>
      </c>
      <c r="R21">
        <v>0</v>
      </c>
      <c r="S21">
        <v>6</v>
      </c>
      <c r="T21">
        <v>0</v>
      </c>
      <c r="U21">
        <v>3</v>
      </c>
      <c r="V21">
        <v>9</v>
      </c>
      <c r="W21">
        <v>77</v>
      </c>
      <c r="X21">
        <v>603</v>
      </c>
      <c r="Y21">
        <v>18385</v>
      </c>
      <c r="Z21">
        <v>8224</v>
      </c>
      <c r="AA21">
        <v>3</v>
      </c>
      <c r="AB21" s="29">
        <v>44773</v>
      </c>
      <c r="AC21" s="29">
        <v>33003</v>
      </c>
      <c r="AD21" s="29">
        <v>41331</v>
      </c>
      <c r="AE21" s="29">
        <v>43019</v>
      </c>
      <c r="AF21">
        <v>5</v>
      </c>
      <c r="AG21" t="s">
        <v>149</v>
      </c>
      <c r="AH21">
        <v>1</v>
      </c>
      <c r="AI21">
        <v>28</v>
      </c>
      <c r="AJ21">
        <v>1</v>
      </c>
      <c r="AK21" t="s">
        <v>162</v>
      </c>
      <c r="AL21" t="s">
        <v>77</v>
      </c>
      <c r="AM21">
        <f t="shared" si="0"/>
        <v>1</v>
      </c>
      <c r="AN21">
        <f t="shared" si="1"/>
        <v>2</v>
      </c>
      <c r="AO21">
        <f t="shared" si="2"/>
        <v>4</v>
      </c>
      <c r="AP21">
        <f t="shared" si="3"/>
        <v>10</v>
      </c>
      <c r="AQ21">
        <f t="shared" si="4"/>
        <v>2013</v>
      </c>
    </row>
    <row r="22" spans="1:43" x14ac:dyDescent="0.35">
      <c r="A22">
        <v>1573</v>
      </c>
      <c r="B22">
        <v>38</v>
      </c>
      <c r="C22" t="s">
        <v>144</v>
      </c>
      <c r="D22" t="s">
        <v>145</v>
      </c>
      <c r="E22" t="s">
        <v>4</v>
      </c>
      <c r="F22" t="s">
        <v>38</v>
      </c>
      <c r="G22" t="s">
        <v>43</v>
      </c>
      <c r="H22" t="s">
        <v>82</v>
      </c>
      <c r="I22" t="s">
        <v>43</v>
      </c>
      <c r="J22" t="s">
        <v>165</v>
      </c>
      <c r="K22" t="s">
        <v>42</v>
      </c>
      <c r="L22" t="s">
        <v>48</v>
      </c>
      <c r="M22" t="s">
        <v>49</v>
      </c>
      <c r="N22" t="s">
        <v>160</v>
      </c>
      <c r="O22" t="s">
        <v>156</v>
      </c>
      <c r="P22" t="s">
        <v>148</v>
      </c>
      <c r="Q22">
        <v>11</v>
      </c>
      <c r="R22">
        <v>4</v>
      </c>
      <c r="S22">
        <v>7</v>
      </c>
      <c r="T22">
        <v>1</v>
      </c>
      <c r="U22">
        <v>4</v>
      </c>
      <c r="V22">
        <v>2</v>
      </c>
      <c r="W22">
        <v>81</v>
      </c>
      <c r="X22">
        <v>903</v>
      </c>
      <c r="Y22">
        <v>7653</v>
      </c>
      <c r="Z22">
        <v>4855</v>
      </c>
      <c r="AA22">
        <v>2</v>
      </c>
      <c r="AB22" s="29">
        <v>44773</v>
      </c>
      <c r="AC22" s="29">
        <v>30949</v>
      </c>
      <c r="AD22" s="29">
        <v>41469</v>
      </c>
      <c r="AE22" s="29">
        <v>43036</v>
      </c>
      <c r="AF22">
        <v>4</v>
      </c>
      <c r="AG22" t="s">
        <v>149</v>
      </c>
      <c r="AH22">
        <v>2</v>
      </c>
      <c r="AI22">
        <v>34</v>
      </c>
      <c r="AJ22">
        <v>1</v>
      </c>
      <c r="AK22" t="s">
        <v>162</v>
      </c>
      <c r="AL22" t="s">
        <v>77</v>
      </c>
      <c r="AM22">
        <f t="shared" si="0"/>
        <v>3</v>
      </c>
      <c r="AN22">
        <f t="shared" si="1"/>
        <v>7</v>
      </c>
      <c r="AO22">
        <f t="shared" si="2"/>
        <v>4</v>
      </c>
      <c r="AP22">
        <f t="shared" si="3"/>
        <v>10</v>
      </c>
      <c r="AQ22">
        <f t="shared" si="4"/>
        <v>2013</v>
      </c>
    </row>
    <row r="23" spans="1:43" x14ac:dyDescent="0.35">
      <c r="A23">
        <v>554</v>
      </c>
      <c r="B23">
        <v>24</v>
      </c>
      <c r="C23" t="s">
        <v>144</v>
      </c>
      <c r="D23" t="s">
        <v>145</v>
      </c>
      <c r="E23" t="s">
        <v>158</v>
      </c>
      <c r="F23" t="s">
        <v>35</v>
      </c>
      <c r="G23" t="s">
        <v>41</v>
      </c>
      <c r="H23" t="s">
        <v>81</v>
      </c>
      <c r="I23" t="s">
        <v>43</v>
      </c>
      <c r="J23" t="s">
        <v>166</v>
      </c>
      <c r="K23" t="s">
        <v>42</v>
      </c>
      <c r="L23" t="s">
        <v>147</v>
      </c>
      <c r="M23" t="s">
        <v>49</v>
      </c>
      <c r="N23" t="s">
        <v>95</v>
      </c>
      <c r="P23" t="s">
        <v>144</v>
      </c>
      <c r="Q23">
        <v>16</v>
      </c>
      <c r="R23">
        <v>1</v>
      </c>
      <c r="S23">
        <v>6</v>
      </c>
      <c r="T23">
        <v>1</v>
      </c>
      <c r="U23">
        <v>4</v>
      </c>
      <c r="V23">
        <v>1</v>
      </c>
      <c r="W23">
        <v>62</v>
      </c>
      <c r="X23">
        <v>1448</v>
      </c>
      <c r="Y23">
        <v>21972</v>
      </c>
      <c r="Z23">
        <v>3202</v>
      </c>
      <c r="AA23">
        <v>4</v>
      </c>
      <c r="AB23" s="29">
        <v>44773</v>
      </c>
      <c r="AC23" s="29">
        <v>36193</v>
      </c>
      <c r="AD23" s="29">
        <v>41493</v>
      </c>
      <c r="AE23" s="29">
        <v>43047</v>
      </c>
      <c r="AF23">
        <v>4</v>
      </c>
      <c r="AG23" t="s">
        <v>157</v>
      </c>
      <c r="AH23">
        <v>1</v>
      </c>
      <c r="AI23">
        <v>20</v>
      </c>
      <c r="AJ23">
        <v>1</v>
      </c>
      <c r="AK23" t="s">
        <v>162</v>
      </c>
      <c r="AL23" t="s">
        <v>77</v>
      </c>
      <c r="AM23">
        <f t="shared" si="0"/>
        <v>3</v>
      </c>
      <c r="AN23">
        <f t="shared" si="1"/>
        <v>8</v>
      </c>
      <c r="AO23">
        <f t="shared" si="2"/>
        <v>4</v>
      </c>
      <c r="AP23">
        <f t="shared" si="3"/>
        <v>11</v>
      </c>
      <c r="AQ23">
        <f t="shared" si="4"/>
        <v>2013</v>
      </c>
    </row>
    <row r="24" spans="1:43" x14ac:dyDescent="0.35">
      <c r="A24">
        <v>161</v>
      </c>
      <c r="B24">
        <v>56</v>
      </c>
      <c r="C24" t="s">
        <v>144</v>
      </c>
      <c r="D24" t="s">
        <v>145</v>
      </c>
      <c r="E24" t="s">
        <v>4</v>
      </c>
      <c r="F24" t="s">
        <v>37</v>
      </c>
      <c r="G24" t="s">
        <v>42</v>
      </c>
      <c r="H24" t="s">
        <v>81</v>
      </c>
      <c r="I24" t="s">
        <v>43</v>
      </c>
      <c r="J24" t="s">
        <v>146</v>
      </c>
      <c r="K24" t="s">
        <v>42</v>
      </c>
      <c r="L24" t="s">
        <v>147</v>
      </c>
      <c r="M24" t="s">
        <v>49</v>
      </c>
      <c r="N24" t="s">
        <v>160</v>
      </c>
      <c r="O24" t="s">
        <v>43</v>
      </c>
      <c r="P24" t="s">
        <v>144</v>
      </c>
      <c r="Q24">
        <v>18</v>
      </c>
      <c r="R24">
        <v>9</v>
      </c>
      <c r="S24">
        <v>7</v>
      </c>
      <c r="T24">
        <v>4</v>
      </c>
      <c r="U24">
        <v>3</v>
      </c>
      <c r="V24">
        <v>14</v>
      </c>
      <c r="W24">
        <v>72</v>
      </c>
      <c r="X24">
        <v>441</v>
      </c>
      <c r="Y24">
        <v>4510</v>
      </c>
      <c r="Z24">
        <v>4963</v>
      </c>
      <c r="AA24">
        <v>2</v>
      </c>
      <c r="AB24" s="29">
        <v>44773</v>
      </c>
      <c r="AC24" s="29">
        <v>24365</v>
      </c>
      <c r="AD24" s="29">
        <v>41476</v>
      </c>
      <c r="AE24" s="29">
        <v>43049</v>
      </c>
      <c r="AF24">
        <v>4</v>
      </c>
      <c r="AG24" t="s">
        <v>167</v>
      </c>
      <c r="AH24">
        <v>1</v>
      </c>
      <c r="AI24">
        <v>52</v>
      </c>
      <c r="AJ24">
        <v>1</v>
      </c>
      <c r="AK24" t="s">
        <v>162</v>
      </c>
      <c r="AL24" t="s">
        <v>77</v>
      </c>
      <c r="AM24">
        <f t="shared" si="0"/>
        <v>3</v>
      </c>
      <c r="AN24">
        <f t="shared" si="1"/>
        <v>7</v>
      </c>
      <c r="AO24">
        <f t="shared" si="2"/>
        <v>4</v>
      </c>
      <c r="AP24">
        <f t="shared" si="3"/>
        <v>11</v>
      </c>
      <c r="AQ24">
        <f t="shared" si="4"/>
        <v>2013</v>
      </c>
    </row>
    <row r="25" spans="1:43" x14ac:dyDescent="0.35">
      <c r="A25">
        <v>297</v>
      </c>
      <c r="B25">
        <v>30</v>
      </c>
      <c r="C25" t="s">
        <v>144</v>
      </c>
      <c r="D25" t="s">
        <v>145</v>
      </c>
      <c r="E25" t="s">
        <v>4</v>
      </c>
      <c r="F25" t="s">
        <v>38</v>
      </c>
      <c r="G25" t="s">
        <v>44</v>
      </c>
      <c r="H25" t="s">
        <v>81</v>
      </c>
      <c r="I25" t="s">
        <v>43</v>
      </c>
      <c r="J25" t="s">
        <v>146</v>
      </c>
      <c r="K25" t="s">
        <v>41</v>
      </c>
      <c r="L25" t="s">
        <v>147</v>
      </c>
      <c r="M25" t="s">
        <v>49</v>
      </c>
      <c r="N25" t="s">
        <v>95</v>
      </c>
      <c r="P25" t="s">
        <v>144</v>
      </c>
      <c r="Q25">
        <v>11</v>
      </c>
      <c r="R25">
        <v>5</v>
      </c>
      <c r="S25">
        <v>8</v>
      </c>
      <c r="T25">
        <v>0</v>
      </c>
      <c r="U25">
        <v>4</v>
      </c>
      <c r="V25">
        <v>3</v>
      </c>
      <c r="W25">
        <v>88</v>
      </c>
      <c r="X25">
        <v>1005</v>
      </c>
      <c r="Y25">
        <v>8556</v>
      </c>
      <c r="Z25">
        <v>2657</v>
      </c>
      <c r="AA25">
        <v>5</v>
      </c>
      <c r="AB25" s="29">
        <v>44773</v>
      </c>
      <c r="AC25" s="29">
        <v>33952</v>
      </c>
      <c r="AD25" s="29">
        <v>41350</v>
      </c>
      <c r="AE25" s="29">
        <v>43068</v>
      </c>
      <c r="AF25">
        <v>5</v>
      </c>
      <c r="AG25" t="s">
        <v>149</v>
      </c>
      <c r="AH25">
        <v>1</v>
      </c>
      <c r="AI25">
        <v>25</v>
      </c>
      <c r="AJ25">
        <v>2</v>
      </c>
      <c r="AK25" t="s">
        <v>162</v>
      </c>
      <c r="AL25" t="s">
        <v>77</v>
      </c>
      <c r="AM25">
        <f t="shared" si="0"/>
        <v>1</v>
      </c>
      <c r="AN25">
        <f t="shared" si="1"/>
        <v>3</v>
      </c>
      <c r="AO25">
        <f t="shared" si="2"/>
        <v>4</v>
      </c>
      <c r="AP25">
        <f t="shared" si="3"/>
        <v>11</v>
      </c>
      <c r="AQ25">
        <f t="shared" si="4"/>
        <v>2013</v>
      </c>
    </row>
    <row r="26" spans="1:43" x14ac:dyDescent="0.35">
      <c r="A26">
        <v>1905</v>
      </c>
      <c r="B26">
        <v>34</v>
      </c>
      <c r="C26" t="s">
        <v>144</v>
      </c>
      <c r="D26" t="s">
        <v>164</v>
      </c>
      <c r="E26" t="s">
        <v>4</v>
      </c>
      <c r="F26" t="s">
        <v>37</v>
      </c>
      <c r="G26" t="s">
        <v>44</v>
      </c>
      <c r="H26" t="s">
        <v>82</v>
      </c>
      <c r="I26" t="s">
        <v>41</v>
      </c>
      <c r="J26" t="s">
        <v>146</v>
      </c>
      <c r="K26" t="s">
        <v>41</v>
      </c>
      <c r="L26" t="s">
        <v>152</v>
      </c>
      <c r="M26" t="s">
        <v>49</v>
      </c>
      <c r="N26" t="s">
        <v>160</v>
      </c>
      <c r="O26" t="s">
        <v>41</v>
      </c>
      <c r="P26" t="s">
        <v>144</v>
      </c>
      <c r="Q26">
        <v>23</v>
      </c>
      <c r="R26">
        <v>1</v>
      </c>
      <c r="S26">
        <v>5</v>
      </c>
      <c r="T26">
        <v>3</v>
      </c>
      <c r="U26">
        <v>0</v>
      </c>
      <c r="V26">
        <v>16</v>
      </c>
      <c r="W26">
        <v>85</v>
      </c>
      <c r="X26">
        <v>967</v>
      </c>
      <c r="Y26">
        <v>14460</v>
      </c>
      <c r="Z26">
        <v>2307</v>
      </c>
      <c r="AA26">
        <v>2</v>
      </c>
      <c r="AB26" s="29">
        <v>44773</v>
      </c>
      <c r="AC26" s="29">
        <v>32420</v>
      </c>
      <c r="AD26" s="29">
        <v>41417</v>
      </c>
      <c r="AE26" s="29">
        <v>43083</v>
      </c>
      <c r="AF26">
        <v>5</v>
      </c>
      <c r="AG26" t="s">
        <v>149</v>
      </c>
      <c r="AH26">
        <v>1</v>
      </c>
      <c r="AI26">
        <v>29</v>
      </c>
      <c r="AJ26">
        <v>2</v>
      </c>
      <c r="AK26" t="s">
        <v>162</v>
      </c>
      <c r="AL26" t="s">
        <v>77</v>
      </c>
      <c r="AM26">
        <f t="shared" si="0"/>
        <v>2</v>
      </c>
      <c r="AN26">
        <f t="shared" si="1"/>
        <v>5</v>
      </c>
      <c r="AO26">
        <f t="shared" si="2"/>
        <v>4</v>
      </c>
      <c r="AP26">
        <f t="shared" si="3"/>
        <v>12</v>
      </c>
      <c r="AQ26">
        <f t="shared" si="4"/>
        <v>2013</v>
      </c>
    </row>
    <row r="27" spans="1:43" x14ac:dyDescent="0.35">
      <c r="A27">
        <v>1489</v>
      </c>
      <c r="B27">
        <v>34</v>
      </c>
      <c r="C27" t="s">
        <v>144</v>
      </c>
      <c r="D27" t="s">
        <v>145</v>
      </c>
      <c r="E27" t="s">
        <v>158</v>
      </c>
      <c r="F27" t="s">
        <v>37</v>
      </c>
      <c r="G27" t="s">
        <v>41</v>
      </c>
      <c r="H27" t="s">
        <v>81</v>
      </c>
      <c r="I27" t="s">
        <v>42</v>
      </c>
      <c r="J27" t="s">
        <v>159</v>
      </c>
      <c r="K27" t="s">
        <v>42</v>
      </c>
      <c r="L27" t="s">
        <v>152</v>
      </c>
      <c r="M27" t="s">
        <v>50</v>
      </c>
      <c r="N27" t="s">
        <v>95</v>
      </c>
      <c r="P27" t="s">
        <v>144</v>
      </c>
      <c r="Q27">
        <v>23</v>
      </c>
      <c r="R27">
        <v>0</v>
      </c>
      <c r="S27">
        <v>16</v>
      </c>
      <c r="T27">
        <v>10</v>
      </c>
      <c r="U27">
        <v>10</v>
      </c>
      <c r="V27">
        <v>24</v>
      </c>
      <c r="W27">
        <v>40</v>
      </c>
      <c r="X27">
        <v>790</v>
      </c>
      <c r="Y27">
        <v>7815</v>
      </c>
      <c r="Z27">
        <v>4599</v>
      </c>
      <c r="AA27">
        <v>2</v>
      </c>
      <c r="AB27" s="29">
        <v>44773</v>
      </c>
      <c r="AC27" s="29">
        <v>32384</v>
      </c>
      <c r="AD27" s="29">
        <v>37945</v>
      </c>
      <c r="AE27" s="29">
        <v>43098</v>
      </c>
      <c r="AF27">
        <v>14</v>
      </c>
      <c r="AG27" t="s">
        <v>149</v>
      </c>
      <c r="AH27">
        <v>1</v>
      </c>
      <c r="AI27">
        <v>20</v>
      </c>
      <c r="AJ27">
        <v>1</v>
      </c>
      <c r="AK27" t="s">
        <v>154</v>
      </c>
      <c r="AL27" t="s">
        <v>77</v>
      </c>
      <c r="AM27">
        <f t="shared" si="0"/>
        <v>4</v>
      </c>
      <c r="AN27">
        <f t="shared" si="1"/>
        <v>11</v>
      </c>
      <c r="AO27">
        <f t="shared" si="2"/>
        <v>4</v>
      </c>
      <c r="AP27">
        <f t="shared" si="3"/>
        <v>12</v>
      </c>
      <c r="AQ27">
        <f t="shared" si="4"/>
        <v>2003</v>
      </c>
    </row>
    <row r="28" spans="1:43" x14ac:dyDescent="0.35">
      <c r="A28">
        <v>785</v>
      </c>
      <c r="B28">
        <v>47</v>
      </c>
      <c r="C28" t="s">
        <v>144</v>
      </c>
      <c r="D28" t="s">
        <v>151</v>
      </c>
      <c r="E28" t="s">
        <v>158</v>
      </c>
      <c r="F28" t="s">
        <v>36</v>
      </c>
      <c r="G28" t="s">
        <v>42</v>
      </c>
      <c r="H28" t="s">
        <v>81</v>
      </c>
      <c r="I28" t="s">
        <v>44</v>
      </c>
      <c r="J28" t="s">
        <v>159</v>
      </c>
      <c r="K28" t="s">
        <v>43</v>
      </c>
      <c r="L28" t="s">
        <v>147</v>
      </c>
      <c r="M28" t="s">
        <v>49</v>
      </c>
      <c r="N28" t="s">
        <v>95</v>
      </c>
      <c r="P28" t="s">
        <v>144</v>
      </c>
      <c r="Q28">
        <v>12</v>
      </c>
      <c r="R28">
        <v>4</v>
      </c>
      <c r="S28">
        <v>8</v>
      </c>
      <c r="T28">
        <v>1</v>
      </c>
      <c r="U28">
        <v>3</v>
      </c>
      <c r="V28">
        <v>27</v>
      </c>
      <c r="W28">
        <v>77</v>
      </c>
      <c r="X28">
        <v>719</v>
      </c>
      <c r="Y28">
        <v>10339</v>
      </c>
      <c r="Z28">
        <v>6397</v>
      </c>
      <c r="AA28">
        <v>2</v>
      </c>
      <c r="AB28" s="29">
        <v>44773</v>
      </c>
      <c r="AC28" s="29">
        <v>27941</v>
      </c>
      <c r="AD28" s="29">
        <v>41493</v>
      </c>
      <c r="AE28" s="29">
        <v>43122</v>
      </c>
      <c r="AF28">
        <v>4</v>
      </c>
      <c r="AG28" t="s">
        <v>153</v>
      </c>
      <c r="AH28">
        <v>1</v>
      </c>
      <c r="AI28">
        <v>43</v>
      </c>
      <c r="AJ28">
        <v>1</v>
      </c>
      <c r="AK28" t="s">
        <v>162</v>
      </c>
      <c r="AL28" t="s">
        <v>78</v>
      </c>
      <c r="AM28">
        <f t="shared" si="0"/>
        <v>3</v>
      </c>
      <c r="AN28">
        <f t="shared" si="1"/>
        <v>8</v>
      </c>
      <c r="AO28">
        <f t="shared" si="2"/>
        <v>1</v>
      </c>
      <c r="AP28">
        <f t="shared" si="3"/>
        <v>1</v>
      </c>
      <c r="AQ28">
        <f t="shared" si="4"/>
        <v>2013</v>
      </c>
    </row>
    <row r="29" spans="1:43" x14ac:dyDescent="0.35">
      <c r="A29">
        <v>1389</v>
      </c>
      <c r="B29">
        <v>31</v>
      </c>
      <c r="C29" t="s">
        <v>144</v>
      </c>
      <c r="D29" t="s">
        <v>145</v>
      </c>
      <c r="E29" t="s">
        <v>4</v>
      </c>
      <c r="F29" t="s">
        <v>37</v>
      </c>
      <c r="G29" t="s">
        <v>44</v>
      </c>
      <c r="H29" t="s">
        <v>82</v>
      </c>
      <c r="I29" t="s">
        <v>43</v>
      </c>
      <c r="J29" t="s">
        <v>165</v>
      </c>
      <c r="K29" t="s">
        <v>43</v>
      </c>
      <c r="L29" t="s">
        <v>48</v>
      </c>
      <c r="M29" t="s">
        <v>48</v>
      </c>
      <c r="N29" t="s">
        <v>160</v>
      </c>
      <c r="O29" t="s">
        <v>156</v>
      </c>
      <c r="P29" t="s">
        <v>144</v>
      </c>
      <c r="Q29">
        <v>15</v>
      </c>
      <c r="R29">
        <v>1</v>
      </c>
      <c r="S29">
        <v>10</v>
      </c>
      <c r="T29">
        <v>6</v>
      </c>
      <c r="U29">
        <v>7</v>
      </c>
      <c r="V29">
        <v>22</v>
      </c>
      <c r="W29">
        <v>98</v>
      </c>
      <c r="X29">
        <v>330</v>
      </c>
      <c r="Y29">
        <v>21057</v>
      </c>
      <c r="Z29">
        <v>6179</v>
      </c>
      <c r="AA29">
        <v>3</v>
      </c>
      <c r="AB29" s="29">
        <v>44773</v>
      </c>
      <c r="AC29" s="29">
        <v>33767</v>
      </c>
      <c r="AD29" s="29">
        <v>39510</v>
      </c>
      <c r="AE29" s="29">
        <v>43124</v>
      </c>
      <c r="AF29">
        <v>10</v>
      </c>
      <c r="AG29" t="s">
        <v>149</v>
      </c>
      <c r="AH29">
        <v>1</v>
      </c>
      <c r="AI29">
        <v>21</v>
      </c>
      <c r="AJ29">
        <v>1</v>
      </c>
      <c r="AK29" t="s">
        <v>154</v>
      </c>
      <c r="AL29" t="s">
        <v>77</v>
      </c>
      <c r="AM29">
        <f t="shared" si="0"/>
        <v>1</v>
      </c>
      <c r="AN29">
        <f t="shared" si="1"/>
        <v>3</v>
      </c>
      <c r="AO29">
        <f t="shared" si="2"/>
        <v>1</v>
      </c>
      <c r="AP29">
        <f t="shared" si="3"/>
        <v>1</v>
      </c>
      <c r="AQ29">
        <f t="shared" si="4"/>
        <v>2008</v>
      </c>
    </row>
    <row r="30" spans="1:43" x14ac:dyDescent="0.35">
      <c r="A30">
        <v>1318</v>
      </c>
      <c r="B30">
        <v>40</v>
      </c>
      <c r="C30" t="s">
        <v>144</v>
      </c>
      <c r="D30" t="s">
        <v>145</v>
      </c>
      <c r="E30" t="s">
        <v>158</v>
      </c>
      <c r="F30" t="s">
        <v>37</v>
      </c>
      <c r="G30" t="s">
        <v>44</v>
      </c>
      <c r="H30" t="s">
        <v>82</v>
      </c>
      <c r="I30" t="s">
        <v>42</v>
      </c>
      <c r="J30" t="s">
        <v>159</v>
      </c>
      <c r="K30" t="s">
        <v>42</v>
      </c>
      <c r="L30" t="s">
        <v>48</v>
      </c>
      <c r="M30" t="s">
        <v>49</v>
      </c>
      <c r="N30" t="s">
        <v>95</v>
      </c>
      <c r="P30" t="s">
        <v>144</v>
      </c>
      <c r="Q30">
        <v>12</v>
      </c>
      <c r="R30">
        <v>2</v>
      </c>
      <c r="S30">
        <v>9</v>
      </c>
      <c r="T30">
        <v>1</v>
      </c>
      <c r="U30">
        <v>0</v>
      </c>
      <c r="V30">
        <v>25</v>
      </c>
      <c r="W30">
        <v>57</v>
      </c>
      <c r="X30">
        <v>299</v>
      </c>
      <c r="Y30">
        <v>17235</v>
      </c>
      <c r="Z30">
        <v>9094</v>
      </c>
      <c r="AA30">
        <v>2</v>
      </c>
      <c r="AB30" s="29">
        <v>44773</v>
      </c>
      <c r="AC30" s="29">
        <v>30201</v>
      </c>
      <c r="AD30" s="29">
        <v>41485</v>
      </c>
      <c r="AE30" s="29">
        <v>43139</v>
      </c>
      <c r="AF30">
        <v>5</v>
      </c>
      <c r="AG30" t="s">
        <v>153</v>
      </c>
      <c r="AH30">
        <v>2</v>
      </c>
      <c r="AI30">
        <v>35</v>
      </c>
      <c r="AJ30">
        <v>2</v>
      </c>
      <c r="AK30" t="s">
        <v>162</v>
      </c>
      <c r="AL30" t="s">
        <v>77</v>
      </c>
      <c r="AM30">
        <f t="shared" si="0"/>
        <v>3</v>
      </c>
      <c r="AN30">
        <f t="shared" si="1"/>
        <v>7</v>
      </c>
      <c r="AO30">
        <f t="shared" si="2"/>
        <v>1</v>
      </c>
      <c r="AP30">
        <f t="shared" si="3"/>
        <v>2</v>
      </c>
      <c r="AQ30">
        <f t="shared" si="4"/>
        <v>2013</v>
      </c>
    </row>
    <row r="31" spans="1:43" x14ac:dyDescent="0.35">
      <c r="A31">
        <v>1684</v>
      </c>
      <c r="B31">
        <v>23</v>
      </c>
      <c r="C31" t="s">
        <v>144</v>
      </c>
      <c r="D31" t="s">
        <v>145</v>
      </c>
      <c r="E31" t="s">
        <v>4</v>
      </c>
      <c r="F31" t="s">
        <v>35</v>
      </c>
      <c r="G31" t="s">
        <v>44</v>
      </c>
      <c r="H31" t="s">
        <v>82</v>
      </c>
      <c r="I31" t="s">
        <v>42</v>
      </c>
      <c r="J31" t="s">
        <v>155</v>
      </c>
      <c r="K31" t="s">
        <v>43</v>
      </c>
      <c r="L31" t="s">
        <v>147</v>
      </c>
      <c r="M31" t="s">
        <v>49</v>
      </c>
      <c r="N31" t="s">
        <v>95</v>
      </c>
      <c r="P31" t="s">
        <v>144</v>
      </c>
      <c r="Q31">
        <v>11</v>
      </c>
      <c r="R31">
        <v>1</v>
      </c>
      <c r="S31">
        <v>5</v>
      </c>
      <c r="T31">
        <v>1</v>
      </c>
      <c r="U31">
        <v>2</v>
      </c>
      <c r="V31">
        <v>8</v>
      </c>
      <c r="W31">
        <v>93</v>
      </c>
      <c r="X31">
        <v>1320</v>
      </c>
      <c r="Y31">
        <v>20586</v>
      </c>
      <c r="Z31">
        <v>3989</v>
      </c>
      <c r="AA31">
        <v>2</v>
      </c>
      <c r="AB31" s="29">
        <v>44773</v>
      </c>
      <c r="AC31" s="29">
        <v>36441</v>
      </c>
      <c r="AD31" s="29">
        <v>41614</v>
      </c>
      <c r="AE31" s="29">
        <v>43139</v>
      </c>
      <c r="AF31">
        <v>4</v>
      </c>
      <c r="AG31" t="s">
        <v>157</v>
      </c>
      <c r="AH31">
        <v>2</v>
      </c>
      <c r="AI31">
        <v>19</v>
      </c>
      <c r="AJ31">
        <v>1</v>
      </c>
      <c r="AK31" t="s">
        <v>162</v>
      </c>
      <c r="AL31" t="s">
        <v>77</v>
      </c>
      <c r="AM31">
        <f t="shared" si="0"/>
        <v>4</v>
      </c>
      <c r="AN31">
        <f t="shared" si="1"/>
        <v>12</v>
      </c>
      <c r="AO31">
        <f t="shared" si="2"/>
        <v>1</v>
      </c>
      <c r="AP31">
        <f t="shared" si="3"/>
        <v>2</v>
      </c>
      <c r="AQ31">
        <f t="shared" si="4"/>
        <v>2013</v>
      </c>
    </row>
    <row r="32" spans="1:43" x14ac:dyDescent="0.35">
      <c r="A32">
        <v>1487</v>
      </c>
      <c r="B32">
        <v>29</v>
      </c>
      <c r="C32" t="s">
        <v>144</v>
      </c>
      <c r="D32" t="s">
        <v>151</v>
      </c>
      <c r="E32" t="s">
        <v>158</v>
      </c>
      <c r="F32" t="s">
        <v>38</v>
      </c>
      <c r="G32" t="s">
        <v>41</v>
      </c>
      <c r="H32" t="s">
        <v>81</v>
      </c>
      <c r="I32" t="s">
        <v>43</v>
      </c>
      <c r="J32" t="s">
        <v>159</v>
      </c>
      <c r="K32" t="s">
        <v>42</v>
      </c>
      <c r="L32" t="s">
        <v>147</v>
      </c>
      <c r="M32" t="s">
        <v>47</v>
      </c>
      <c r="N32" t="s">
        <v>95</v>
      </c>
      <c r="P32" t="s">
        <v>148</v>
      </c>
      <c r="Q32">
        <v>11</v>
      </c>
      <c r="R32">
        <v>5</v>
      </c>
      <c r="S32">
        <v>7</v>
      </c>
      <c r="T32">
        <v>0</v>
      </c>
      <c r="U32">
        <v>0</v>
      </c>
      <c r="V32">
        <v>13</v>
      </c>
      <c r="W32">
        <v>51</v>
      </c>
      <c r="X32">
        <v>115</v>
      </c>
      <c r="Y32">
        <v>17485</v>
      </c>
      <c r="Z32">
        <v>5765</v>
      </c>
      <c r="AA32">
        <v>4</v>
      </c>
      <c r="AB32" s="29">
        <v>44773</v>
      </c>
      <c r="AC32" s="29">
        <v>34456</v>
      </c>
      <c r="AD32" s="29">
        <v>41430</v>
      </c>
      <c r="AE32" s="29">
        <v>43139</v>
      </c>
      <c r="AF32">
        <v>5</v>
      </c>
      <c r="AG32" t="s">
        <v>157</v>
      </c>
      <c r="AH32">
        <v>1</v>
      </c>
      <c r="AI32">
        <v>24</v>
      </c>
      <c r="AJ32">
        <v>1</v>
      </c>
      <c r="AK32" t="s">
        <v>162</v>
      </c>
      <c r="AL32" t="s">
        <v>77</v>
      </c>
      <c r="AM32">
        <f t="shared" si="0"/>
        <v>2</v>
      </c>
      <c r="AN32">
        <f t="shared" si="1"/>
        <v>6</v>
      </c>
      <c r="AO32">
        <f t="shared" si="2"/>
        <v>1</v>
      </c>
      <c r="AP32">
        <f t="shared" si="3"/>
        <v>2</v>
      </c>
      <c r="AQ32">
        <f t="shared" si="4"/>
        <v>2013</v>
      </c>
    </row>
    <row r="33" spans="1:43" x14ac:dyDescent="0.35">
      <c r="A33">
        <v>27</v>
      </c>
      <c r="B33">
        <v>36</v>
      </c>
      <c r="C33" t="s">
        <v>144</v>
      </c>
      <c r="D33" t="s">
        <v>145</v>
      </c>
      <c r="E33" t="s">
        <v>158</v>
      </c>
      <c r="F33" t="s">
        <v>37</v>
      </c>
      <c r="G33" t="s">
        <v>43</v>
      </c>
      <c r="H33" t="s">
        <v>82</v>
      </c>
      <c r="I33" t="s">
        <v>42</v>
      </c>
      <c r="J33" t="s">
        <v>166</v>
      </c>
      <c r="K33" t="s">
        <v>41</v>
      </c>
      <c r="L33" t="s">
        <v>152</v>
      </c>
      <c r="M33" t="s">
        <v>49</v>
      </c>
      <c r="N33" t="s">
        <v>95</v>
      </c>
      <c r="P33" t="s">
        <v>148</v>
      </c>
      <c r="Q33">
        <v>23</v>
      </c>
      <c r="R33">
        <v>7</v>
      </c>
      <c r="S33">
        <v>10</v>
      </c>
      <c r="T33">
        <v>0</v>
      </c>
      <c r="U33">
        <v>3</v>
      </c>
      <c r="V33">
        <v>9</v>
      </c>
      <c r="W33">
        <v>82</v>
      </c>
      <c r="X33">
        <v>1218</v>
      </c>
      <c r="Y33">
        <v>6986</v>
      </c>
      <c r="Z33">
        <v>3407</v>
      </c>
      <c r="AA33">
        <v>4</v>
      </c>
      <c r="AB33" s="29">
        <v>44773</v>
      </c>
      <c r="AC33" s="29">
        <v>31780</v>
      </c>
      <c r="AD33" s="29">
        <v>41506</v>
      </c>
      <c r="AE33" s="29">
        <v>43150</v>
      </c>
      <c r="AF33">
        <v>5</v>
      </c>
      <c r="AG33" t="s">
        <v>149</v>
      </c>
      <c r="AH33">
        <v>1</v>
      </c>
      <c r="AI33">
        <v>31</v>
      </c>
      <c r="AJ33">
        <v>1</v>
      </c>
      <c r="AK33" t="s">
        <v>162</v>
      </c>
      <c r="AL33" t="s">
        <v>77</v>
      </c>
      <c r="AM33">
        <f t="shared" si="0"/>
        <v>3</v>
      </c>
      <c r="AN33">
        <f t="shared" si="1"/>
        <v>8</v>
      </c>
      <c r="AO33">
        <f t="shared" si="2"/>
        <v>1</v>
      </c>
      <c r="AP33">
        <f t="shared" si="3"/>
        <v>2</v>
      </c>
      <c r="AQ33">
        <f t="shared" si="4"/>
        <v>2013</v>
      </c>
    </row>
    <row r="34" spans="1:43" x14ac:dyDescent="0.35">
      <c r="A34">
        <v>1818</v>
      </c>
      <c r="B34">
        <v>26</v>
      </c>
      <c r="C34" t="s">
        <v>144</v>
      </c>
      <c r="D34" t="s">
        <v>145</v>
      </c>
      <c r="E34" t="s">
        <v>168</v>
      </c>
      <c r="F34" t="s">
        <v>36</v>
      </c>
      <c r="G34" t="s">
        <v>44</v>
      </c>
      <c r="H34" t="s">
        <v>81</v>
      </c>
      <c r="I34" t="s">
        <v>43</v>
      </c>
      <c r="J34" t="s">
        <v>168</v>
      </c>
      <c r="K34" t="s">
        <v>42</v>
      </c>
      <c r="L34" t="s">
        <v>41</v>
      </c>
      <c r="M34" t="s">
        <v>49</v>
      </c>
      <c r="N34" t="s">
        <v>160</v>
      </c>
      <c r="P34" t="s">
        <v>144</v>
      </c>
      <c r="Q34">
        <v>11</v>
      </c>
      <c r="R34">
        <v>0</v>
      </c>
      <c r="S34">
        <v>6</v>
      </c>
      <c r="T34">
        <v>1</v>
      </c>
      <c r="U34">
        <v>4</v>
      </c>
      <c r="V34">
        <v>20</v>
      </c>
      <c r="W34">
        <v>69</v>
      </c>
      <c r="X34">
        <v>920</v>
      </c>
      <c r="Y34">
        <v>6889</v>
      </c>
      <c r="Z34">
        <v>2148</v>
      </c>
      <c r="AA34">
        <v>3</v>
      </c>
      <c r="AB34" s="29">
        <v>44773</v>
      </c>
      <c r="AC34" s="29">
        <v>35635</v>
      </c>
      <c r="AD34" s="29">
        <v>41649</v>
      </c>
      <c r="AE34" s="29">
        <v>43190</v>
      </c>
      <c r="AF34">
        <v>4</v>
      </c>
      <c r="AG34" t="s">
        <v>157</v>
      </c>
      <c r="AH34">
        <v>2</v>
      </c>
      <c r="AI34">
        <v>22</v>
      </c>
      <c r="AJ34">
        <v>1</v>
      </c>
      <c r="AK34" t="s">
        <v>162</v>
      </c>
      <c r="AL34" t="s">
        <v>77</v>
      </c>
      <c r="AM34">
        <f t="shared" si="0"/>
        <v>1</v>
      </c>
      <c r="AN34">
        <f t="shared" si="1"/>
        <v>1</v>
      </c>
      <c r="AO34">
        <f t="shared" si="2"/>
        <v>1</v>
      </c>
      <c r="AP34">
        <f t="shared" si="3"/>
        <v>3</v>
      </c>
      <c r="AQ34">
        <f t="shared" si="4"/>
        <v>2014</v>
      </c>
    </row>
    <row r="35" spans="1:43" x14ac:dyDescent="0.35">
      <c r="A35">
        <v>1809</v>
      </c>
      <c r="B35">
        <v>37</v>
      </c>
      <c r="C35" t="s">
        <v>144</v>
      </c>
      <c r="D35" t="s">
        <v>145</v>
      </c>
      <c r="E35" t="s">
        <v>4</v>
      </c>
      <c r="F35" t="s">
        <v>37</v>
      </c>
      <c r="G35" t="s">
        <v>44</v>
      </c>
      <c r="H35" t="s">
        <v>82</v>
      </c>
      <c r="I35" t="s">
        <v>43</v>
      </c>
      <c r="J35" t="s">
        <v>165</v>
      </c>
      <c r="K35" t="s">
        <v>41</v>
      </c>
      <c r="L35" t="s">
        <v>147</v>
      </c>
      <c r="M35" t="s">
        <v>47</v>
      </c>
      <c r="N35" t="s">
        <v>95</v>
      </c>
      <c r="P35" t="s">
        <v>148</v>
      </c>
      <c r="Q35">
        <v>15</v>
      </c>
      <c r="R35">
        <v>1</v>
      </c>
      <c r="S35">
        <v>10</v>
      </c>
      <c r="T35">
        <v>0</v>
      </c>
      <c r="U35">
        <v>8</v>
      </c>
      <c r="V35">
        <v>10</v>
      </c>
      <c r="W35">
        <v>58</v>
      </c>
      <c r="X35">
        <v>370</v>
      </c>
      <c r="Y35">
        <v>4992</v>
      </c>
      <c r="Z35">
        <v>4213</v>
      </c>
      <c r="AA35">
        <v>4</v>
      </c>
      <c r="AB35" s="29">
        <v>44773</v>
      </c>
      <c r="AC35" s="29">
        <v>31479</v>
      </c>
      <c r="AD35" s="29">
        <v>39598</v>
      </c>
      <c r="AE35" s="29">
        <v>43190</v>
      </c>
      <c r="AF35">
        <v>10</v>
      </c>
      <c r="AG35" t="s">
        <v>149</v>
      </c>
      <c r="AH35">
        <v>1</v>
      </c>
      <c r="AI35">
        <v>27</v>
      </c>
      <c r="AJ35">
        <v>1</v>
      </c>
      <c r="AK35" t="s">
        <v>154</v>
      </c>
      <c r="AL35" t="s">
        <v>77</v>
      </c>
      <c r="AM35">
        <f t="shared" si="0"/>
        <v>2</v>
      </c>
      <c r="AN35">
        <f t="shared" si="1"/>
        <v>5</v>
      </c>
      <c r="AO35">
        <f t="shared" si="2"/>
        <v>1</v>
      </c>
      <c r="AP35">
        <f t="shared" si="3"/>
        <v>3</v>
      </c>
      <c r="AQ35">
        <f t="shared" si="4"/>
        <v>2008</v>
      </c>
    </row>
    <row r="36" spans="1:43" x14ac:dyDescent="0.35">
      <c r="A36">
        <v>1792</v>
      </c>
      <c r="B36">
        <v>44</v>
      </c>
      <c r="C36" t="s">
        <v>144</v>
      </c>
      <c r="D36" t="s">
        <v>151</v>
      </c>
      <c r="E36" t="s">
        <v>4</v>
      </c>
      <c r="F36" t="s">
        <v>36</v>
      </c>
      <c r="G36" t="s">
        <v>43</v>
      </c>
      <c r="H36" t="s">
        <v>82</v>
      </c>
      <c r="I36" t="s">
        <v>43</v>
      </c>
      <c r="J36" t="s">
        <v>146</v>
      </c>
      <c r="K36" t="s">
        <v>42</v>
      </c>
      <c r="L36" t="s">
        <v>147</v>
      </c>
      <c r="M36" t="s">
        <v>48</v>
      </c>
      <c r="N36" t="s">
        <v>96</v>
      </c>
      <c r="O36" t="s">
        <v>43</v>
      </c>
      <c r="P36" t="s">
        <v>144</v>
      </c>
      <c r="Q36">
        <v>12</v>
      </c>
      <c r="R36">
        <v>1</v>
      </c>
      <c r="S36">
        <v>6</v>
      </c>
      <c r="T36">
        <v>2</v>
      </c>
      <c r="U36">
        <v>3</v>
      </c>
      <c r="V36">
        <v>1</v>
      </c>
      <c r="W36">
        <v>99</v>
      </c>
      <c r="X36">
        <v>429</v>
      </c>
      <c r="Y36">
        <v>11092</v>
      </c>
      <c r="Z36">
        <v>2342</v>
      </c>
      <c r="AA36">
        <v>2</v>
      </c>
      <c r="AB36" s="29">
        <v>44773</v>
      </c>
      <c r="AC36" s="29">
        <v>28869</v>
      </c>
      <c r="AD36" s="29">
        <v>41664</v>
      </c>
      <c r="AE36" s="29">
        <v>43201</v>
      </c>
      <c r="AF36">
        <v>4</v>
      </c>
      <c r="AG36" t="s">
        <v>153</v>
      </c>
      <c r="AH36">
        <v>1</v>
      </c>
      <c r="AI36">
        <v>40</v>
      </c>
      <c r="AJ36">
        <v>1</v>
      </c>
      <c r="AK36" t="s">
        <v>162</v>
      </c>
      <c r="AL36" t="s">
        <v>77</v>
      </c>
      <c r="AM36">
        <f t="shared" si="0"/>
        <v>1</v>
      </c>
      <c r="AN36">
        <f t="shared" si="1"/>
        <v>1</v>
      </c>
      <c r="AO36">
        <f t="shared" si="2"/>
        <v>2</v>
      </c>
      <c r="AP36">
        <f t="shared" si="3"/>
        <v>4</v>
      </c>
      <c r="AQ36">
        <f t="shared" si="4"/>
        <v>2014</v>
      </c>
    </row>
    <row r="37" spans="1:43" x14ac:dyDescent="0.35">
      <c r="A37">
        <v>433</v>
      </c>
      <c r="B37">
        <v>52</v>
      </c>
      <c r="C37" t="s">
        <v>144</v>
      </c>
      <c r="D37" t="s">
        <v>145</v>
      </c>
      <c r="E37" t="s">
        <v>4</v>
      </c>
      <c r="F37" t="s">
        <v>37</v>
      </c>
      <c r="G37" t="s">
        <v>43</v>
      </c>
      <c r="H37" t="s">
        <v>82</v>
      </c>
      <c r="I37" t="s">
        <v>42</v>
      </c>
      <c r="J37" t="s">
        <v>146</v>
      </c>
      <c r="K37" t="s">
        <v>42</v>
      </c>
      <c r="L37" t="s">
        <v>147</v>
      </c>
      <c r="M37" t="s">
        <v>48</v>
      </c>
      <c r="N37" t="s">
        <v>160</v>
      </c>
      <c r="P37" t="s">
        <v>148</v>
      </c>
      <c r="Q37">
        <v>15</v>
      </c>
      <c r="R37">
        <v>2</v>
      </c>
      <c r="S37">
        <v>11</v>
      </c>
      <c r="T37">
        <v>7</v>
      </c>
      <c r="U37">
        <v>7</v>
      </c>
      <c r="V37">
        <v>8</v>
      </c>
      <c r="W37">
        <v>85</v>
      </c>
      <c r="X37">
        <v>723</v>
      </c>
      <c r="Y37">
        <v>17747</v>
      </c>
      <c r="Z37">
        <v>4941</v>
      </c>
      <c r="AA37">
        <v>3</v>
      </c>
      <c r="AB37" s="29">
        <v>44773</v>
      </c>
      <c r="AC37" s="29">
        <v>26011</v>
      </c>
      <c r="AD37" s="29">
        <v>40331</v>
      </c>
      <c r="AE37" s="29">
        <v>43211</v>
      </c>
      <c r="AF37">
        <v>8</v>
      </c>
      <c r="AG37" t="s">
        <v>167</v>
      </c>
      <c r="AH37">
        <v>1</v>
      </c>
      <c r="AI37">
        <v>44</v>
      </c>
      <c r="AJ37">
        <v>1</v>
      </c>
      <c r="AK37" t="s">
        <v>150</v>
      </c>
      <c r="AL37" t="s">
        <v>78</v>
      </c>
      <c r="AM37">
        <f t="shared" si="0"/>
        <v>2</v>
      </c>
      <c r="AN37">
        <f t="shared" si="1"/>
        <v>6</v>
      </c>
      <c r="AO37">
        <f t="shared" si="2"/>
        <v>2</v>
      </c>
      <c r="AP37">
        <f t="shared" si="3"/>
        <v>4</v>
      </c>
      <c r="AQ37">
        <f t="shared" si="4"/>
        <v>2010</v>
      </c>
    </row>
    <row r="38" spans="1:43" x14ac:dyDescent="0.35">
      <c r="A38">
        <v>842</v>
      </c>
      <c r="B38">
        <v>55</v>
      </c>
      <c r="C38" t="s">
        <v>144</v>
      </c>
      <c r="D38" t="s">
        <v>145</v>
      </c>
      <c r="E38" t="s">
        <v>158</v>
      </c>
      <c r="F38" t="s">
        <v>35</v>
      </c>
      <c r="G38" t="s">
        <v>43</v>
      </c>
      <c r="H38" t="s">
        <v>82</v>
      </c>
      <c r="I38" t="s">
        <v>43</v>
      </c>
      <c r="J38" t="s">
        <v>159</v>
      </c>
      <c r="K38" t="s">
        <v>44</v>
      </c>
      <c r="L38" t="s">
        <v>147</v>
      </c>
      <c r="M38" t="s">
        <v>48</v>
      </c>
      <c r="N38" t="s">
        <v>95</v>
      </c>
      <c r="P38" t="s">
        <v>148</v>
      </c>
      <c r="Q38">
        <v>16</v>
      </c>
      <c r="R38">
        <v>4</v>
      </c>
      <c r="S38">
        <v>12</v>
      </c>
      <c r="T38">
        <v>7</v>
      </c>
      <c r="U38">
        <v>3</v>
      </c>
      <c r="V38">
        <v>2</v>
      </c>
      <c r="W38">
        <v>37</v>
      </c>
      <c r="X38">
        <v>436</v>
      </c>
      <c r="Y38">
        <v>21519</v>
      </c>
      <c r="Z38">
        <v>5160</v>
      </c>
      <c r="AA38">
        <v>3</v>
      </c>
      <c r="AB38" s="29">
        <v>44773</v>
      </c>
      <c r="AC38" s="29">
        <v>24951</v>
      </c>
      <c r="AD38" s="29">
        <v>40282</v>
      </c>
      <c r="AE38" s="29">
        <v>43232</v>
      </c>
      <c r="AF38">
        <v>8</v>
      </c>
      <c r="AG38" t="s">
        <v>167</v>
      </c>
      <c r="AH38">
        <v>1</v>
      </c>
      <c r="AI38">
        <v>47</v>
      </c>
      <c r="AJ38">
        <v>1</v>
      </c>
      <c r="AK38" t="s">
        <v>150</v>
      </c>
      <c r="AL38" t="s">
        <v>78</v>
      </c>
      <c r="AM38">
        <f t="shared" si="0"/>
        <v>2</v>
      </c>
      <c r="AN38">
        <f t="shared" si="1"/>
        <v>4</v>
      </c>
      <c r="AO38">
        <f t="shared" si="2"/>
        <v>2</v>
      </c>
      <c r="AP38">
        <f t="shared" si="3"/>
        <v>5</v>
      </c>
      <c r="AQ38">
        <f t="shared" si="4"/>
        <v>2010</v>
      </c>
    </row>
    <row r="39" spans="1:43" x14ac:dyDescent="0.35">
      <c r="A39">
        <v>1534</v>
      </c>
      <c r="B39">
        <v>40</v>
      </c>
      <c r="C39" t="s">
        <v>144</v>
      </c>
      <c r="D39" t="s">
        <v>145</v>
      </c>
      <c r="E39" t="s">
        <v>4</v>
      </c>
      <c r="F39" t="s">
        <v>37</v>
      </c>
      <c r="G39" t="s">
        <v>44</v>
      </c>
      <c r="H39" t="s">
        <v>82</v>
      </c>
      <c r="I39" t="s">
        <v>43</v>
      </c>
      <c r="J39" t="s">
        <v>155</v>
      </c>
      <c r="K39" t="s">
        <v>41</v>
      </c>
      <c r="L39" t="s">
        <v>147</v>
      </c>
      <c r="M39" t="s">
        <v>47</v>
      </c>
      <c r="N39" t="s">
        <v>95</v>
      </c>
      <c r="P39" t="s">
        <v>148</v>
      </c>
      <c r="Q39">
        <v>14</v>
      </c>
      <c r="R39">
        <v>3</v>
      </c>
      <c r="S39">
        <v>15</v>
      </c>
      <c r="T39">
        <v>1</v>
      </c>
      <c r="U39">
        <v>0</v>
      </c>
      <c r="V39">
        <v>9</v>
      </c>
      <c r="W39">
        <v>86</v>
      </c>
      <c r="X39">
        <v>676</v>
      </c>
      <c r="Y39">
        <v>21831</v>
      </c>
      <c r="Z39">
        <v>2018</v>
      </c>
      <c r="AA39">
        <v>3</v>
      </c>
      <c r="AB39" s="29">
        <v>44773</v>
      </c>
      <c r="AC39" s="29">
        <v>30226</v>
      </c>
      <c r="AD39" s="29">
        <v>41636</v>
      </c>
      <c r="AE39" s="29">
        <v>43233</v>
      </c>
      <c r="AF39">
        <v>4</v>
      </c>
      <c r="AG39" t="s">
        <v>153</v>
      </c>
      <c r="AH39">
        <v>2</v>
      </c>
      <c r="AI39">
        <v>36</v>
      </c>
      <c r="AJ39">
        <v>1</v>
      </c>
      <c r="AK39" t="s">
        <v>162</v>
      </c>
      <c r="AL39" t="s">
        <v>77</v>
      </c>
      <c r="AM39">
        <f t="shared" si="0"/>
        <v>4</v>
      </c>
      <c r="AN39">
        <f t="shared" si="1"/>
        <v>12</v>
      </c>
      <c r="AO39">
        <f t="shared" si="2"/>
        <v>2</v>
      </c>
      <c r="AP39">
        <f t="shared" si="3"/>
        <v>5</v>
      </c>
      <c r="AQ39">
        <f t="shared" si="4"/>
        <v>2013</v>
      </c>
    </row>
    <row r="40" spans="1:43" x14ac:dyDescent="0.35">
      <c r="A40">
        <v>787</v>
      </c>
      <c r="B40">
        <v>55</v>
      </c>
      <c r="C40" t="s">
        <v>144</v>
      </c>
      <c r="D40" t="s">
        <v>145</v>
      </c>
      <c r="E40" t="s">
        <v>4</v>
      </c>
      <c r="F40" t="s">
        <v>38</v>
      </c>
      <c r="G40" t="s">
        <v>44</v>
      </c>
      <c r="H40" t="s">
        <v>82</v>
      </c>
      <c r="I40" t="s">
        <v>43</v>
      </c>
      <c r="J40" t="s">
        <v>169</v>
      </c>
      <c r="K40" t="s">
        <v>41</v>
      </c>
      <c r="L40" t="s">
        <v>147</v>
      </c>
      <c r="M40" t="s">
        <v>49</v>
      </c>
      <c r="N40" t="s">
        <v>160</v>
      </c>
      <c r="O40" t="s">
        <v>41</v>
      </c>
      <c r="P40" t="s">
        <v>144</v>
      </c>
      <c r="Q40">
        <v>13</v>
      </c>
      <c r="R40">
        <v>5</v>
      </c>
      <c r="S40">
        <v>24</v>
      </c>
      <c r="T40">
        <v>1</v>
      </c>
      <c r="U40">
        <v>4</v>
      </c>
      <c r="V40">
        <v>2</v>
      </c>
      <c r="W40">
        <v>78</v>
      </c>
      <c r="X40">
        <v>725</v>
      </c>
      <c r="Y40">
        <v>21199</v>
      </c>
      <c r="Z40">
        <v>19859</v>
      </c>
      <c r="AA40">
        <v>2</v>
      </c>
      <c r="AB40" s="29">
        <v>44773</v>
      </c>
      <c r="AC40" s="29">
        <v>24886</v>
      </c>
      <c r="AD40" s="29">
        <v>41451</v>
      </c>
      <c r="AE40" s="29">
        <v>43257</v>
      </c>
      <c r="AF40">
        <v>5</v>
      </c>
      <c r="AG40" t="s">
        <v>167</v>
      </c>
      <c r="AH40">
        <v>1</v>
      </c>
      <c r="AI40">
        <v>50</v>
      </c>
      <c r="AJ40">
        <v>1</v>
      </c>
      <c r="AK40" t="s">
        <v>162</v>
      </c>
      <c r="AL40" t="s">
        <v>77</v>
      </c>
      <c r="AM40">
        <f t="shared" si="0"/>
        <v>2</v>
      </c>
      <c r="AN40">
        <f t="shared" si="1"/>
        <v>6</v>
      </c>
      <c r="AO40">
        <f t="shared" si="2"/>
        <v>2</v>
      </c>
      <c r="AP40">
        <f t="shared" si="3"/>
        <v>6</v>
      </c>
      <c r="AQ40">
        <f t="shared" si="4"/>
        <v>2013</v>
      </c>
    </row>
    <row r="41" spans="1:43" x14ac:dyDescent="0.35">
      <c r="A41">
        <v>1127</v>
      </c>
      <c r="B41">
        <v>39</v>
      </c>
      <c r="C41" t="s">
        <v>144</v>
      </c>
      <c r="D41" t="s">
        <v>151</v>
      </c>
      <c r="E41" t="s">
        <v>4</v>
      </c>
      <c r="F41" t="s">
        <v>38</v>
      </c>
      <c r="G41" t="s">
        <v>41</v>
      </c>
      <c r="H41" t="s">
        <v>82</v>
      </c>
      <c r="I41" t="s">
        <v>43</v>
      </c>
      <c r="J41" t="s">
        <v>161</v>
      </c>
      <c r="K41" t="s">
        <v>44</v>
      </c>
      <c r="L41" t="s">
        <v>147</v>
      </c>
      <c r="M41" t="s">
        <v>49</v>
      </c>
      <c r="N41" t="s">
        <v>96</v>
      </c>
      <c r="O41" t="s">
        <v>43</v>
      </c>
      <c r="P41" t="s">
        <v>148</v>
      </c>
      <c r="Q41">
        <v>11</v>
      </c>
      <c r="R41">
        <v>7</v>
      </c>
      <c r="S41">
        <v>21</v>
      </c>
      <c r="T41">
        <v>11</v>
      </c>
      <c r="U41">
        <v>5</v>
      </c>
      <c r="V41">
        <v>2</v>
      </c>
      <c r="W41">
        <v>84</v>
      </c>
      <c r="X41">
        <v>203</v>
      </c>
      <c r="Y41">
        <v>13547</v>
      </c>
      <c r="Z41">
        <v>12169</v>
      </c>
      <c r="AA41">
        <v>4</v>
      </c>
      <c r="AB41" s="29">
        <v>44773</v>
      </c>
      <c r="AC41" s="29">
        <v>30784</v>
      </c>
      <c r="AD41" s="29">
        <v>37059</v>
      </c>
      <c r="AE41" s="29">
        <v>43303</v>
      </c>
      <c r="AF41">
        <v>17</v>
      </c>
      <c r="AG41" t="s">
        <v>149</v>
      </c>
      <c r="AH41">
        <v>1</v>
      </c>
      <c r="AI41">
        <v>22</v>
      </c>
      <c r="AJ41">
        <v>1</v>
      </c>
      <c r="AK41" t="s">
        <v>163</v>
      </c>
      <c r="AL41" t="s">
        <v>77</v>
      </c>
      <c r="AM41">
        <f t="shared" si="0"/>
        <v>2</v>
      </c>
      <c r="AN41">
        <f t="shared" si="1"/>
        <v>6</v>
      </c>
      <c r="AO41">
        <f t="shared" si="2"/>
        <v>3</v>
      </c>
      <c r="AP41">
        <f t="shared" si="3"/>
        <v>7</v>
      </c>
      <c r="AQ41">
        <f t="shared" si="4"/>
        <v>2001</v>
      </c>
    </row>
    <row r="42" spans="1:43" x14ac:dyDescent="0.35">
      <c r="A42">
        <v>1188</v>
      </c>
      <c r="B42">
        <v>43</v>
      </c>
      <c r="C42" t="s">
        <v>144</v>
      </c>
      <c r="D42" t="s">
        <v>145</v>
      </c>
      <c r="E42" t="s">
        <v>158</v>
      </c>
      <c r="F42" t="s">
        <v>38</v>
      </c>
      <c r="G42" t="s">
        <v>41</v>
      </c>
      <c r="H42" t="s">
        <v>81</v>
      </c>
      <c r="I42" t="s">
        <v>41</v>
      </c>
      <c r="J42" t="s">
        <v>159</v>
      </c>
      <c r="K42" t="s">
        <v>43</v>
      </c>
      <c r="L42" t="s">
        <v>147</v>
      </c>
      <c r="M42" t="s">
        <v>48</v>
      </c>
      <c r="N42" t="s">
        <v>95</v>
      </c>
      <c r="P42" t="s">
        <v>148</v>
      </c>
      <c r="Q42">
        <v>13</v>
      </c>
      <c r="R42">
        <v>8</v>
      </c>
      <c r="S42">
        <v>7</v>
      </c>
      <c r="T42">
        <v>1</v>
      </c>
      <c r="U42">
        <v>3</v>
      </c>
      <c r="V42">
        <v>9</v>
      </c>
      <c r="W42">
        <v>85</v>
      </c>
      <c r="X42">
        <v>1372</v>
      </c>
      <c r="Y42">
        <v>9489</v>
      </c>
      <c r="Z42">
        <v>5346</v>
      </c>
      <c r="AA42">
        <v>2</v>
      </c>
      <c r="AB42" s="29">
        <v>44773</v>
      </c>
      <c r="AC42" s="29">
        <v>29171</v>
      </c>
      <c r="AD42" s="29">
        <v>42075</v>
      </c>
      <c r="AE42" s="29">
        <v>43306</v>
      </c>
      <c r="AF42">
        <v>3</v>
      </c>
      <c r="AG42" t="s">
        <v>153</v>
      </c>
      <c r="AH42">
        <v>1</v>
      </c>
      <c r="AI42">
        <v>40</v>
      </c>
      <c r="AJ42">
        <v>1</v>
      </c>
      <c r="AK42" t="s">
        <v>170</v>
      </c>
      <c r="AL42" t="s">
        <v>77</v>
      </c>
      <c r="AM42">
        <f t="shared" si="0"/>
        <v>1</v>
      </c>
      <c r="AN42">
        <f t="shared" si="1"/>
        <v>3</v>
      </c>
      <c r="AO42">
        <f t="shared" si="2"/>
        <v>3</v>
      </c>
      <c r="AP42">
        <f t="shared" si="3"/>
        <v>7</v>
      </c>
      <c r="AQ42">
        <f t="shared" si="4"/>
        <v>2015</v>
      </c>
    </row>
    <row r="43" spans="1:43" x14ac:dyDescent="0.35">
      <c r="A43">
        <v>1420</v>
      </c>
      <c r="B43">
        <v>49</v>
      </c>
      <c r="C43" t="s">
        <v>144</v>
      </c>
      <c r="D43" t="s">
        <v>151</v>
      </c>
      <c r="E43" t="s">
        <v>4</v>
      </c>
      <c r="F43" t="s">
        <v>36</v>
      </c>
      <c r="G43" t="s">
        <v>41</v>
      </c>
      <c r="H43" t="s">
        <v>82</v>
      </c>
      <c r="I43" t="s">
        <v>42</v>
      </c>
      <c r="J43" t="s">
        <v>155</v>
      </c>
      <c r="K43" t="s">
        <v>41</v>
      </c>
      <c r="L43" t="s">
        <v>152</v>
      </c>
      <c r="M43" t="s">
        <v>49</v>
      </c>
      <c r="N43" t="s">
        <v>95</v>
      </c>
      <c r="P43" t="s">
        <v>148</v>
      </c>
      <c r="Q43">
        <v>20</v>
      </c>
      <c r="R43">
        <v>3</v>
      </c>
      <c r="S43">
        <v>20</v>
      </c>
      <c r="T43">
        <v>1</v>
      </c>
      <c r="U43">
        <v>3</v>
      </c>
      <c r="V43">
        <v>28</v>
      </c>
      <c r="W43">
        <v>97</v>
      </c>
      <c r="X43">
        <v>1475</v>
      </c>
      <c r="Y43">
        <v>22710</v>
      </c>
      <c r="Z43">
        <v>4284</v>
      </c>
      <c r="AA43">
        <v>2</v>
      </c>
      <c r="AB43" s="29">
        <v>44773</v>
      </c>
      <c r="AC43" s="29">
        <v>27111</v>
      </c>
      <c r="AD43" s="29">
        <v>41944</v>
      </c>
      <c r="AE43" s="29">
        <v>43327</v>
      </c>
      <c r="AF43">
        <v>4</v>
      </c>
      <c r="AG43" t="s">
        <v>153</v>
      </c>
      <c r="AH43">
        <v>1</v>
      </c>
      <c r="AI43">
        <v>45</v>
      </c>
      <c r="AJ43">
        <v>1</v>
      </c>
      <c r="AK43" t="s">
        <v>162</v>
      </c>
      <c r="AL43" t="s">
        <v>77</v>
      </c>
      <c r="AM43">
        <f t="shared" si="0"/>
        <v>4</v>
      </c>
      <c r="AN43">
        <f t="shared" si="1"/>
        <v>11</v>
      </c>
      <c r="AO43">
        <f t="shared" si="2"/>
        <v>3</v>
      </c>
      <c r="AP43">
        <f t="shared" si="3"/>
        <v>8</v>
      </c>
      <c r="AQ43">
        <f t="shared" si="4"/>
        <v>2014</v>
      </c>
    </row>
    <row r="44" spans="1:43" x14ac:dyDescent="0.35">
      <c r="A44">
        <v>2032</v>
      </c>
      <c r="B44">
        <v>56</v>
      </c>
      <c r="C44" t="s">
        <v>144</v>
      </c>
      <c r="D44" t="s">
        <v>145</v>
      </c>
      <c r="E44" t="s">
        <v>4</v>
      </c>
      <c r="F44" t="s">
        <v>36</v>
      </c>
      <c r="G44" t="s">
        <v>44</v>
      </c>
      <c r="H44" t="s">
        <v>82</v>
      </c>
      <c r="I44" t="s">
        <v>43</v>
      </c>
      <c r="J44" t="s">
        <v>155</v>
      </c>
      <c r="K44" t="s">
        <v>43</v>
      </c>
      <c r="L44" t="s">
        <v>147</v>
      </c>
      <c r="M44" t="s">
        <v>47</v>
      </c>
      <c r="N44" t="s">
        <v>160</v>
      </c>
      <c r="O44" t="s">
        <v>41</v>
      </c>
      <c r="P44" t="s">
        <v>148</v>
      </c>
      <c r="Q44">
        <v>11</v>
      </c>
      <c r="R44">
        <v>8</v>
      </c>
      <c r="S44">
        <v>14</v>
      </c>
      <c r="T44">
        <v>9</v>
      </c>
      <c r="U44">
        <v>8</v>
      </c>
      <c r="V44">
        <v>7</v>
      </c>
      <c r="W44">
        <v>72</v>
      </c>
      <c r="X44">
        <v>310</v>
      </c>
      <c r="Y44">
        <v>3666</v>
      </c>
      <c r="Z44">
        <v>2339</v>
      </c>
      <c r="AA44">
        <v>4</v>
      </c>
      <c r="AB44" s="29">
        <v>44773</v>
      </c>
      <c r="AC44" s="29">
        <v>24647</v>
      </c>
      <c r="AD44" s="29">
        <v>39827</v>
      </c>
      <c r="AE44" s="29">
        <v>43330</v>
      </c>
      <c r="AF44">
        <v>10</v>
      </c>
      <c r="AG44" t="s">
        <v>167</v>
      </c>
      <c r="AH44">
        <v>1</v>
      </c>
      <c r="AI44">
        <v>46</v>
      </c>
      <c r="AJ44">
        <v>1</v>
      </c>
      <c r="AK44" t="s">
        <v>154</v>
      </c>
      <c r="AL44" t="s">
        <v>77</v>
      </c>
      <c r="AM44">
        <f t="shared" si="0"/>
        <v>1</v>
      </c>
      <c r="AN44">
        <f t="shared" si="1"/>
        <v>1</v>
      </c>
      <c r="AO44">
        <f t="shared" si="2"/>
        <v>3</v>
      </c>
      <c r="AP44">
        <f t="shared" si="3"/>
        <v>8</v>
      </c>
      <c r="AQ44">
        <f t="shared" si="4"/>
        <v>2009</v>
      </c>
    </row>
    <row r="45" spans="1:43" x14ac:dyDescent="0.35">
      <c r="A45">
        <v>1869</v>
      </c>
      <c r="B45">
        <v>46</v>
      </c>
      <c r="C45" t="s">
        <v>144</v>
      </c>
      <c r="D45" t="s">
        <v>145</v>
      </c>
      <c r="E45" t="s">
        <v>158</v>
      </c>
      <c r="F45" t="s">
        <v>38</v>
      </c>
      <c r="G45" t="s">
        <v>43</v>
      </c>
      <c r="H45" t="s">
        <v>81</v>
      </c>
      <c r="I45" t="s">
        <v>43</v>
      </c>
      <c r="J45" t="s">
        <v>159</v>
      </c>
      <c r="K45" t="s">
        <v>42</v>
      </c>
      <c r="L45" t="s">
        <v>152</v>
      </c>
      <c r="M45" t="s">
        <v>49</v>
      </c>
      <c r="N45" t="s">
        <v>160</v>
      </c>
      <c r="O45" t="s">
        <v>43</v>
      </c>
      <c r="P45" t="s">
        <v>148</v>
      </c>
      <c r="Q45">
        <v>21</v>
      </c>
      <c r="R45">
        <v>5</v>
      </c>
      <c r="S45">
        <v>14</v>
      </c>
      <c r="T45">
        <v>0</v>
      </c>
      <c r="U45">
        <v>7</v>
      </c>
      <c r="V45">
        <v>10</v>
      </c>
      <c r="W45">
        <v>64</v>
      </c>
      <c r="X45">
        <v>1254</v>
      </c>
      <c r="Y45">
        <v>14011</v>
      </c>
      <c r="Z45">
        <v>7314</v>
      </c>
      <c r="AA45">
        <v>2</v>
      </c>
      <c r="AB45" s="29">
        <v>44773</v>
      </c>
      <c r="AC45" s="29">
        <v>28253</v>
      </c>
      <c r="AD45" s="29">
        <v>40560</v>
      </c>
      <c r="AE45" s="29">
        <v>43344</v>
      </c>
      <c r="AF45">
        <v>8</v>
      </c>
      <c r="AG45" t="s">
        <v>153</v>
      </c>
      <c r="AH45">
        <v>1</v>
      </c>
      <c r="AI45">
        <v>38</v>
      </c>
      <c r="AJ45">
        <v>1</v>
      </c>
      <c r="AK45" t="s">
        <v>150</v>
      </c>
      <c r="AL45" t="s">
        <v>78</v>
      </c>
      <c r="AM45">
        <f t="shared" si="0"/>
        <v>1</v>
      </c>
      <c r="AN45">
        <f t="shared" si="1"/>
        <v>1</v>
      </c>
      <c r="AO45">
        <f t="shared" si="2"/>
        <v>3</v>
      </c>
      <c r="AP45">
        <f t="shared" si="3"/>
        <v>9</v>
      </c>
      <c r="AQ45">
        <f t="shared" si="4"/>
        <v>2011</v>
      </c>
    </row>
    <row r="46" spans="1:43" x14ac:dyDescent="0.35">
      <c r="A46">
        <v>315</v>
      </c>
      <c r="B46">
        <v>29</v>
      </c>
      <c r="C46" t="s">
        <v>144</v>
      </c>
      <c r="D46" t="s">
        <v>145</v>
      </c>
      <c r="E46" t="s">
        <v>4</v>
      </c>
      <c r="F46" t="s">
        <v>35</v>
      </c>
      <c r="G46" t="s">
        <v>43</v>
      </c>
      <c r="H46" t="s">
        <v>82</v>
      </c>
      <c r="I46" t="s">
        <v>42</v>
      </c>
      <c r="J46" t="s">
        <v>146</v>
      </c>
      <c r="K46" t="s">
        <v>44</v>
      </c>
      <c r="L46" t="s">
        <v>41</v>
      </c>
      <c r="M46" t="s">
        <v>48</v>
      </c>
      <c r="N46" t="s">
        <v>95</v>
      </c>
      <c r="P46" t="s">
        <v>144</v>
      </c>
      <c r="Q46">
        <v>13</v>
      </c>
      <c r="R46">
        <v>1</v>
      </c>
      <c r="S46">
        <v>4</v>
      </c>
      <c r="T46">
        <v>0</v>
      </c>
      <c r="U46">
        <v>1</v>
      </c>
      <c r="V46">
        <v>18</v>
      </c>
      <c r="W46">
        <v>86</v>
      </c>
      <c r="X46">
        <v>896</v>
      </c>
      <c r="Y46">
        <v>14961</v>
      </c>
      <c r="Z46">
        <v>2389</v>
      </c>
      <c r="AA46">
        <v>3</v>
      </c>
      <c r="AB46" s="29">
        <v>44773</v>
      </c>
      <c r="AC46" s="29">
        <v>34455</v>
      </c>
      <c r="AD46" s="29">
        <v>42056</v>
      </c>
      <c r="AE46" s="29">
        <v>43353</v>
      </c>
      <c r="AF46">
        <v>4</v>
      </c>
      <c r="AG46" t="s">
        <v>157</v>
      </c>
      <c r="AH46">
        <v>2</v>
      </c>
      <c r="AI46">
        <v>25</v>
      </c>
      <c r="AJ46">
        <v>1</v>
      </c>
      <c r="AK46" t="s">
        <v>162</v>
      </c>
      <c r="AL46" t="s">
        <v>77</v>
      </c>
      <c r="AM46">
        <f t="shared" si="0"/>
        <v>1</v>
      </c>
      <c r="AN46">
        <f t="shared" si="1"/>
        <v>2</v>
      </c>
      <c r="AO46">
        <f t="shared" si="2"/>
        <v>3</v>
      </c>
      <c r="AP46">
        <f t="shared" si="3"/>
        <v>9</v>
      </c>
      <c r="AQ46">
        <f t="shared" si="4"/>
        <v>2015</v>
      </c>
    </row>
    <row r="47" spans="1:43" x14ac:dyDescent="0.35">
      <c r="A47">
        <v>142</v>
      </c>
      <c r="B47">
        <v>25</v>
      </c>
      <c r="C47" t="s">
        <v>144</v>
      </c>
      <c r="D47" t="s">
        <v>145</v>
      </c>
      <c r="E47" t="s">
        <v>158</v>
      </c>
      <c r="F47" t="s">
        <v>38</v>
      </c>
      <c r="G47" t="s">
        <v>43</v>
      </c>
      <c r="H47" t="s">
        <v>82</v>
      </c>
      <c r="I47" t="s">
        <v>42</v>
      </c>
      <c r="J47" t="s">
        <v>159</v>
      </c>
      <c r="K47" t="s">
        <v>43</v>
      </c>
      <c r="L47" t="s">
        <v>147</v>
      </c>
      <c r="M47" t="s">
        <v>49</v>
      </c>
      <c r="N47" t="s">
        <v>95</v>
      </c>
      <c r="P47" t="s">
        <v>144</v>
      </c>
      <c r="Q47">
        <v>11</v>
      </c>
      <c r="R47">
        <v>1</v>
      </c>
      <c r="S47">
        <v>6</v>
      </c>
      <c r="T47">
        <v>0</v>
      </c>
      <c r="U47">
        <v>3</v>
      </c>
      <c r="V47">
        <v>5</v>
      </c>
      <c r="W47">
        <v>46</v>
      </c>
      <c r="X47">
        <v>240</v>
      </c>
      <c r="Y47">
        <v>26959</v>
      </c>
      <c r="Z47">
        <v>5744</v>
      </c>
      <c r="AA47">
        <v>1</v>
      </c>
      <c r="AB47" s="29">
        <v>44773</v>
      </c>
      <c r="AC47" s="29">
        <v>35994</v>
      </c>
      <c r="AD47" s="29">
        <v>41310</v>
      </c>
      <c r="AE47" s="29">
        <v>43356</v>
      </c>
      <c r="AF47">
        <v>6</v>
      </c>
      <c r="AG47" t="s">
        <v>157</v>
      </c>
      <c r="AH47">
        <v>1</v>
      </c>
      <c r="AI47">
        <v>19</v>
      </c>
      <c r="AJ47">
        <v>1</v>
      </c>
      <c r="AK47" t="s">
        <v>150</v>
      </c>
      <c r="AL47" t="s">
        <v>77</v>
      </c>
      <c r="AM47">
        <f t="shared" si="0"/>
        <v>1</v>
      </c>
      <c r="AN47">
        <f t="shared" si="1"/>
        <v>2</v>
      </c>
      <c r="AO47">
        <f t="shared" si="2"/>
        <v>3</v>
      </c>
      <c r="AP47">
        <f t="shared" si="3"/>
        <v>9</v>
      </c>
      <c r="AQ47">
        <f t="shared" si="4"/>
        <v>2013</v>
      </c>
    </row>
    <row r="48" spans="1:43" x14ac:dyDescent="0.35">
      <c r="A48">
        <v>796</v>
      </c>
      <c r="B48">
        <v>26</v>
      </c>
      <c r="C48" t="s">
        <v>144</v>
      </c>
      <c r="D48" t="s">
        <v>145</v>
      </c>
      <c r="E48" t="s">
        <v>158</v>
      </c>
      <c r="F48" t="s">
        <v>38</v>
      </c>
      <c r="G48" t="s">
        <v>44</v>
      </c>
      <c r="H48" t="s">
        <v>82</v>
      </c>
      <c r="I48" t="s">
        <v>42</v>
      </c>
      <c r="J48" t="s">
        <v>159</v>
      </c>
      <c r="K48" t="s">
        <v>41</v>
      </c>
      <c r="L48" t="s">
        <v>48</v>
      </c>
      <c r="M48" t="s">
        <v>48</v>
      </c>
      <c r="N48" t="s">
        <v>95</v>
      </c>
      <c r="P48" t="s">
        <v>148</v>
      </c>
      <c r="Q48">
        <v>17</v>
      </c>
      <c r="R48">
        <v>6</v>
      </c>
      <c r="S48">
        <v>6</v>
      </c>
      <c r="T48">
        <v>1</v>
      </c>
      <c r="U48">
        <v>2</v>
      </c>
      <c r="V48">
        <v>8</v>
      </c>
      <c r="W48">
        <v>38</v>
      </c>
      <c r="X48">
        <v>1146</v>
      </c>
      <c r="Y48">
        <v>3064</v>
      </c>
      <c r="Z48">
        <v>5326</v>
      </c>
      <c r="AA48">
        <v>2</v>
      </c>
      <c r="AB48" s="29">
        <v>44773</v>
      </c>
      <c r="AC48" s="29">
        <v>35562</v>
      </c>
      <c r="AD48" s="29">
        <v>42090</v>
      </c>
      <c r="AE48" s="29">
        <v>43358</v>
      </c>
      <c r="AF48">
        <v>3</v>
      </c>
      <c r="AG48" t="s">
        <v>157</v>
      </c>
      <c r="AH48">
        <v>1</v>
      </c>
      <c r="AI48">
        <v>23</v>
      </c>
      <c r="AJ48">
        <v>1</v>
      </c>
      <c r="AK48" t="s">
        <v>170</v>
      </c>
      <c r="AL48" t="s">
        <v>78</v>
      </c>
      <c r="AM48">
        <f t="shared" si="0"/>
        <v>1</v>
      </c>
      <c r="AN48">
        <f t="shared" si="1"/>
        <v>3</v>
      </c>
      <c r="AO48">
        <f t="shared" si="2"/>
        <v>3</v>
      </c>
      <c r="AP48">
        <f t="shared" si="3"/>
        <v>9</v>
      </c>
      <c r="AQ48">
        <f t="shared" si="4"/>
        <v>2015</v>
      </c>
    </row>
    <row r="49" spans="1:43" x14ac:dyDescent="0.35">
      <c r="A49">
        <v>1106</v>
      </c>
      <c r="B49">
        <v>25</v>
      </c>
      <c r="C49" t="s">
        <v>144</v>
      </c>
      <c r="D49" t="s">
        <v>145</v>
      </c>
      <c r="E49" t="s">
        <v>4</v>
      </c>
      <c r="F49" t="s">
        <v>35</v>
      </c>
      <c r="G49" t="s">
        <v>44</v>
      </c>
      <c r="H49" t="s">
        <v>82</v>
      </c>
      <c r="I49" t="s">
        <v>43</v>
      </c>
      <c r="J49" t="s">
        <v>155</v>
      </c>
      <c r="K49" t="s">
        <v>44</v>
      </c>
      <c r="L49" t="s">
        <v>147</v>
      </c>
      <c r="M49" t="s">
        <v>50</v>
      </c>
      <c r="N49" t="s">
        <v>160</v>
      </c>
      <c r="O49" t="s">
        <v>41</v>
      </c>
      <c r="P49" t="s">
        <v>144</v>
      </c>
      <c r="Q49">
        <v>15</v>
      </c>
      <c r="R49">
        <v>1</v>
      </c>
      <c r="S49">
        <v>7</v>
      </c>
      <c r="T49">
        <v>5</v>
      </c>
      <c r="U49">
        <v>6</v>
      </c>
      <c r="V49">
        <v>4</v>
      </c>
      <c r="W49">
        <v>32</v>
      </c>
      <c r="X49">
        <v>1219</v>
      </c>
      <c r="Y49">
        <v>4605</v>
      </c>
      <c r="Z49">
        <v>3691</v>
      </c>
      <c r="AA49">
        <v>3</v>
      </c>
      <c r="AB49" s="29">
        <v>44773</v>
      </c>
      <c r="AC49" s="29">
        <v>35978</v>
      </c>
      <c r="AD49" s="29">
        <v>41119</v>
      </c>
      <c r="AE49" s="29">
        <v>43359</v>
      </c>
      <c r="AF49">
        <v>6</v>
      </c>
      <c r="AG49" t="s">
        <v>157</v>
      </c>
      <c r="AH49">
        <v>1</v>
      </c>
      <c r="AI49">
        <v>19</v>
      </c>
      <c r="AJ49">
        <v>1</v>
      </c>
      <c r="AK49" t="s">
        <v>150</v>
      </c>
      <c r="AL49" t="s">
        <v>77</v>
      </c>
      <c r="AM49">
        <f t="shared" si="0"/>
        <v>3</v>
      </c>
      <c r="AN49">
        <f t="shared" si="1"/>
        <v>7</v>
      </c>
      <c r="AO49">
        <f t="shared" si="2"/>
        <v>3</v>
      </c>
      <c r="AP49">
        <f t="shared" si="3"/>
        <v>9</v>
      </c>
      <c r="AQ49">
        <f t="shared" si="4"/>
        <v>2012</v>
      </c>
    </row>
    <row r="50" spans="1:43" x14ac:dyDescent="0.35">
      <c r="A50">
        <v>291</v>
      </c>
      <c r="B50">
        <v>32</v>
      </c>
      <c r="C50" t="s">
        <v>144</v>
      </c>
      <c r="D50" t="s">
        <v>145</v>
      </c>
      <c r="E50" t="s">
        <v>158</v>
      </c>
      <c r="F50" t="s">
        <v>37</v>
      </c>
      <c r="G50" t="s">
        <v>44</v>
      </c>
      <c r="H50" t="s">
        <v>82</v>
      </c>
      <c r="I50" t="s">
        <v>41</v>
      </c>
      <c r="J50" t="s">
        <v>159</v>
      </c>
      <c r="K50" t="s">
        <v>44</v>
      </c>
      <c r="L50" t="s">
        <v>147</v>
      </c>
      <c r="M50" t="s">
        <v>48</v>
      </c>
      <c r="N50" t="s">
        <v>160</v>
      </c>
      <c r="P50" t="s">
        <v>148</v>
      </c>
      <c r="Q50">
        <v>11</v>
      </c>
      <c r="R50">
        <v>1</v>
      </c>
      <c r="S50">
        <v>14</v>
      </c>
      <c r="T50">
        <v>9</v>
      </c>
      <c r="U50">
        <v>8</v>
      </c>
      <c r="V50">
        <v>4</v>
      </c>
      <c r="W50">
        <v>32</v>
      </c>
      <c r="X50">
        <v>1045</v>
      </c>
      <c r="Y50">
        <v>25812</v>
      </c>
      <c r="Z50">
        <v>10400</v>
      </c>
      <c r="AA50">
        <v>2</v>
      </c>
      <c r="AB50" s="29">
        <v>44773</v>
      </c>
      <c r="AC50" s="29">
        <v>33129</v>
      </c>
      <c r="AD50" s="29">
        <v>38523</v>
      </c>
      <c r="AE50" s="29">
        <v>43371</v>
      </c>
      <c r="AF50">
        <v>13</v>
      </c>
      <c r="AG50" t="s">
        <v>149</v>
      </c>
      <c r="AH50">
        <v>1</v>
      </c>
      <c r="AI50">
        <v>19</v>
      </c>
      <c r="AJ50">
        <v>1</v>
      </c>
      <c r="AK50" t="s">
        <v>154</v>
      </c>
      <c r="AL50" t="s">
        <v>77</v>
      </c>
      <c r="AM50">
        <f t="shared" si="0"/>
        <v>2</v>
      </c>
      <c r="AN50">
        <f t="shared" si="1"/>
        <v>6</v>
      </c>
      <c r="AO50">
        <f t="shared" si="2"/>
        <v>3</v>
      </c>
      <c r="AP50">
        <f t="shared" si="3"/>
        <v>9</v>
      </c>
      <c r="AQ50">
        <f t="shared" si="4"/>
        <v>2005</v>
      </c>
    </row>
    <row r="51" spans="1:43" x14ac:dyDescent="0.35">
      <c r="A51">
        <v>492</v>
      </c>
      <c r="B51">
        <v>40</v>
      </c>
      <c r="C51" t="s">
        <v>144</v>
      </c>
      <c r="D51" t="s">
        <v>145</v>
      </c>
      <c r="E51" t="s">
        <v>158</v>
      </c>
      <c r="F51" t="s">
        <v>36</v>
      </c>
      <c r="G51" t="s">
        <v>43</v>
      </c>
      <c r="H51" t="s">
        <v>82</v>
      </c>
      <c r="I51" t="s">
        <v>42</v>
      </c>
      <c r="J51" t="s">
        <v>159</v>
      </c>
      <c r="K51" t="s">
        <v>43</v>
      </c>
      <c r="L51" t="s">
        <v>48</v>
      </c>
      <c r="M51" t="s">
        <v>49</v>
      </c>
      <c r="N51" t="s">
        <v>160</v>
      </c>
      <c r="O51" t="s">
        <v>156</v>
      </c>
      <c r="P51" t="s">
        <v>144</v>
      </c>
      <c r="Q51">
        <v>12</v>
      </c>
      <c r="R51">
        <v>2</v>
      </c>
      <c r="S51">
        <v>8</v>
      </c>
      <c r="T51">
        <v>1</v>
      </c>
      <c r="U51">
        <v>0</v>
      </c>
      <c r="V51">
        <v>22</v>
      </c>
      <c r="W51">
        <v>68</v>
      </c>
      <c r="X51">
        <v>575</v>
      </c>
      <c r="Y51">
        <v>6110</v>
      </c>
      <c r="Z51">
        <v>6380</v>
      </c>
      <c r="AA51">
        <v>6</v>
      </c>
      <c r="AB51" s="29">
        <v>44773</v>
      </c>
      <c r="AC51" s="29">
        <v>30191</v>
      </c>
      <c r="AD51" s="29">
        <v>41390</v>
      </c>
      <c r="AE51" s="29">
        <v>43372</v>
      </c>
      <c r="AF51">
        <v>5</v>
      </c>
      <c r="AG51" t="s">
        <v>153</v>
      </c>
      <c r="AH51">
        <v>2</v>
      </c>
      <c r="AI51">
        <v>35</v>
      </c>
      <c r="AJ51">
        <v>1</v>
      </c>
      <c r="AK51" t="s">
        <v>162</v>
      </c>
      <c r="AL51" t="s">
        <v>77</v>
      </c>
      <c r="AM51">
        <f t="shared" si="0"/>
        <v>2</v>
      </c>
      <c r="AN51">
        <f t="shared" si="1"/>
        <v>4</v>
      </c>
      <c r="AO51">
        <f t="shared" si="2"/>
        <v>3</v>
      </c>
      <c r="AP51">
        <f t="shared" si="3"/>
        <v>9</v>
      </c>
      <c r="AQ51">
        <f t="shared" si="4"/>
        <v>2013</v>
      </c>
    </row>
    <row r="52" spans="1:43" x14ac:dyDescent="0.35">
      <c r="A52">
        <v>1939</v>
      </c>
      <c r="B52">
        <v>32</v>
      </c>
      <c r="C52" t="s">
        <v>144</v>
      </c>
      <c r="D52" t="s">
        <v>151</v>
      </c>
      <c r="E52" t="s">
        <v>4</v>
      </c>
      <c r="F52" t="s">
        <v>36</v>
      </c>
      <c r="G52" t="s">
        <v>41</v>
      </c>
      <c r="H52" t="s">
        <v>81</v>
      </c>
      <c r="I52" t="s">
        <v>44</v>
      </c>
      <c r="J52" t="s">
        <v>146</v>
      </c>
      <c r="K52" t="s">
        <v>43</v>
      </c>
      <c r="L52" t="s">
        <v>147</v>
      </c>
      <c r="M52" t="s">
        <v>49</v>
      </c>
      <c r="N52" t="s">
        <v>95</v>
      </c>
      <c r="P52" t="s">
        <v>144</v>
      </c>
      <c r="Q52">
        <v>14</v>
      </c>
      <c r="R52">
        <v>3</v>
      </c>
      <c r="S52">
        <v>8</v>
      </c>
      <c r="T52">
        <v>0</v>
      </c>
      <c r="U52">
        <v>3</v>
      </c>
      <c r="V52">
        <v>5</v>
      </c>
      <c r="W52">
        <v>47</v>
      </c>
      <c r="X52">
        <v>238</v>
      </c>
      <c r="Y52">
        <v>15318</v>
      </c>
      <c r="Z52">
        <v>2432</v>
      </c>
      <c r="AA52">
        <v>2</v>
      </c>
      <c r="AB52" s="29">
        <v>44773</v>
      </c>
      <c r="AC52" s="29">
        <v>33238</v>
      </c>
      <c r="AD52" s="29">
        <v>42106</v>
      </c>
      <c r="AE52" s="29">
        <v>43399</v>
      </c>
      <c r="AF52">
        <v>4</v>
      </c>
      <c r="AG52" t="s">
        <v>149</v>
      </c>
      <c r="AH52">
        <v>1</v>
      </c>
      <c r="AI52">
        <v>28</v>
      </c>
      <c r="AJ52">
        <v>1</v>
      </c>
      <c r="AK52" t="s">
        <v>162</v>
      </c>
      <c r="AL52" t="s">
        <v>77</v>
      </c>
      <c r="AM52">
        <f t="shared" si="0"/>
        <v>2</v>
      </c>
      <c r="AN52">
        <f t="shared" si="1"/>
        <v>4</v>
      </c>
      <c r="AO52">
        <f t="shared" si="2"/>
        <v>4</v>
      </c>
      <c r="AP52">
        <f t="shared" si="3"/>
        <v>10</v>
      </c>
      <c r="AQ52">
        <f t="shared" si="4"/>
        <v>2015</v>
      </c>
    </row>
    <row r="53" spans="1:43" x14ac:dyDescent="0.35">
      <c r="A53">
        <v>510</v>
      </c>
      <c r="B53">
        <v>26</v>
      </c>
      <c r="C53" t="s">
        <v>144</v>
      </c>
      <c r="D53" t="s">
        <v>151</v>
      </c>
      <c r="E53" t="s">
        <v>4</v>
      </c>
      <c r="F53" t="s">
        <v>35</v>
      </c>
      <c r="G53" t="s">
        <v>43</v>
      </c>
      <c r="H53" t="s">
        <v>82</v>
      </c>
      <c r="I53" t="s">
        <v>43</v>
      </c>
      <c r="J53" t="s">
        <v>146</v>
      </c>
      <c r="K53" t="s">
        <v>41</v>
      </c>
      <c r="L53" t="s">
        <v>152</v>
      </c>
      <c r="M53" t="s">
        <v>49</v>
      </c>
      <c r="N53" t="s">
        <v>95</v>
      </c>
      <c r="P53" t="s">
        <v>148</v>
      </c>
      <c r="Q53">
        <v>22</v>
      </c>
      <c r="R53">
        <v>0</v>
      </c>
      <c r="S53">
        <v>7</v>
      </c>
      <c r="T53">
        <v>0</v>
      </c>
      <c r="U53">
        <v>4</v>
      </c>
      <c r="V53">
        <v>3</v>
      </c>
      <c r="W53">
        <v>73</v>
      </c>
      <c r="X53">
        <v>575</v>
      </c>
      <c r="Y53">
        <v>6582</v>
      </c>
      <c r="Z53">
        <v>3102</v>
      </c>
      <c r="AA53">
        <v>2</v>
      </c>
      <c r="AB53" s="29">
        <v>44773</v>
      </c>
      <c r="AC53" s="29">
        <v>35626</v>
      </c>
      <c r="AD53" s="29">
        <v>41555</v>
      </c>
      <c r="AE53" s="29">
        <v>43410</v>
      </c>
      <c r="AF53">
        <v>5</v>
      </c>
      <c r="AG53" t="s">
        <v>157</v>
      </c>
      <c r="AH53">
        <v>1</v>
      </c>
      <c r="AI53">
        <v>21</v>
      </c>
      <c r="AJ53">
        <v>1</v>
      </c>
      <c r="AK53" t="s">
        <v>162</v>
      </c>
      <c r="AL53" t="s">
        <v>77</v>
      </c>
      <c r="AM53">
        <f t="shared" si="0"/>
        <v>4</v>
      </c>
      <c r="AN53">
        <f t="shared" si="1"/>
        <v>10</v>
      </c>
      <c r="AO53">
        <f t="shared" si="2"/>
        <v>4</v>
      </c>
      <c r="AP53">
        <f t="shared" si="3"/>
        <v>11</v>
      </c>
      <c r="AQ53">
        <f t="shared" si="4"/>
        <v>2013</v>
      </c>
    </row>
    <row r="54" spans="1:43" x14ac:dyDescent="0.35">
      <c r="A54">
        <v>1747</v>
      </c>
      <c r="B54">
        <v>30</v>
      </c>
      <c r="C54" t="s">
        <v>144</v>
      </c>
      <c r="D54" t="s">
        <v>151</v>
      </c>
      <c r="E54" t="s">
        <v>168</v>
      </c>
      <c r="F54" t="s">
        <v>38</v>
      </c>
      <c r="G54" t="s">
        <v>43</v>
      </c>
      <c r="H54" t="s">
        <v>81</v>
      </c>
      <c r="I54" t="s">
        <v>42</v>
      </c>
      <c r="J54" t="s">
        <v>168</v>
      </c>
      <c r="K54" t="s">
        <v>44</v>
      </c>
      <c r="L54" t="s">
        <v>147</v>
      </c>
      <c r="M54" t="s">
        <v>48</v>
      </c>
      <c r="N54" t="s">
        <v>96</v>
      </c>
      <c r="O54" t="s">
        <v>41</v>
      </c>
      <c r="P54" t="s">
        <v>148</v>
      </c>
      <c r="Q54">
        <v>11</v>
      </c>
      <c r="R54">
        <v>6</v>
      </c>
      <c r="S54">
        <v>6</v>
      </c>
      <c r="T54">
        <v>1</v>
      </c>
      <c r="U54">
        <v>2</v>
      </c>
      <c r="V54">
        <v>8</v>
      </c>
      <c r="W54">
        <v>66</v>
      </c>
      <c r="X54">
        <v>600</v>
      </c>
      <c r="Y54">
        <v>9732</v>
      </c>
      <c r="Z54">
        <v>2180</v>
      </c>
      <c r="AA54">
        <v>0</v>
      </c>
      <c r="AB54" s="29">
        <v>44773</v>
      </c>
      <c r="AC54" s="29">
        <v>34015</v>
      </c>
      <c r="AD54" s="29">
        <v>42133</v>
      </c>
      <c r="AE54" s="29">
        <v>43426</v>
      </c>
      <c r="AF54">
        <v>4</v>
      </c>
      <c r="AG54" t="s">
        <v>149</v>
      </c>
      <c r="AH54">
        <v>1</v>
      </c>
      <c r="AI54">
        <v>26</v>
      </c>
      <c r="AJ54">
        <v>1</v>
      </c>
      <c r="AK54" t="s">
        <v>162</v>
      </c>
      <c r="AL54" t="s">
        <v>77</v>
      </c>
      <c r="AM54">
        <f t="shared" si="0"/>
        <v>2</v>
      </c>
      <c r="AN54">
        <f t="shared" si="1"/>
        <v>5</v>
      </c>
      <c r="AO54">
        <f t="shared" si="2"/>
        <v>4</v>
      </c>
      <c r="AP54">
        <f t="shared" si="3"/>
        <v>11</v>
      </c>
      <c r="AQ54">
        <f t="shared" si="4"/>
        <v>2015</v>
      </c>
    </row>
    <row r="55" spans="1:43" x14ac:dyDescent="0.35">
      <c r="A55">
        <v>1081</v>
      </c>
      <c r="B55">
        <v>51</v>
      </c>
      <c r="C55" t="s">
        <v>144</v>
      </c>
      <c r="D55" t="s">
        <v>145</v>
      </c>
      <c r="E55" t="s">
        <v>4</v>
      </c>
      <c r="F55" t="s">
        <v>37</v>
      </c>
      <c r="G55" t="s">
        <v>41</v>
      </c>
      <c r="H55" t="s">
        <v>82</v>
      </c>
      <c r="I55" t="s">
        <v>43</v>
      </c>
      <c r="J55" t="s">
        <v>146</v>
      </c>
      <c r="K55" t="s">
        <v>43</v>
      </c>
      <c r="L55" t="s">
        <v>147</v>
      </c>
      <c r="M55" t="s">
        <v>50</v>
      </c>
      <c r="N55" t="s">
        <v>160</v>
      </c>
      <c r="O55" t="s">
        <v>43</v>
      </c>
      <c r="P55" t="s">
        <v>144</v>
      </c>
      <c r="Q55">
        <v>12</v>
      </c>
      <c r="R55">
        <v>9</v>
      </c>
      <c r="S55">
        <v>18</v>
      </c>
      <c r="T55">
        <v>2</v>
      </c>
      <c r="U55">
        <v>7</v>
      </c>
      <c r="V55">
        <v>4</v>
      </c>
      <c r="W55">
        <v>34</v>
      </c>
      <c r="X55">
        <v>1323</v>
      </c>
      <c r="Y55">
        <v>10332</v>
      </c>
      <c r="Z55">
        <v>2461</v>
      </c>
      <c r="AA55">
        <v>2</v>
      </c>
      <c r="AB55" s="29">
        <v>44773</v>
      </c>
      <c r="AC55" s="29">
        <v>26396</v>
      </c>
      <c r="AD55" s="29">
        <v>40000</v>
      </c>
      <c r="AE55" s="29">
        <v>43435</v>
      </c>
      <c r="AF55">
        <v>9</v>
      </c>
      <c r="AG55" t="s">
        <v>167</v>
      </c>
      <c r="AH55">
        <v>1</v>
      </c>
      <c r="AI55">
        <v>42</v>
      </c>
      <c r="AJ55">
        <v>1</v>
      </c>
      <c r="AK55" t="s">
        <v>150</v>
      </c>
      <c r="AL55" t="s">
        <v>77</v>
      </c>
      <c r="AM55">
        <f t="shared" si="0"/>
        <v>3</v>
      </c>
      <c r="AN55">
        <f t="shared" si="1"/>
        <v>7</v>
      </c>
      <c r="AO55">
        <f t="shared" si="2"/>
        <v>4</v>
      </c>
      <c r="AP55">
        <f t="shared" si="3"/>
        <v>12</v>
      </c>
      <c r="AQ55">
        <f t="shared" si="4"/>
        <v>2009</v>
      </c>
    </row>
    <row r="56" spans="1:43" x14ac:dyDescent="0.35">
      <c r="A56">
        <v>1038</v>
      </c>
      <c r="B56">
        <v>52</v>
      </c>
      <c r="C56" t="s">
        <v>144</v>
      </c>
      <c r="D56" t="s">
        <v>145</v>
      </c>
      <c r="E56" t="s">
        <v>158</v>
      </c>
      <c r="F56" t="s">
        <v>35</v>
      </c>
      <c r="G56" t="s">
        <v>41</v>
      </c>
      <c r="H56" t="s">
        <v>81</v>
      </c>
      <c r="I56" t="s">
        <v>41</v>
      </c>
      <c r="J56" t="s">
        <v>169</v>
      </c>
      <c r="K56" t="s">
        <v>44</v>
      </c>
      <c r="L56" t="s">
        <v>147</v>
      </c>
      <c r="M56" t="s">
        <v>49</v>
      </c>
      <c r="N56" t="s">
        <v>160</v>
      </c>
      <c r="O56" t="s">
        <v>41</v>
      </c>
      <c r="P56" t="s">
        <v>148</v>
      </c>
      <c r="Q56">
        <v>15</v>
      </c>
      <c r="R56">
        <v>1</v>
      </c>
      <c r="S56">
        <v>33</v>
      </c>
      <c r="T56">
        <v>6</v>
      </c>
      <c r="U56">
        <v>9</v>
      </c>
      <c r="V56">
        <v>2</v>
      </c>
      <c r="W56">
        <v>57</v>
      </c>
      <c r="X56">
        <v>266</v>
      </c>
      <c r="Y56">
        <v>25846</v>
      </c>
      <c r="Z56">
        <v>19845</v>
      </c>
      <c r="AA56">
        <v>3</v>
      </c>
      <c r="AB56" s="29">
        <v>44773</v>
      </c>
      <c r="AC56" s="29">
        <v>25923</v>
      </c>
      <c r="AD56" s="29">
        <v>32014</v>
      </c>
      <c r="AE56" s="29">
        <v>43438</v>
      </c>
      <c r="AF56">
        <v>31</v>
      </c>
      <c r="AG56" t="s">
        <v>167</v>
      </c>
      <c r="AH56">
        <v>1</v>
      </c>
      <c r="AI56">
        <v>21</v>
      </c>
      <c r="AJ56">
        <v>1</v>
      </c>
      <c r="AK56" t="s">
        <v>163</v>
      </c>
      <c r="AL56" t="s">
        <v>77</v>
      </c>
      <c r="AM56">
        <f t="shared" si="0"/>
        <v>3</v>
      </c>
      <c r="AN56">
        <f t="shared" si="1"/>
        <v>8</v>
      </c>
      <c r="AO56">
        <f t="shared" si="2"/>
        <v>4</v>
      </c>
      <c r="AP56">
        <f t="shared" si="3"/>
        <v>12</v>
      </c>
      <c r="AQ56">
        <f t="shared" si="4"/>
        <v>1987</v>
      </c>
    </row>
    <row r="57" spans="1:43" x14ac:dyDescent="0.35">
      <c r="A57">
        <v>1277</v>
      </c>
      <c r="B57">
        <v>45</v>
      </c>
      <c r="C57" t="s">
        <v>144</v>
      </c>
      <c r="D57" t="s">
        <v>145</v>
      </c>
      <c r="E57" t="s">
        <v>158</v>
      </c>
      <c r="F57" t="s">
        <v>38</v>
      </c>
      <c r="G57" t="s">
        <v>41</v>
      </c>
      <c r="H57" t="s">
        <v>81</v>
      </c>
      <c r="I57" t="s">
        <v>41</v>
      </c>
      <c r="J57" t="s">
        <v>169</v>
      </c>
      <c r="K57" t="s">
        <v>42</v>
      </c>
      <c r="L57" t="s">
        <v>48</v>
      </c>
      <c r="M57" t="s">
        <v>49</v>
      </c>
      <c r="N57" t="s">
        <v>95</v>
      </c>
      <c r="P57" t="s">
        <v>144</v>
      </c>
      <c r="Q57">
        <v>16</v>
      </c>
      <c r="R57">
        <v>2</v>
      </c>
      <c r="S57">
        <v>26</v>
      </c>
      <c r="T57">
        <v>1</v>
      </c>
      <c r="U57">
        <v>11</v>
      </c>
      <c r="V57">
        <v>2</v>
      </c>
      <c r="W57">
        <v>94</v>
      </c>
      <c r="X57">
        <v>1449</v>
      </c>
      <c r="Y57">
        <v>2493</v>
      </c>
      <c r="Z57">
        <v>18824</v>
      </c>
      <c r="AA57">
        <v>2</v>
      </c>
      <c r="AB57" s="29">
        <v>44773</v>
      </c>
      <c r="AC57" s="29">
        <v>28460</v>
      </c>
      <c r="AD57" s="29">
        <v>34898</v>
      </c>
      <c r="AE57" s="29">
        <v>43445</v>
      </c>
      <c r="AF57">
        <v>23</v>
      </c>
      <c r="AG57" t="s">
        <v>153</v>
      </c>
      <c r="AH57">
        <v>2</v>
      </c>
      <c r="AI57">
        <v>22</v>
      </c>
      <c r="AJ57">
        <v>1</v>
      </c>
      <c r="AK57" t="s">
        <v>163</v>
      </c>
      <c r="AL57" t="s">
        <v>77</v>
      </c>
      <c r="AM57">
        <f t="shared" si="0"/>
        <v>3</v>
      </c>
      <c r="AN57">
        <f t="shared" si="1"/>
        <v>7</v>
      </c>
      <c r="AO57">
        <f t="shared" si="2"/>
        <v>4</v>
      </c>
      <c r="AP57">
        <f t="shared" si="3"/>
        <v>12</v>
      </c>
      <c r="AQ57">
        <f t="shared" si="4"/>
        <v>1995</v>
      </c>
    </row>
    <row r="58" spans="1:43" x14ac:dyDescent="0.35">
      <c r="A58">
        <v>667</v>
      </c>
      <c r="B58">
        <v>27</v>
      </c>
      <c r="C58" t="s">
        <v>144</v>
      </c>
      <c r="D58" t="s">
        <v>145</v>
      </c>
      <c r="E58" t="s">
        <v>158</v>
      </c>
      <c r="F58" t="s">
        <v>35</v>
      </c>
      <c r="G58" t="s">
        <v>43</v>
      </c>
      <c r="H58" t="s">
        <v>82</v>
      </c>
      <c r="I58" t="s">
        <v>43</v>
      </c>
      <c r="J58" t="s">
        <v>166</v>
      </c>
      <c r="K58" t="s">
        <v>41</v>
      </c>
      <c r="L58" t="s">
        <v>147</v>
      </c>
      <c r="M58" t="s">
        <v>49</v>
      </c>
      <c r="N58" t="s">
        <v>96</v>
      </c>
      <c r="O58" t="s">
        <v>41</v>
      </c>
      <c r="P58" t="s">
        <v>148</v>
      </c>
      <c r="Q58">
        <v>11</v>
      </c>
      <c r="R58">
        <v>0</v>
      </c>
      <c r="S58">
        <v>5</v>
      </c>
      <c r="T58">
        <v>0</v>
      </c>
      <c r="U58">
        <v>2</v>
      </c>
      <c r="V58">
        <v>2</v>
      </c>
      <c r="W58">
        <v>85</v>
      </c>
      <c r="X58">
        <v>1420</v>
      </c>
      <c r="Y58">
        <v>16346</v>
      </c>
      <c r="Z58">
        <v>3041</v>
      </c>
      <c r="AA58">
        <v>3</v>
      </c>
      <c r="AB58" s="29">
        <v>44773</v>
      </c>
      <c r="AC58" s="29">
        <v>35084</v>
      </c>
      <c r="AD58" s="29">
        <v>42137</v>
      </c>
      <c r="AE58" s="29">
        <v>43479</v>
      </c>
      <c r="AF58">
        <v>4</v>
      </c>
      <c r="AG58" t="s">
        <v>157</v>
      </c>
      <c r="AH58">
        <v>1</v>
      </c>
      <c r="AI58">
        <v>23</v>
      </c>
      <c r="AJ58">
        <v>1</v>
      </c>
      <c r="AK58" t="s">
        <v>162</v>
      </c>
      <c r="AL58" t="s">
        <v>77</v>
      </c>
      <c r="AM58">
        <f t="shared" si="0"/>
        <v>2</v>
      </c>
      <c r="AN58">
        <f t="shared" si="1"/>
        <v>5</v>
      </c>
      <c r="AO58">
        <f t="shared" si="2"/>
        <v>1</v>
      </c>
      <c r="AP58">
        <f t="shared" si="3"/>
        <v>1</v>
      </c>
      <c r="AQ58">
        <f t="shared" si="4"/>
        <v>2015</v>
      </c>
    </row>
    <row r="59" spans="1:43" x14ac:dyDescent="0.35">
      <c r="A59">
        <v>454</v>
      </c>
      <c r="B59">
        <v>29</v>
      </c>
      <c r="C59" t="s">
        <v>144</v>
      </c>
      <c r="D59" t="s">
        <v>145</v>
      </c>
      <c r="E59" t="s">
        <v>4</v>
      </c>
      <c r="F59" t="s">
        <v>37</v>
      </c>
      <c r="G59" t="s">
        <v>42</v>
      </c>
      <c r="H59" t="s">
        <v>82</v>
      </c>
      <c r="I59" t="s">
        <v>41</v>
      </c>
      <c r="J59" t="s">
        <v>155</v>
      </c>
      <c r="K59" t="s">
        <v>41</v>
      </c>
      <c r="L59" t="s">
        <v>147</v>
      </c>
      <c r="M59" t="s">
        <v>48</v>
      </c>
      <c r="N59" t="s">
        <v>160</v>
      </c>
      <c r="P59" t="s">
        <v>144</v>
      </c>
      <c r="Q59">
        <v>11</v>
      </c>
      <c r="R59">
        <v>1</v>
      </c>
      <c r="S59">
        <v>7</v>
      </c>
      <c r="T59">
        <v>0</v>
      </c>
      <c r="U59">
        <v>7</v>
      </c>
      <c r="V59">
        <v>8</v>
      </c>
      <c r="W59">
        <v>77</v>
      </c>
      <c r="X59">
        <v>318</v>
      </c>
      <c r="Y59">
        <v>4759</v>
      </c>
      <c r="Z59">
        <v>2119</v>
      </c>
      <c r="AA59">
        <v>4</v>
      </c>
      <c r="AB59" s="29">
        <v>44773</v>
      </c>
      <c r="AC59" s="29">
        <v>34522</v>
      </c>
      <c r="AD59" s="29">
        <v>40955</v>
      </c>
      <c r="AE59" s="29">
        <v>43482</v>
      </c>
      <c r="AF59">
        <v>7</v>
      </c>
      <c r="AG59" t="s">
        <v>157</v>
      </c>
      <c r="AH59">
        <v>1</v>
      </c>
      <c r="AI59">
        <v>22</v>
      </c>
      <c r="AJ59">
        <v>1</v>
      </c>
      <c r="AK59" t="s">
        <v>150</v>
      </c>
      <c r="AL59" t="s">
        <v>78</v>
      </c>
      <c r="AM59">
        <f t="shared" si="0"/>
        <v>1</v>
      </c>
      <c r="AN59">
        <f t="shared" si="1"/>
        <v>2</v>
      </c>
      <c r="AO59">
        <f t="shared" si="2"/>
        <v>1</v>
      </c>
      <c r="AP59">
        <f t="shared" si="3"/>
        <v>1</v>
      </c>
      <c r="AQ59">
        <f t="shared" si="4"/>
        <v>2012</v>
      </c>
    </row>
    <row r="60" spans="1:43" x14ac:dyDescent="0.35">
      <c r="A60">
        <v>1907</v>
      </c>
      <c r="B60">
        <v>56</v>
      </c>
      <c r="C60" t="s">
        <v>144</v>
      </c>
      <c r="D60" t="s">
        <v>145</v>
      </c>
      <c r="E60" t="s">
        <v>4</v>
      </c>
      <c r="F60" t="s">
        <v>36</v>
      </c>
      <c r="G60" t="s">
        <v>41</v>
      </c>
      <c r="H60" t="s">
        <v>82</v>
      </c>
      <c r="I60" t="s">
        <v>43</v>
      </c>
      <c r="J60" t="s">
        <v>155</v>
      </c>
      <c r="K60" t="s">
        <v>44</v>
      </c>
      <c r="L60" t="s">
        <v>147</v>
      </c>
      <c r="M60" t="s">
        <v>49</v>
      </c>
      <c r="N60" t="s">
        <v>95</v>
      </c>
      <c r="P60" t="s">
        <v>148</v>
      </c>
      <c r="Q60">
        <v>16</v>
      </c>
      <c r="R60">
        <v>1</v>
      </c>
      <c r="S60">
        <v>5</v>
      </c>
      <c r="T60">
        <v>1</v>
      </c>
      <c r="U60">
        <v>0</v>
      </c>
      <c r="V60">
        <v>24</v>
      </c>
      <c r="W60">
        <v>97</v>
      </c>
      <c r="X60">
        <v>1162</v>
      </c>
      <c r="Y60">
        <v>10261</v>
      </c>
      <c r="Z60">
        <v>2587</v>
      </c>
      <c r="AA60">
        <v>3</v>
      </c>
      <c r="AB60" s="29">
        <v>44773</v>
      </c>
      <c r="AC60" s="29">
        <v>24459</v>
      </c>
      <c r="AD60" s="29">
        <v>42114</v>
      </c>
      <c r="AE60" s="29">
        <v>43483</v>
      </c>
      <c r="AF60">
        <v>4</v>
      </c>
      <c r="AG60" t="s">
        <v>167</v>
      </c>
      <c r="AH60">
        <v>1</v>
      </c>
      <c r="AI60">
        <v>52</v>
      </c>
      <c r="AJ60">
        <v>2</v>
      </c>
      <c r="AK60" t="s">
        <v>162</v>
      </c>
      <c r="AL60" t="s">
        <v>78</v>
      </c>
      <c r="AM60">
        <f t="shared" si="0"/>
        <v>2</v>
      </c>
      <c r="AN60">
        <f t="shared" si="1"/>
        <v>4</v>
      </c>
      <c r="AO60">
        <f t="shared" si="2"/>
        <v>1</v>
      </c>
      <c r="AP60">
        <f t="shared" si="3"/>
        <v>1</v>
      </c>
      <c r="AQ60">
        <f t="shared" si="4"/>
        <v>2015</v>
      </c>
    </row>
    <row r="61" spans="1:43" x14ac:dyDescent="0.35">
      <c r="A61">
        <v>248</v>
      </c>
      <c r="B61">
        <v>41</v>
      </c>
      <c r="C61" t="s">
        <v>144</v>
      </c>
      <c r="D61" t="s">
        <v>145</v>
      </c>
      <c r="E61" t="s">
        <v>158</v>
      </c>
      <c r="F61" t="s">
        <v>36</v>
      </c>
      <c r="G61" t="s">
        <v>42</v>
      </c>
      <c r="H61" t="s">
        <v>81</v>
      </c>
      <c r="I61" t="s">
        <v>43</v>
      </c>
      <c r="J61" t="s">
        <v>166</v>
      </c>
      <c r="K61" t="s">
        <v>42</v>
      </c>
      <c r="L61" t="s">
        <v>152</v>
      </c>
      <c r="M61" t="s">
        <v>48</v>
      </c>
      <c r="N61" t="s">
        <v>95</v>
      </c>
      <c r="P61" t="s">
        <v>144</v>
      </c>
      <c r="Q61">
        <v>22</v>
      </c>
      <c r="R61">
        <v>1</v>
      </c>
      <c r="S61">
        <v>4</v>
      </c>
      <c r="T61">
        <v>0</v>
      </c>
      <c r="U61">
        <v>2</v>
      </c>
      <c r="V61">
        <v>20</v>
      </c>
      <c r="W61">
        <v>70</v>
      </c>
      <c r="X61">
        <v>1356</v>
      </c>
      <c r="Y61">
        <v>21728</v>
      </c>
      <c r="Z61">
        <v>3140</v>
      </c>
      <c r="AA61">
        <v>5</v>
      </c>
      <c r="AB61" s="29">
        <v>44773</v>
      </c>
      <c r="AC61" s="29">
        <v>30143</v>
      </c>
      <c r="AD61" s="29">
        <v>42276</v>
      </c>
      <c r="AE61" s="29">
        <v>43483</v>
      </c>
      <c r="AF61">
        <v>3</v>
      </c>
      <c r="AG61" t="s">
        <v>153</v>
      </c>
      <c r="AH61">
        <v>1</v>
      </c>
      <c r="AI61">
        <v>38</v>
      </c>
      <c r="AJ61">
        <v>1</v>
      </c>
      <c r="AK61" t="s">
        <v>170</v>
      </c>
      <c r="AL61" t="s">
        <v>78</v>
      </c>
      <c r="AM61">
        <f t="shared" si="0"/>
        <v>3</v>
      </c>
      <c r="AN61">
        <f t="shared" si="1"/>
        <v>9</v>
      </c>
      <c r="AO61">
        <f t="shared" si="2"/>
        <v>1</v>
      </c>
      <c r="AP61">
        <f t="shared" si="3"/>
        <v>1</v>
      </c>
      <c r="AQ61">
        <f t="shared" si="4"/>
        <v>2015</v>
      </c>
    </row>
    <row r="62" spans="1:43" x14ac:dyDescent="0.35">
      <c r="A62">
        <v>328</v>
      </c>
      <c r="B62">
        <v>33</v>
      </c>
      <c r="C62" t="s">
        <v>144</v>
      </c>
      <c r="D62" t="s">
        <v>145</v>
      </c>
      <c r="E62" t="s">
        <v>4</v>
      </c>
      <c r="F62" t="s">
        <v>36</v>
      </c>
      <c r="G62" t="s">
        <v>41</v>
      </c>
      <c r="H62" t="s">
        <v>81</v>
      </c>
      <c r="I62" t="s">
        <v>43</v>
      </c>
      <c r="J62" t="s">
        <v>155</v>
      </c>
      <c r="K62" t="s">
        <v>41</v>
      </c>
      <c r="L62" t="s">
        <v>48</v>
      </c>
      <c r="M62" t="s">
        <v>50</v>
      </c>
      <c r="N62" t="s">
        <v>160</v>
      </c>
      <c r="P62" t="s">
        <v>148</v>
      </c>
      <c r="Q62">
        <v>20</v>
      </c>
      <c r="R62">
        <v>7</v>
      </c>
      <c r="S62">
        <v>13</v>
      </c>
      <c r="T62">
        <v>1</v>
      </c>
      <c r="U62">
        <v>7</v>
      </c>
      <c r="V62">
        <v>2</v>
      </c>
      <c r="W62">
        <v>39</v>
      </c>
      <c r="X62">
        <v>465</v>
      </c>
      <c r="Y62">
        <v>21509</v>
      </c>
      <c r="Z62">
        <v>2707</v>
      </c>
      <c r="AA62">
        <v>3</v>
      </c>
      <c r="AB62" s="29">
        <v>44773</v>
      </c>
      <c r="AC62" s="29">
        <v>32729</v>
      </c>
      <c r="AD62" s="29">
        <v>40293</v>
      </c>
      <c r="AE62" s="29">
        <v>43489</v>
      </c>
      <c r="AF62">
        <v>9</v>
      </c>
      <c r="AG62" t="s">
        <v>149</v>
      </c>
      <c r="AH62">
        <v>2</v>
      </c>
      <c r="AI62">
        <v>24</v>
      </c>
      <c r="AJ62">
        <v>1</v>
      </c>
      <c r="AK62" t="s">
        <v>150</v>
      </c>
      <c r="AL62" t="s">
        <v>78</v>
      </c>
      <c r="AM62">
        <f t="shared" si="0"/>
        <v>2</v>
      </c>
      <c r="AN62">
        <f t="shared" si="1"/>
        <v>4</v>
      </c>
      <c r="AO62">
        <f t="shared" si="2"/>
        <v>1</v>
      </c>
      <c r="AP62">
        <f t="shared" si="3"/>
        <v>1</v>
      </c>
      <c r="AQ62">
        <f t="shared" si="4"/>
        <v>2010</v>
      </c>
    </row>
    <row r="63" spans="1:43" x14ac:dyDescent="0.35">
      <c r="A63">
        <v>31</v>
      </c>
      <c r="B63">
        <v>34</v>
      </c>
      <c r="C63" t="s">
        <v>144</v>
      </c>
      <c r="D63" t="s">
        <v>145</v>
      </c>
      <c r="E63" t="s">
        <v>4</v>
      </c>
      <c r="F63" t="s">
        <v>35</v>
      </c>
      <c r="G63" t="s">
        <v>42</v>
      </c>
      <c r="H63" t="s">
        <v>82</v>
      </c>
      <c r="I63" t="s">
        <v>43</v>
      </c>
      <c r="J63" t="s">
        <v>146</v>
      </c>
      <c r="K63" t="s">
        <v>41</v>
      </c>
      <c r="L63" t="s">
        <v>147</v>
      </c>
      <c r="M63" t="s">
        <v>49</v>
      </c>
      <c r="N63" t="s">
        <v>95</v>
      </c>
      <c r="P63" t="s">
        <v>148</v>
      </c>
      <c r="Q63">
        <v>11</v>
      </c>
      <c r="R63">
        <v>2</v>
      </c>
      <c r="S63">
        <v>8</v>
      </c>
      <c r="T63">
        <v>1</v>
      </c>
      <c r="U63">
        <v>3</v>
      </c>
      <c r="V63">
        <v>6</v>
      </c>
      <c r="W63">
        <v>83</v>
      </c>
      <c r="X63">
        <v>699</v>
      </c>
      <c r="Y63">
        <v>17102</v>
      </c>
      <c r="Z63">
        <v>2960</v>
      </c>
      <c r="AA63">
        <v>2</v>
      </c>
      <c r="AB63" s="29">
        <v>44773</v>
      </c>
      <c r="AC63" s="29">
        <v>32542</v>
      </c>
      <c r="AD63" s="29">
        <v>42357</v>
      </c>
      <c r="AE63" s="29">
        <v>43503</v>
      </c>
      <c r="AF63">
        <v>3</v>
      </c>
      <c r="AG63" t="s">
        <v>149</v>
      </c>
      <c r="AH63">
        <v>1</v>
      </c>
      <c r="AI63">
        <v>31</v>
      </c>
      <c r="AJ63">
        <v>1</v>
      </c>
      <c r="AK63" t="s">
        <v>170</v>
      </c>
      <c r="AL63" t="s">
        <v>77</v>
      </c>
      <c r="AM63">
        <f t="shared" si="0"/>
        <v>4</v>
      </c>
      <c r="AN63">
        <f t="shared" si="1"/>
        <v>12</v>
      </c>
      <c r="AO63">
        <f t="shared" si="2"/>
        <v>1</v>
      </c>
      <c r="AP63">
        <f t="shared" si="3"/>
        <v>2</v>
      </c>
      <c r="AQ63">
        <f t="shared" si="4"/>
        <v>2015</v>
      </c>
    </row>
    <row r="64" spans="1:43" x14ac:dyDescent="0.35">
      <c r="A64">
        <v>631</v>
      </c>
      <c r="B64">
        <v>32</v>
      </c>
      <c r="C64" t="s">
        <v>144</v>
      </c>
      <c r="D64" t="s">
        <v>164</v>
      </c>
      <c r="E64" t="s">
        <v>158</v>
      </c>
      <c r="F64" t="s">
        <v>37</v>
      </c>
      <c r="G64" t="s">
        <v>44</v>
      </c>
      <c r="H64" t="s">
        <v>82</v>
      </c>
      <c r="I64" t="s">
        <v>44</v>
      </c>
      <c r="J64" t="s">
        <v>159</v>
      </c>
      <c r="K64" t="s">
        <v>43</v>
      </c>
      <c r="L64" t="s">
        <v>48</v>
      </c>
      <c r="M64" t="s">
        <v>49</v>
      </c>
      <c r="N64" t="s">
        <v>160</v>
      </c>
      <c r="P64" t="s">
        <v>148</v>
      </c>
      <c r="Q64">
        <v>12</v>
      </c>
      <c r="R64">
        <v>8</v>
      </c>
      <c r="S64">
        <v>6</v>
      </c>
      <c r="T64">
        <v>1</v>
      </c>
      <c r="U64">
        <v>2</v>
      </c>
      <c r="V64">
        <v>11</v>
      </c>
      <c r="W64">
        <v>60</v>
      </c>
      <c r="X64">
        <v>1474</v>
      </c>
      <c r="Y64">
        <v>23914</v>
      </c>
      <c r="Z64">
        <v>4707</v>
      </c>
      <c r="AA64">
        <v>2</v>
      </c>
      <c r="AB64" s="29">
        <v>44773</v>
      </c>
      <c r="AC64" s="29">
        <v>33269</v>
      </c>
      <c r="AD64" s="29">
        <v>42178</v>
      </c>
      <c r="AE64" s="29">
        <v>43541</v>
      </c>
      <c r="AF64">
        <v>4</v>
      </c>
      <c r="AG64" t="s">
        <v>149</v>
      </c>
      <c r="AH64">
        <v>2</v>
      </c>
      <c r="AI64">
        <v>28</v>
      </c>
      <c r="AJ64">
        <v>1</v>
      </c>
      <c r="AK64" t="s">
        <v>162</v>
      </c>
      <c r="AL64" t="s">
        <v>77</v>
      </c>
      <c r="AM64">
        <f t="shared" si="0"/>
        <v>2</v>
      </c>
      <c r="AN64">
        <f t="shared" si="1"/>
        <v>6</v>
      </c>
      <c r="AO64">
        <f t="shared" si="2"/>
        <v>1</v>
      </c>
      <c r="AP64">
        <f t="shared" si="3"/>
        <v>3</v>
      </c>
      <c r="AQ64">
        <f t="shared" si="4"/>
        <v>2015</v>
      </c>
    </row>
    <row r="65" spans="1:43" x14ac:dyDescent="0.35">
      <c r="A65">
        <v>1691</v>
      </c>
      <c r="B65">
        <v>48</v>
      </c>
      <c r="C65" t="s">
        <v>144</v>
      </c>
      <c r="D65" t="s">
        <v>151</v>
      </c>
      <c r="E65" t="s">
        <v>158</v>
      </c>
      <c r="F65" t="s">
        <v>36</v>
      </c>
      <c r="G65" t="s">
        <v>44</v>
      </c>
      <c r="H65" t="s">
        <v>81</v>
      </c>
      <c r="I65" t="s">
        <v>43</v>
      </c>
      <c r="J65" t="s">
        <v>166</v>
      </c>
      <c r="K65" t="s">
        <v>43</v>
      </c>
      <c r="L65" t="s">
        <v>147</v>
      </c>
      <c r="M65" t="s">
        <v>49</v>
      </c>
      <c r="N65" t="s">
        <v>160</v>
      </c>
      <c r="O65" t="s">
        <v>156</v>
      </c>
      <c r="P65" t="s">
        <v>144</v>
      </c>
      <c r="Q65">
        <v>11</v>
      </c>
      <c r="R65">
        <v>2</v>
      </c>
      <c r="S65">
        <v>19</v>
      </c>
      <c r="T65">
        <v>7</v>
      </c>
      <c r="U65">
        <v>7</v>
      </c>
      <c r="V65">
        <v>7</v>
      </c>
      <c r="W65">
        <v>95</v>
      </c>
      <c r="X65">
        <v>708</v>
      </c>
      <c r="Y65">
        <v>11740</v>
      </c>
      <c r="Z65">
        <v>2655</v>
      </c>
      <c r="AA65">
        <v>3</v>
      </c>
      <c r="AB65" s="29">
        <v>44773</v>
      </c>
      <c r="AC65" s="29">
        <v>27289</v>
      </c>
      <c r="AD65" s="29">
        <v>40562</v>
      </c>
      <c r="AE65" s="29">
        <v>43545</v>
      </c>
      <c r="AF65">
        <v>8</v>
      </c>
      <c r="AG65" t="s">
        <v>153</v>
      </c>
      <c r="AH65">
        <v>1</v>
      </c>
      <c r="AI65">
        <v>40</v>
      </c>
      <c r="AJ65">
        <v>1</v>
      </c>
      <c r="AK65" t="s">
        <v>150</v>
      </c>
      <c r="AL65" t="s">
        <v>77</v>
      </c>
      <c r="AM65">
        <f t="shared" si="0"/>
        <v>1</v>
      </c>
      <c r="AN65">
        <f t="shared" si="1"/>
        <v>1</v>
      </c>
      <c r="AO65">
        <f t="shared" si="2"/>
        <v>1</v>
      </c>
      <c r="AP65">
        <f t="shared" si="3"/>
        <v>3</v>
      </c>
      <c r="AQ65">
        <f t="shared" si="4"/>
        <v>2011</v>
      </c>
    </row>
    <row r="66" spans="1:43" x14ac:dyDescent="0.35">
      <c r="A66">
        <v>1100</v>
      </c>
      <c r="B66">
        <v>35</v>
      </c>
      <c r="C66" t="s">
        <v>144</v>
      </c>
      <c r="D66" t="s">
        <v>145</v>
      </c>
      <c r="E66" t="s">
        <v>158</v>
      </c>
      <c r="F66" t="s">
        <v>38</v>
      </c>
      <c r="G66" t="s">
        <v>44</v>
      </c>
      <c r="H66" t="s">
        <v>82</v>
      </c>
      <c r="I66" t="s">
        <v>43</v>
      </c>
      <c r="J66" t="s">
        <v>159</v>
      </c>
      <c r="K66" t="s">
        <v>41</v>
      </c>
      <c r="L66" t="s">
        <v>152</v>
      </c>
      <c r="M66" t="s">
        <v>49</v>
      </c>
      <c r="N66" t="s">
        <v>95</v>
      </c>
      <c r="P66" t="s">
        <v>144</v>
      </c>
      <c r="Q66">
        <v>22</v>
      </c>
      <c r="R66">
        <v>0</v>
      </c>
      <c r="S66">
        <v>9</v>
      </c>
      <c r="T66">
        <v>4</v>
      </c>
      <c r="U66">
        <v>7</v>
      </c>
      <c r="V66">
        <v>4</v>
      </c>
      <c r="W66">
        <v>86</v>
      </c>
      <c r="X66">
        <v>1204</v>
      </c>
      <c r="Y66">
        <v>10333</v>
      </c>
      <c r="Z66">
        <v>9582</v>
      </c>
      <c r="AA66">
        <v>2</v>
      </c>
      <c r="AB66" s="29">
        <v>44773</v>
      </c>
      <c r="AC66" s="29">
        <v>32076</v>
      </c>
      <c r="AD66" s="29">
        <v>40658</v>
      </c>
      <c r="AE66" s="29">
        <v>43549</v>
      </c>
      <c r="AF66">
        <v>8</v>
      </c>
      <c r="AG66" t="s">
        <v>149</v>
      </c>
      <c r="AH66">
        <v>1</v>
      </c>
      <c r="AI66">
        <v>27</v>
      </c>
      <c r="AJ66">
        <v>1</v>
      </c>
      <c r="AK66" t="s">
        <v>150</v>
      </c>
      <c r="AL66" t="s">
        <v>77</v>
      </c>
      <c r="AM66">
        <f t="shared" ref="AM66:AM129" si="5">ROUNDUP(MONTH(AD66)/3,0)</f>
        <v>2</v>
      </c>
      <c r="AN66">
        <f t="shared" ref="AN66:AN129" si="6">MONTH(AD66)</f>
        <v>4</v>
      </c>
      <c r="AO66">
        <f t="shared" ref="AO66:AO129" si="7">IF(C66="Yes",ROUNDUP(MONTH(AE66)/3,0),"")</f>
        <v>1</v>
      </c>
      <c r="AP66">
        <f t="shared" ref="AP66:AP129" si="8">IF(C66="Yes",MONTH(AE66),"")</f>
        <v>3</v>
      </c>
      <c r="AQ66">
        <f t="shared" ref="AQ66:AQ129" si="9">YEAR(AD66)</f>
        <v>2011</v>
      </c>
    </row>
    <row r="67" spans="1:43" x14ac:dyDescent="0.35">
      <c r="A67">
        <v>1797</v>
      </c>
      <c r="B67">
        <v>35</v>
      </c>
      <c r="C67" t="s">
        <v>144</v>
      </c>
      <c r="D67" t="s">
        <v>145</v>
      </c>
      <c r="E67" t="s">
        <v>158</v>
      </c>
      <c r="F67" t="s">
        <v>38</v>
      </c>
      <c r="G67" t="s">
        <v>43</v>
      </c>
      <c r="H67" t="s">
        <v>82</v>
      </c>
      <c r="I67" t="s">
        <v>43</v>
      </c>
      <c r="J67" t="s">
        <v>159</v>
      </c>
      <c r="K67" t="s">
        <v>44</v>
      </c>
      <c r="L67" t="s">
        <v>147</v>
      </c>
      <c r="M67" t="s">
        <v>49</v>
      </c>
      <c r="N67" t="s">
        <v>95</v>
      </c>
      <c r="P67" t="s">
        <v>144</v>
      </c>
      <c r="Q67">
        <v>18</v>
      </c>
      <c r="R67">
        <v>1</v>
      </c>
      <c r="S67">
        <v>10</v>
      </c>
      <c r="T67">
        <v>7</v>
      </c>
      <c r="U67">
        <v>7</v>
      </c>
      <c r="V67">
        <v>27</v>
      </c>
      <c r="W67">
        <v>84</v>
      </c>
      <c r="X67">
        <v>303</v>
      </c>
      <c r="Y67">
        <v>13492</v>
      </c>
      <c r="Z67">
        <v>5813</v>
      </c>
      <c r="AA67">
        <v>2</v>
      </c>
      <c r="AB67" s="29">
        <v>44773</v>
      </c>
      <c r="AC67" s="29">
        <v>32242</v>
      </c>
      <c r="AD67" s="29">
        <v>40254</v>
      </c>
      <c r="AE67" s="29">
        <v>43556</v>
      </c>
      <c r="AF67">
        <v>9</v>
      </c>
      <c r="AG67" t="s">
        <v>149</v>
      </c>
      <c r="AH67">
        <v>1</v>
      </c>
      <c r="AI67">
        <v>26</v>
      </c>
      <c r="AJ67">
        <v>1</v>
      </c>
      <c r="AK67" t="s">
        <v>150</v>
      </c>
      <c r="AL67" t="s">
        <v>77</v>
      </c>
      <c r="AM67">
        <f t="shared" si="5"/>
        <v>1</v>
      </c>
      <c r="AN67">
        <f t="shared" si="6"/>
        <v>3</v>
      </c>
      <c r="AO67">
        <f t="shared" si="7"/>
        <v>2</v>
      </c>
      <c r="AP67">
        <f t="shared" si="8"/>
        <v>4</v>
      </c>
      <c r="AQ67">
        <f t="shared" si="9"/>
        <v>2010</v>
      </c>
    </row>
    <row r="68" spans="1:43" x14ac:dyDescent="0.35">
      <c r="A68">
        <v>582</v>
      </c>
      <c r="B68">
        <v>33</v>
      </c>
      <c r="C68" t="s">
        <v>144</v>
      </c>
      <c r="D68" t="s">
        <v>145</v>
      </c>
      <c r="E68" t="s">
        <v>4</v>
      </c>
      <c r="F68" t="s">
        <v>35</v>
      </c>
      <c r="G68" t="s">
        <v>42</v>
      </c>
      <c r="H68" t="s">
        <v>82</v>
      </c>
      <c r="I68" t="s">
        <v>43</v>
      </c>
      <c r="J68" t="s">
        <v>169</v>
      </c>
      <c r="K68" t="s">
        <v>43</v>
      </c>
      <c r="L68" t="s">
        <v>147</v>
      </c>
      <c r="M68" t="s">
        <v>50</v>
      </c>
      <c r="N68" t="s">
        <v>160</v>
      </c>
      <c r="P68" t="s">
        <v>144</v>
      </c>
      <c r="Q68">
        <v>12</v>
      </c>
      <c r="R68">
        <v>7</v>
      </c>
      <c r="S68">
        <v>15</v>
      </c>
      <c r="T68">
        <v>3</v>
      </c>
      <c r="U68">
        <v>4</v>
      </c>
      <c r="V68">
        <v>15</v>
      </c>
      <c r="W68">
        <v>56</v>
      </c>
      <c r="X68">
        <v>1277</v>
      </c>
      <c r="Y68">
        <v>24619</v>
      </c>
      <c r="Z68">
        <v>13610</v>
      </c>
      <c r="AA68">
        <v>2</v>
      </c>
      <c r="AB68" s="29">
        <v>44773</v>
      </c>
      <c r="AC68" s="29">
        <v>32898</v>
      </c>
      <c r="AD68" s="29">
        <v>41367</v>
      </c>
      <c r="AE68" s="29">
        <v>43564</v>
      </c>
      <c r="AF68">
        <v>6</v>
      </c>
      <c r="AG68" t="s">
        <v>149</v>
      </c>
      <c r="AH68">
        <v>1</v>
      </c>
      <c r="AI68">
        <v>27</v>
      </c>
      <c r="AJ68">
        <v>1</v>
      </c>
      <c r="AK68" t="s">
        <v>150</v>
      </c>
      <c r="AL68" t="s">
        <v>77</v>
      </c>
      <c r="AM68">
        <f t="shared" si="5"/>
        <v>2</v>
      </c>
      <c r="AN68">
        <f t="shared" si="6"/>
        <v>4</v>
      </c>
      <c r="AO68">
        <f t="shared" si="7"/>
        <v>2</v>
      </c>
      <c r="AP68">
        <f t="shared" si="8"/>
        <v>4</v>
      </c>
      <c r="AQ68">
        <f t="shared" si="9"/>
        <v>2013</v>
      </c>
    </row>
    <row r="69" spans="1:43" x14ac:dyDescent="0.35">
      <c r="A69">
        <v>1967</v>
      </c>
      <c r="B69">
        <v>31</v>
      </c>
      <c r="C69" t="s">
        <v>144</v>
      </c>
      <c r="D69" t="s">
        <v>151</v>
      </c>
      <c r="E69" t="s">
        <v>158</v>
      </c>
      <c r="F69" t="s">
        <v>37</v>
      </c>
      <c r="G69" t="s">
        <v>41</v>
      </c>
      <c r="H69" t="s">
        <v>82</v>
      </c>
      <c r="I69" t="s">
        <v>43</v>
      </c>
      <c r="J69" t="s">
        <v>159</v>
      </c>
      <c r="K69" t="s">
        <v>44</v>
      </c>
      <c r="L69" t="s">
        <v>147</v>
      </c>
      <c r="M69" t="s">
        <v>49</v>
      </c>
      <c r="N69" t="s">
        <v>160</v>
      </c>
      <c r="P69" t="s">
        <v>144</v>
      </c>
      <c r="Q69">
        <v>11</v>
      </c>
      <c r="R69">
        <v>1</v>
      </c>
      <c r="S69">
        <v>10</v>
      </c>
      <c r="T69">
        <v>0</v>
      </c>
      <c r="U69">
        <v>8</v>
      </c>
      <c r="V69">
        <v>26</v>
      </c>
      <c r="W69">
        <v>63</v>
      </c>
      <c r="X69">
        <v>754</v>
      </c>
      <c r="Y69">
        <v>21075</v>
      </c>
      <c r="Z69">
        <v>5617</v>
      </c>
      <c r="AA69">
        <v>4</v>
      </c>
      <c r="AB69" s="29">
        <v>44773</v>
      </c>
      <c r="AC69" s="29">
        <v>33772</v>
      </c>
      <c r="AD69" s="29">
        <v>40010</v>
      </c>
      <c r="AE69" s="29">
        <v>43569</v>
      </c>
      <c r="AF69">
        <v>10</v>
      </c>
      <c r="AG69" t="s">
        <v>149</v>
      </c>
      <c r="AH69">
        <v>1</v>
      </c>
      <c r="AI69">
        <v>21</v>
      </c>
      <c r="AJ69">
        <v>1</v>
      </c>
      <c r="AK69" t="s">
        <v>154</v>
      </c>
      <c r="AL69" t="s">
        <v>78</v>
      </c>
      <c r="AM69">
        <f t="shared" si="5"/>
        <v>3</v>
      </c>
      <c r="AN69">
        <f t="shared" si="6"/>
        <v>7</v>
      </c>
      <c r="AO69">
        <f t="shared" si="7"/>
        <v>2</v>
      </c>
      <c r="AP69">
        <f t="shared" si="8"/>
        <v>4</v>
      </c>
      <c r="AQ69">
        <f t="shared" si="9"/>
        <v>2009</v>
      </c>
    </row>
    <row r="70" spans="1:43" x14ac:dyDescent="0.35">
      <c r="A70">
        <v>118</v>
      </c>
      <c r="B70">
        <v>46</v>
      </c>
      <c r="C70" t="s">
        <v>144</v>
      </c>
      <c r="D70" t="s">
        <v>145</v>
      </c>
      <c r="E70" t="s">
        <v>158</v>
      </c>
      <c r="F70" t="s">
        <v>36</v>
      </c>
      <c r="G70" t="s">
        <v>43</v>
      </c>
      <c r="H70" t="s">
        <v>82</v>
      </c>
      <c r="I70" t="s">
        <v>42</v>
      </c>
      <c r="J70" t="s">
        <v>159</v>
      </c>
      <c r="K70" t="s">
        <v>44</v>
      </c>
      <c r="L70" t="s">
        <v>147</v>
      </c>
      <c r="M70" t="s">
        <v>49</v>
      </c>
      <c r="N70" t="s">
        <v>95</v>
      </c>
      <c r="P70" t="s">
        <v>148</v>
      </c>
      <c r="Q70">
        <v>16</v>
      </c>
      <c r="R70">
        <v>1</v>
      </c>
      <c r="S70">
        <v>9</v>
      </c>
      <c r="T70">
        <v>4</v>
      </c>
      <c r="U70">
        <v>7</v>
      </c>
      <c r="V70">
        <v>9</v>
      </c>
      <c r="W70">
        <v>64</v>
      </c>
      <c r="X70">
        <v>669</v>
      </c>
      <c r="Y70">
        <v>13596</v>
      </c>
      <c r="Z70">
        <v>9619</v>
      </c>
      <c r="AA70">
        <v>3</v>
      </c>
      <c r="AB70" s="29">
        <v>44773</v>
      </c>
      <c r="AC70" s="29">
        <v>28242</v>
      </c>
      <c r="AD70" s="29">
        <v>40508</v>
      </c>
      <c r="AE70" s="29">
        <v>43570</v>
      </c>
      <c r="AF70">
        <v>8</v>
      </c>
      <c r="AG70" t="s">
        <v>153</v>
      </c>
      <c r="AH70">
        <v>1</v>
      </c>
      <c r="AI70">
        <v>38</v>
      </c>
      <c r="AJ70">
        <v>1</v>
      </c>
      <c r="AK70" t="s">
        <v>150</v>
      </c>
      <c r="AL70" t="s">
        <v>78</v>
      </c>
      <c r="AM70">
        <f t="shared" si="5"/>
        <v>4</v>
      </c>
      <c r="AN70">
        <f t="shared" si="6"/>
        <v>11</v>
      </c>
      <c r="AO70">
        <f t="shared" si="7"/>
        <v>2</v>
      </c>
      <c r="AP70">
        <f t="shared" si="8"/>
        <v>4</v>
      </c>
      <c r="AQ70">
        <f t="shared" si="9"/>
        <v>2010</v>
      </c>
    </row>
    <row r="71" spans="1:43" x14ac:dyDescent="0.35">
      <c r="A71">
        <v>1082</v>
      </c>
      <c r="B71">
        <v>28</v>
      </c>
      <c r="C71" t="s">
        <v>144</v>
      </c>
      <c r="D71" t="s">
        <v>164</v>
      </c>
      <c r="E71" t="s">
        <v>4</v>
      </c>
      <c r="F71" t="s">
        <v>36</v>
      </c>
      <c r="G71" t="s">
        <v>42</v>
      </c>
      <c r="H71" t="s">
        <v>82</v>
      </c>
      <c r="I71" t="s">
        <v>42</v>
      </c>
      <c r="J71" t="s">
        <v>161</v>
      </c>
      <c r="K71" t="s">
        <v>41</v>
      </c>
      <c r="L71" t="s">
        <v>41</v>
      </c>
      <c r="M71" t="s">
        <v>48</v>
      </c>
      <c r="N71" t="s">
        <v>95</v>
      </c>
      <c r="P71" t="s">
        <v>148</v>
      </c>
      <c r="Q71">
        <v>12</v>
      </c>
      <c r="R71">
        <v>1</v>
      </c>
      <c r="S71">
        <v>10</v>
      </c>
      <c r="T71">
        <v>1</v>
      </c>
      <c r="U71">
        <v>9</v>
      </c>
      <c r="V71">
        <v>24</v>
      </c>
      <c r="W71">
        <v>72</v>
      </c>
      <c r="X71">
        <v>1366</v>
      </c>
      <c r="Y71">
        <v>12355</v>
      </c>
      <c r="Z71">
        <v>8722</v>
      </c>
      <c r="AA71">
        <v>2</v>
      </c>
      <c r="AB71" s="29">
        <v>44773</v>
      </c>
      <c r="AC71" s="29">
        <v>34677</v>
      </c>
      <c r="AD71" s="29">
        <v>40195</v>
      </c>
      <c r="AE71" s="29">
        <v>43571</v>
      </c>
      <c r="AF71">
        <v>9</v>
      </c>
      <c r="AG71" t="s">
        <v>157</v>
      </c>
      <c r="AH71">
        <v>2</v>
      </c>
      <c r="AI71">
        <v>19</v>
      </c>
      <c r="AJ71">
        <v>1</v>
      </c>
      <c r="AK71" t="s">
        <v>150</v>
      </c>
      <c r="AL71" t="s">
        <v>77</v>
      </c>
      <c r="AM71">
        <f t="shared" si="5"/>
        <v>1</v>
      </c>
      <c r="AN71">
        <f t="shared" si="6"/>
        <v>1</v>
      </c>
      <c r="AO71">
        <f t="shared" si="7"/>
        <v>2</v>
      </c>
      <c r="AP71">
        <f t="shared" si="8"/>
        <v>4</v>
      </c>
      <c r="AQ71">
        <f t="shared" si="9"/>
        <v>2010</v>
      </c>
    </row>
    <row r="72" spans="1:43" x14ac:dyDescent="0.35">
      <c r="A72">
        <v>1010</v>
      </c>
      <c r="B72">
        <v>35</v>
      </c>
      <c r="C72" t="s">
        <v>144</v>
      </c>
      <c r="D72" t="s">
        <v>145</v>
      </c>
      <c r="E72" t="s">
        <v>4</v>
      </c>
      <c r="F72" t="s">
        <v>37</v>
      </c>
      <c r="G72" t="s">
        <v>43</v>
      </c>
      <c r="H72" t="s">
        <v>82</v>
      </c>
      <c r="I72" t="s">
        <v>42</v>
      </c>
      <c r="J72" t="s">
        <v>155</v>
      </c>
      <c r="K72" t="s">
        <v>42</v>
      </c>
      <c r="L72" t="s">
        <v>152</v>
      </c>
      <c r="M72" t="s">
        <v>47</v>
      </c>
      <c r="N72" t="s">
        <v>96</v>
      </c>
      <c r="O72" t="s">
        <v>41</v>
      </c>
      <c r="P72" t="s">
        <v>144</v>
      </c>
      <c r="Q72">
        <v>24</v>
      </c>
      <c r="R72">
        <v>1</v>
      </c>
      <c r="S72">
        <v>5</v>
      </c>
      <c r="T72">
        <v>0</v>
      </c>
      <c r="U72">
        <v>2</v>
      </c>
      <c r="V72">
        <v>14</v>
      </c>
      <c r="W72">
        <v>39</v>
      </c>
      <c r="X72">
        <v>622</v>
      </c>
      <c r="Y72">
        <v>10074</v>
      </c>
      <c r="Z72">
        <v>3743</v>
      </c>
      <c r="AA72">
        <v>2</v>
      </c>
      <c r="AB72" s="29">
        <v>44773</v>
      </c>
      <c r="AC72" s="29">
        <v>32276</v>
      </c>
      <c r="AD72" s="29">
        <v>42385</v>
      </c>
      <c r="AE72" s="29">
        <v>43574</v>
      </c>
      <c r="AF72">
        <v>3</v>
      </c>
      <c r="AG72" t="s">
        <v>149</v>
      </c>
      <c r="AH72">
        <v>1</v>
      </c>
      <c r="AI72">
        <v>32</v>
      </c>
      <c r="AJ72">
        <v>1</v>
      </c>
      <c r="AK72" t="s">
        <v>170</v>
      </c>
      <c r="AL72" t="s">
        <v>78</v>
      </c>
      <c r="AM72">
        <f t="shared" si="5"/>
        <v>1</v>
      </c>
      <c r="AN72">
        <f t="shared" si="6"/>
        <v>1</v>
      </c>
      <c r="AO72">
        <f t="shared" si="7"/>
        <v>2</v>
      </c>
      <c r="AP72">
        <f t="shared" si="8"/>
        <v>4</v>
      </c>
      <c r="AQ72">
        <f t="shared" si="9"/>
        <v>2016</v>
      </c>
    </row>
    <row r="73" spans="1:43" x14ac:dyDescent="0.35">
      <c r="A73">
        <v>1380</v>
      </c>
      <c r="B73">
        <v>35</v>
      </c>
      <c r="C73" t="s">
        <v>144</v>
      </c>
      <c r="D73" t="s">
        <v>151</v>
      </c>
      <c r="E73" t="s">
        <v>158</v>
      </c>
      <c r="F73" t="s">
        <v>37</v>
      </c>
      <c r="G73" t="s">
        <v>44</v>
      </c>
      <c r="H73" t="s">
        <v>81</v>
      </c>
      <c r="I73" t="s">
        <v>43</v>
      </c>
      <c r="J73" t="s">
        <v>159</v>
      </c>
      <c r="K73" t="s">
        <v>43</v>
      </c>
      <c r="L73" t="s">
        <v>147</v>
      </c>
      <c r="M73" t="s">
        <v>48</v>
      </c>
      <c r="N73" t="s">
        <v>160</v>
      </c>
      <c r="O73" t="s">
        <v>41</v>
      </c>
      <c r="P73" t="s">
        <v>144</v>
      </c>
      <c r="Q73">
        <v>18</v>
      </c>
      <c r="R73">
        <v>0</v>
      </c>
      <c r="S73">
        <v>5</v>
      </c>
      <c r="T73">
        <v>3</v>
      </c>
      <c r="U73">
        <v>2</v>
      </c>
      <c r="V73">
        <v>18</v>
      </c>
      <c r="W73">
        <v>67</v>
      </c>
      <c r="X73">
        <v>662</v>
      </c>
      <c r="Y73">
        <v>23288</v>
      </c>
      <c r="Z73">
        <v>4614</v>
      </c>
      <c r="AA73">
        <v>0</v>
      </c>
      <c r="AB73" s="29">
        <v>44773</v>
      </c>
      <c r="AC73" s="29">
        <v>32232</v>
      </c>
      <c r="AD73" s="29">
        <v>42312</v>
      </c>
      <c r="AE73" s="29">
        <v>43582</v>
      </c>
      <c r="AF73">
        <v>3</v>
      </c>
      <c r="AG73" t="s">
        <v>149</v>
      </c>
      <c r="AH73">
        <v>1</v>
      </c>
      <c r="AI73">
        <v>32</v>
      </c>
      <c r="AJ73">
        <v>1</v>
      </c>
      <c r="AK73" t="s">
        <v>170</v>
      </c>
      <c r="AL73" t="s">
        <v>77</v>
      </c>
      <c r="AM73">
        <f t="shared" si="5"/>
        <v>4</v>
      </c>
      <c r="AN73">
        <f t="shared" si="6"/>
        <v>11</v>
      </c>
      <c r="AO73">
        <f t="shared" si="7"/>
        <v>2</v>
      </c>
      <c r="AP73">
        <f t="shared" si="8"/>
        <v>4</v>
      </c>
      <c r="AQ73">
        <f t="shared" si="9"/>
        <v>2015</v>
      </c>
    </row>
    <row r="74" spans="1:43" x14ac:dyDescent="0.35">
      <c r="A74">
        <v>970</v>
      </c>
      <c r="B74">
        <v>37</v>
      </c>
      <c r="C74" t="s">
        <v>144</v>
      </c>
      <c r="D74" t="s">
        <v>145</v>
      </c>
      <c r="E74" t="s">
        <v>158</v>
      </c>
      <c r="F74" t="s">
        <v>37</v>
      </c>
      <c r="G74" t="s">
        <v>41</v>
      </c>
      <c r="H74" t="s">
        <v>82</v>
      </c>
      <c r="I74" t="s">
        <v>42</v>
      </c>
      <c r="J74" t="s">
        <v>159</v>
      </c>
      <c r="K74" t="s">
        <v>43</v>
      </c>
      <c r="L74" t="s">
        <v>147</v>
      </c>
      <c r="M74" t="s">
        <v>47</v>
      </c>
      <c r="N74" t="s">
        <v>160</v>
      </c>
      <c r="P74" t="s">
        <v>148</v>
      </c>
      <c r="Q74">
        <v>11</v>
      </c>
      <c r="R74">
        <v>5</v>
      </c>
      <c r="S74">
        <v>17</v>
      </c>
      <c r="T74">
        <v>11</v>
      </c>
      <c r="U74">
        <v>7</v>
      </c>
      <c r="V74">
        <v>1</v>
      </c>
      <c r="W74">
        <v>46</v>
      </c>
      <c r="X74">
        <v>625</v>
      </c>
      <c r="Y74">
        <v>14922</v>
      </c>
      <c r="Z74">
        <v>10609</v>
      </c>
      <c r="AA74">
        <v>2</v>
      </c>
      <c r="AB74" s="29">
        <v>44773</v>
      </c>
      <c r="AC74" s="29">
        <v>31592</v>
      </c>
      <c r="AD74" s="29">
        <v>38745</v>
      </c>
      <c r="AE74" s="29">
        <v>43590</v>
      </c>
      <c r="AF74">
        <v>13</v>
      </c>
      <c r="AG74" t="s">
        <v>149</v>
      </c>
      <c r="AH74">
        <v>2</v>
      </c>
      <c r="AI74">
        <v>24</v>
      </c>
      <c r="AJ74">
        <v>1</v>
      </c>
      <c r="AK74" t="s">
        <v>154</v>
      </c>
      <c r="AL74" t="s">
        <v>77</v>
      </c>
      <c r="AM74">
        <f t="shared" si="5"/>
        <v>1</v>
      </c>
      <c r="AN74">
        <f t="shared" si="6"/>
        <v>1</v>
      </c>
      <c r="AO74">
        <f t="shared" si="7"/>
        <v>2</v>
      </c>
      <c r="AP74">
        <f t="shared" si="8"/>
        <v>5</v>
      </c>
      <c r="AQ74">
        <f t="shared" si="9"/>
        <v>2006</v>
      </c>
    </row>
    <row r="75" spans="1:43" x14ac:dyDescent="0.35">
      <c r="A75">
        <v>1459</v>
      </c>
      <c r="B75">
        <v>31</v>
      </c>
      <c r="C75" t="s">
        <v>144</v>
      </c>
      <c r="D75" t="s">
        <v>151</v>
      </c>
      <c r="E75" t="s">
        <v>4</v>
      </c>
      <c r="F75" t="s">
        <v>34</v>
      </c>
      <c r="G75" t="s">
        <v>43</v>
      </c>
      <c r="H75" t="s">
        <v>81</v>
      </c>
      <c r="I75" t="s">
        <v>44</v>
      </c>
      <c r="J75" t="s">
        <v>165</v>
      </c>
      <c r="K75" t="s">
        <v>42</v>
      </c>
      <c r="L75" t="s">
        <v>147</v>
      </c>
      <c r="M75" t="s">
        <v>49</v>
      </c>
      <c r="N75" t="s">
        <v>95</v>
      </c>
      <c r="P75" t="s">
        <v>148</v>
      </c>
      <c r="Q75">
        <v>11</v>
      </c>
      <c r="R75">
        <v>1</v>
      </c>
      <c r="S75">
        <v>10</v>
      </c>
      <c r="T75">
        <v>4</v>
      </c>
      <c r="U75">
        <v>7</v>
      </c>
      <c r="V75">
        <v>1</v>
      </c>
      <c r="W75">
        <v>100</v>
      </c>
      <c r="X75">
        <v>1445</v>
      </c>
      <c r="Y75">
        <v>8931</v>
      </c>
      <c r="Z75">
        <v>7446</v>
      </c>
      <c r="AA75">
        <v>2</v>
      </c>
      <c r="AB75" s="29">
        <v>44773</v>
      </c>
      <c r="AC75" s="29">
        <v>33773</v>
      </c>
      <c r="AD75" s="29">
        <v>40323</v>
      </c>
      <c r="AE75" s="29">
        <v>43611</v>
      </c>
      <c r="AF75">
        <v>9</v>
      </c>
      <c r="AG75" t="s">
        <v>149</v>
      </c>
      <c r="AH75">
        <v>1</v>
      </c>
      <c r="AI75">
        <v>22</v>
      </c>
      <c r="AJ75">
        <v>1</v>
      </c>
      <c r="AK75" t="s">
        <v>150</v>
      </c>
      <c r="AL75" t="s">
        <v>77</v>
      </c>
      <c r="AM75">
        <f t="shared" si="5"/>
        <v>2</v>
      </c>
      <c r="AN75">
        <f t="shared" si="6"/>
        <v>5</v>
      </c>
      <c r="AO75">
        <f t="shared" si="7"/>
        <v>2</v>
      </c>
      <c r="AP75">
        <f t="shared" si="8"/>
        <v>5</v>
      </c>
      <c r="AQ75">
        <f t="shared" si="9"/>
        <v>2010</v>
      </c>
    </row>
    <row r="76" spans="1:43" x14ac:dyDescent="0.35">
      <c r="A76">
        <v>283</v>
      </c>
      <c r="B76">
        <v>29</v>
      </c>
      <c r="C76" t="s">
        <v>144</v>
      </c>
      <c r="D76" t="s">
        <v>145</v>
      </c>
      <c r="E76" t="s">
        <v>158</v>
      </c>
      <c r="F76" t="s">
        <v>38</v>
      </c>
      <c r="G76" t="s">
        <v>42</v>
      </c>
      <c r="H76" t="s">
        <v>81</v>
      </c>
      <c r="I76" t="s">
        <v>43</v>
      </c>
      <c r="J76" t="s">
        <v>159</v>
      </c>
      <c r="K76" t="s">
        <v>44</v>
      </c>
      <c r="L76" t="s">
        <v>152</v>
      </c>
      <c r="M76" t="s">
        <v>48</v>
      </c>
      <c r="N76" t="s">
        <v>160</v>
      </c>
      <c r="O76" t="s">
        <v>43</v>
      </c>
      <c r="P76" t="s">
        <v>148</v>
      </c>
      <c r="Q76">
        <v>22</v>
      </c>
      <c r="R76">
        <v>1</v>
      </c>
      <c r="S76">
        <v>10</v>
      </c>
      <c r="T76">
        <v>1</v>
      </c>
      <c r="U76">
        <v>9</v>
      </c>
      <c r="V76">
        <v>27</v>
      </c>
      <c r="W76">
        <v>35</v>
      </c>
      <c r="X76">
        <v>121</v>
      </c>
      <c r="Y76">
        <v>24525</v>
      </c>
      <c r="Z76">
        <v>7639</v>
      </c>
      <c r="AA76">
        <v>3</v>
      </c>
      <c r="AB76" s="29">
        <v>44773</v>
      </c>
      <c r="AC76" s="29">
        <v>34531</v>
      </c>
      <c r="AD76" s="29">
        <v>40252</v>
      </c>
      <c r="AE76" s="29">
        <v>43629</v>
      </c>
      <c r="AF76">
        <v>9</v>
      </c>
      <c r="AG76" t="s">
        <v>157</v>
      </c>
      <c r="AH76">
        <v>1</v>
      </c>
      <c r="AI76">
        <v>20</v>
      </c>
      <c r="AJ76">
        <v>1</v>
      </c>
      <c r="AK76" t="s">
        <v>150</v>
      </c>
      <c r="AL76" t="s">
        <v>78</v>
      </c>
      <c r="AM76">
        <f t="shared" si="5"/>
        <v>1</v>
      </c>
      <c r="AN76">
        <f t="shared" si="6"/>
        <v>3</v>
      </c>
      <c r="AO76">
        <f t="shared" si="7"/>
        <v>2</v>
      </c>
      <c r="AP76">
        <f t="shared" si="8"/>
        <v>6</v>
      </c>
      <c r="AQ76">
        <f t="shared" si="9"/>
        <v>2010</v>
      </c>
    </row>
    <row r="77" spans="1:43" x14ac:dyDescent="0.35">
      <c r="A77">
        <v>584</v>
      </c>
      <c r="B77">
        <v>33</v>
      </c>
      <c r="C77" t="s">
        <v>144</v>
      </c>
      <c r="D77" t="s">
        <v>145</v>
      </c>
      <c r="E77" t="s">
        <v>4</v>
      </c>
      <c r="F77" t="s">
        <v>35</v>
      </c>
      <c r="G77" t="s">
        <v>41</v>
      </c>
      <c r="H77" t="s">
        <v>82</v>
      </c>
      <c r="I77" t="s">
        <v>41</v>
      </c>
      <c r="J77" t="s">
        <v>155</v>
      </c>
      <c r="K77" t="s">
        <v>44</v>
      </c>
      <c r="L77" t="s">
        <v>147</v>
      </c>
      <c r="M77" t="s">
        <v>49</v>
      </c>
      <c r="N77" t="s">
        <v>96</v>
      </c>
      <c r="O77" t="s">
        <v>43</v>
      </c>
      <c r="P77" t="s">
        <v>148</v>
      </c>
      <c r="Q77">
        <v>13</v>
      </c>
      <c r="R77">
        <v>7</v>
      </c>
      <c r="S77">
        <v>8</v>
      </c>
      <c r="T77">
        <v>1</v>
      </c>
      <c r="U77">
        <v>3</v>
      </c>
      <c r="V77">
        <v>10</v>
      </c>
      <c r="W77">
        <v>38</v>
      </c>
      <c r="X77">
        <v>587</v>
      </c>
      <c r="Y77">
        <v>6705</v>
      </c>
      <c r="Z77">
        <v>3408</v>
      </c>
      <c r="AA77">
        <v>2</v>
      </c>
      <c r="AB77" s="29">
        <v>44773</v>
      </c>
      <c r="AC77" s="29">
        <v>32796</v>
      </c>
      <c r="AD77" s="29">
        <v>42242</v>
      </c>
      <c r="AE77" s="29">
        <v>43649</v>
      </c>
      <c r="AF77">
        <v>4</v>
      </c>
      <c r="AG77" t="s">
        <v>149</v>
      </c>
      <c r="AH77">
        <v>1</v>
      </c>
      <c r="AI77">
        <v>29</v>
      </c>
      <c r="AJ77">
        <v>2</v>
      </c>
      <c r="AK77" t="s">
        <v>162</v>
      </c>
      <c r="AL77" t="s">
        <v>78</v>
      </c>
      <c r="AM77">
        <f t="shared" si="5"/>
        <v>3</v>
      </c>
      <c r="AN77">
        <f t="shared" si="6"/>
        <v>8</v>
      </c>
      <c r="AO77">
        <f t="shared" si="7"/>
        <v>3</v>
      </c>
      <c r="AP77">
        <f t="shared" si="8"/>
        <v>7</v>
      </c>
      <c r="AQ77">
        <f t="shared" si="9"/>
        <v>2015</v>
      </c>
    </row>
    <row r="78" spans="1:43" x14ac:dyDescent="0.35">
      <c r="A78">
        <v>179</v>
      </c>
      <c r="B78">
        <v>51</v>
      </c>
      <c r="C78" t="s">
        <v>144</v>
      </c>
      <c r="D78" t="s">
        <v>151</v>
      </c>
      <c r="E78" t="s">
        <v>4</v>
      </c>
      <c r="F78" t="s">
        <v>37</v>
      </c>
      <c r="G78" t="s">
        <v>41</v>
      </c>
      <c r="H78" t="s">
        <v>82</v>
      </c>
      <c r="I78" t="s">
        <v>41</v>
      </c>
      <c r="J78" t="s">
        <v>165</v>
      </c>
      <c r="K78" t="s">
        <v>44</v>
      </c>
      <c r="L78" t="s">
        <v>147</v>
      </c>
      <c r="M78" t="s">
        <v>49</v>
      </c>
      <c r="N78" t="s">
        <v>95</v>
      </c>
      <c r="P78" t="s">
        <v>148</v>
      </c>
      <c r="Q78">
        <v>15</v>
      </c>
      <c r="R78">
        <v>2</v>
      </c>
      <c r="S78">
        <v>18</v>
      </c>
      <c r="T78">
        <v>0</v>
      </c>
      <c r="U78">
        <v>3</v>
      </c>
      <c r="V78">
        <v>8</v>
      </c>
      <c r="W78">
        <v>53</v>
      </c>
      <c r="X78">
        <v>1150</v>
      </c>
      <c r="Y78">
        <v>25150</v>
      </c>
      <c r="Z78">
        <v>10650</v>
      </c>
      <c r="AA78">
        <v>2</v>
      </c>
      <c r="AB78" s="29">
        <v>44773</v>
      </c>
      <c r="AC78" s="29">
        <v>26202</v>
      </c>
      <c r="AD78" s="29">
        <v>42362</v>
      </c>
      <c r="AE78" s="29">
        <v>43649</v>
      </c>
      <c r="AF78">
        <v>4</v>
      </c>
      <c r="AG78" t="s">
        <v>167</v>
      </c>
      <c r="AH78">
        <v>1</v>
      </c>
      <c r="AI78">
        <v>47</v>
      </c>
      <c r="AJ78">
        <v>2</v>
      </c>
      <c r="AK78" t="s">
        <v>162</v>
      </c>
      <c r="AL78" t="s">
        <v>78</v>
      </c>
      <c r="AM78">
        <f t="shared" si="5"/>
        <v>4</v>
      </c>
      <c r="AN78">
        <f t="shared" si="6"/>
        <v>12</v>
      </c>
      <c r="AO78">
        <f t="shared" si="7"/>
        <v>3</v>
      </c>
      <c r="AP78">
        <f t="shared" si="8"/>
        <v>7</v>
      </c>
      <c r="AQ78">
        <f t="shared" si="9"/>
        <v>2015</v>
      </c>
    </row>
    <row r="79" spans="1:43" x14ac:dyDescent="0.35">
      <c r="A79">
        <v>608</v>
      </c>
      <c r="B79">
        <v>26</v>
      </c>
      <c r="C79" t="s">
        <v>144</v>
      </c>
      <c r="D79" t="s">
        <v>151</v>
      </c>
      <c r="E79" t="s">
        <v>168</v>
      </c>
      <c r="F79" t="s">
        <v>37</v>
      </c>
      <c r="G79" t="s">
        <v>42</v>
      </c>
      <c r="H79" t="s">
        <v>81</v>
      </c>
      <c r="I79" t="s">
        <v>43</v>
      </c>
      <c r="J79" t="s">
        <v>168</v>
      </c>
      <c r="K79" t="s">
        <v>43</v>
      </c>
      <c r="L79" t="s">
        <v>147</v>
      </c>
      <c r="M79" t="s">
        <v>48</v>
      </c>
      <c r="N79" t="s">
        <v>96</v>
      </c>
      <c r="O79" t="s">
        <v>41</v>
      </c>
      <c r="P79" t="s">
        <v>144</v>
      </c>
      <c r="Q79">
        <v>11</v>
      </c>
      <c r="R79">
        <v>0</v>
      </c>
      <c r="S79">
        <v>8</v>
      </c>
      <c r="T79">
        <v>1</v>
      </c>
      <c r="U79">
        <v>0</v>
      </c>
      <c r="V79">
        <v>17</v>
      </c>
      <c r="W79">
        <v>58</v>
      </c>
      <c r="X79">
        <v>426</v>
      </c>
      <c r="Y79">
        <v>22808</v>
      </c>
      <c r="Z79">
        <v>2741</v>
      </c>
      <c r="AA79">
        <v>2</v>
      </c>
      <c r="AB79" s="29">
        <v>44773</v>
      </c>
      <c r="AC79" s="29">
        <v>35488</v>
      </c>
      <c r="AD79" s="29">
        <v>41298</v>
      </c>
      <c r="AE79" s="29">
        <v>43653</v>
      </c>
      <c r="AF79">
        <v>6</v>
      </c>
      <c r="AG79" t="s">
        <v>157</v>
      </c>
      <c r="AH79">
        <v>2</v>
      </c>
      <c r="AI79">
        <v>20</v>
      </c>
      <c r="AJ79">
        <v>1</v>
      </c>
      <c r="AK79" t="s">
        <v>150</v>
      </c>
      <c r="AL79" t="s">
        <v>77</v>
      </c>
      <c r="AM79">
        <f t="shared" si="5"/>
        <v>1</v>
      </c>
      <c r="AN79">
        <f t="shared" si="6"/>
        <v>1</v>
      </c>
      <c r="AO79">
        <f t="shared" si="7"/>
        <v>3</v>
      </c>
      <c r="AP79">
        <f t="shared" si="8"/>
        <v>7</v>
      </c>
      <c r="AQ79">
        <f t="shared" si="9"/>
        <v>2013</v>
      </c>
    </row>
    <row r="80" spans="1:43" x14ac:dyDescent="0.35">
      <c r="A80">
        <v>1960</v>
      </c>
      <c r="B80">
        <v>28</v>
      </c>
      <c r="C80" t="s">
        <v>144</v>
      </c>
      <c r="D80" t="s">
        <v>145</v>
      </c>
      <c r="E80" t="s">
        <v>4</v>
      </c>
      <c r="F80" t="s">
        <v>38</v>
      </c>
      <c r="G80" t="s">
        <v>43</v>
      </c>
      <c r="H80" t="s">
        <v>82</v>
      </c>
      <c r="I80" t="s">
        <v>42</v>
      </c>
      <c r="J80" t="s">
        <v>155</v>
      </c>
      <c r="K80" t="s">
        <v>44</v>
      </c>
      <c r="L80" t="s">
        <v>48</v>
      </c>
      <c r="M80" t="s">
        <v>48</v>
      </c>
      <c r="N80" t="s">
        <v>96</v>
      </c>
      <c r="O80" t="s">
        <v>41</v>
      </c>
      <c r="P80" t="s">
        <v>148</v>
      </c>
      <c r="Q80">
        <v>12</v>
      </c>
      <c r="R80">
        <v>5</v>
      </c>
      <c r="S80">
        <v>6</v>
      </c>
      <c r="T80">
        <v>0</v>
      </c>
      <c r="U80">
        <v>3</v>
      </c>
      <c r="V80">
        <v>17</v>
      </c>
      <c r="W80">
        <v>32</v>
      </c>
      <c r="X80">
        <v>1404</v>
      </c>
      <c r="Y80">
        <v>18779</v>
      </c>
      <c r="Z80">
        <v>2367</v>
      </c>
      <c r="AA80">
        <v>2</v>
      </c>
      <c r="AB80" s="29">
        <v>44773</v>
      </c>
      <c r="AC80" s="29">
        <v>34764</v>
      </c>
      <c r="AD80" s="29">
        <v>42511</v>
      </c>
      <c r="AE80" s="29">
        <v>43662</v>
      </c>
      <c r="AF80">
        <v>3</v>
      </c>
      <c r="AG80" t="s">
        <v>157</v>
      </c>
      <c r="AH80">
        <v>1</v>
      </c>
      <c r="AI80">
        <v>25</v>
      </c>
      <c r="AJ80">
        <v>1</v>
      </c>
      <c r="AK80" t="s">
        <v>170</v>
      </c>
      <c r="AL80" t="s">
        <v>78</v>
      </c>
      <c r="AM80">
        <f t="shared" si="5"/>
        <v>2</v>
      </c>
      <c r="AN80">
        <f t="shared" si="6"/>
        <v>5</v>
      </c>
      <c r="AO80">
        <f t="shared" si="7"/>
        <v>3</v>
      </c>
      <c r="AP80">
        <f t="shared" si="8"/>
        <v>7</v>
      </c>
      <c r="AQ80">
        <f t="shared" si="9"/>
        <v>2016</v>
      </c>
    </row>
    <row r="81" spans="1:43" x14ac:dyDescent="0.35">
      <c r="A81">
        <v>1639</v>
      </c>
      <c r="B81">
        <v>35</v>
      </c>
      <c r="C81" t="s">
        <v>144</v>
      </c>
      <c r="D81" t="s">
        <v>145</v>
      </c>
      <c r="E81" t="s">
        <v>158</v>
      </c>
      <c r="F81" t="s">
        <v>38</v>
      </c>
      <c r="G81" t="s">
        <v>44</v>
      </c>
      <c r="H81" t="s">
        <v>82</v>
      </c>
      <c r="I81" t="s">
        <v>42</v>
      </c>
      <c r="J81" t="s">
        <v>159</v>
      </c>
      <c r="K81" t="s">
        <v>41</v>
      </c>
      <c r="L81" t="s">
        <v>48</v>
      </c>
      <c r="M81" t="s">
        <v>49</v>
      </c>
      <c r="N81" t="s">
        <v>160</v>
      </c>
      <c r="P81" t="s">
        <v>148</v>
      </c>
      <c r="Q81">
        <v>17</v>
      </c>
      <c r="R81">
        <v>9</v>
      </c>
      <c r="S81">
        <v>15</v>
      </c>
      <c r="T81">
        <v>6</v>
      </c>
      <c r="U81">
        <v>0</v>
      </c>
      <c r="V81">
        <v>10</v>
      </c>
      <c r="W81">
        <v>55</v>
      </c>
      <c r="X81">
        <v>737</v>
      </c>
      <c r="Y81">
        <v>21530</v>
      </c>
      <c r="Z81">
        <v>10306</v>
      </c>
      <c r="AA81">
        <v>3</v>
      </c>
      <c r="AB81" s="29">
        <v>44773</v>
      </c>
      <c r="AC81" s="29">
        <v>32076</v>
      </c>
      <c r="AD81" s="29">
        <v>39025</v>
      </c>
      <c r="AE81" s="29">
        <v>43666</v>
      </c>
      <c r="AF81">
        <v>13</v>
      </c>
      <c r="AG81" t="s">
        <v>149</v>
      </c>
      <c r="AH81">
        <v>2</v>
      </c>
      <c r="AI81">
        <v>22</v>
      </c>
      <c r="AJ81">
        <v>1</v>
      </c>
      <c r="AK81" t="s">
        <v>154</v>
      </c>
      <c r="AL81" t="s">
        <v>77</v>
      </c>
      <c r="AM81">
        <f t="shared" si="5"/>
        <v>4</v>
      </c>
      <c r="AN81">
        <f t="shared" si="6"/>
        <v>11</v>
      </c>
      <c r="AO81">
        <f t="shared" si="7"/>
        <v>3</v>
      </c>
      <c r="AP81">
        <f t="shared" si="8"/>
        <v>7</v>
      </c>
      <c r="AQ81">
        <f t="shared" si="9"/>
        <v>2006</v>
      </c>
    </row>
    <row r="82" spans="1:43" x14ac:dyDescent="0.35">
      <c r="A82">
        <v>163</v>
      </c>
      <c r="B82">
        <v>31</v>
      </c>
      <c r="C82" t="s">
        <v>144</v>
      </c>
      <c r="D82" t="s">
        <v>145</v>
      </c>
      <c r="E82" t="s">
        <v>158</v>
      </c>
      <c r="F82" t="s">
        <v>37</v>
      </c>
      <c r="G82" t="s">
        <v>42</v>
      </c>
      <c r="H82" t="s">
        <v>82</v>
      </c>
      <c r="I82" t="s">
        <v>41</v>
      </c>
      <c r="J82" t="s">
        <v>159</v>
      </c>
      <c r="K82" t="s">
        <v>43</v>
      </c>
      <c r="L82" t="s">
        <v>48</v>
      </c>
      <c r="M82" t="s">
        <v>48</v>
      </c>
      <c r="N82" t="s">
        <v>160</v>
      </c>
      <c r="P82" t="s">
        <v>144</v>
      </c>
      <c r="Q82">
        <v>18</v>
      </c>
      <c r="R82">
        <v>4</v>
      </c>
      <c r="S82">
        <v>12</v>
      </c>
      <c r="T82">
        <v>7</v>
      </c>
      <c r="U82">
        <v>7</v>
      </c>
      <c r="V82">
        <v>6</v>
      </c>
      <c r="W82">
        <v>76</v>
      </c>
      <c r="X82">
        <v>249</v>
      </c>
      <c r="Y82">
        <v>20739</v>
      </c>
      <c r="Z82">
        <v>6172</v>
      </c>
      <c r="AA82">
        <v>3</v>
      </c>
      <c r="AB82" s="29">
        <v>44773</v>
      </c>
      <c r="AC82" s="29">
        <v>33685</v>
      </c>
      <c r="AD82" s="29">
        <v>41232</v>
      </c>
      <c r="AE82" s="29">
        <v>43685</v>
      </c>
      <c r="AF82">
        <v>7</v>
      </c>
      <c r="AG82" t="s">
        <v>149</v>
      </c>
      <c r="AH82">
        <v>1</v>
      </c>
      <c r="AI82">
        <v>24</v>
      </c>
      <c r="AJ82">
        <v>1</v>
      </c>
      <c r="AK82" t="s">
        <v>150</v>
      </c>
      <c r="AL82" t="s">
        <v>77</v>
      </c>
      <c r="AM82">
        <f t="shared" si="5"/>
        <v>4</v>
      </c>
      <c r="AN82">
        <f t="shared" si="6"/>
        <v>11</v>
      </c>
      <c r="AO82">
        <f t="shared" si="7"/>
        <v>3</v>
      </c>
      <c r="AP82">
        <f t="shared" si="8"/>
        <v>8</v>
      </c>
      <c r="AQ82">
        <f t="shared" si="9"/>
        <v>2012</v>
      </c>
    </row>
    <row r="83" spans="1:43" x14ac:dyDescent="0.35">
      <c r="A83">
        <v>440</v>
      </c>
      <c r="B83">
        <v>28</v>
      </c>
      <c r="C83" t="s">
        <v>144</v>
      </c>
      <c r="D83" t="s">
        <v>145</v>
      </c>
      <c r="E83" t="s">
        <v>4</v>
      </c>
      <c r="F83" t="s">
        <v>37</v>
      </c>
      <c r="G83" t="s">
        <v>41</v>
      </c>
      <c r="H83" t="s">
        <v>82</v>
      </c>
      <c r="I83" t="s">
        <v>41</v>
      </c>
      <c r="J83" t="s">
        <v>146</v>
      </c>
      <c r="K83" t="s">
        <v>44</v>
      </c>
      <c r="L83" t="s">
        <v>147</v>
      </c>
      <c r="M83" t="s">
        <v>48</v>
      </c>
      <c r="N83" t="s">
        <v>160</v>
      </c>
      <c r="P83" t="s">
        <v>144</v>
      </c>
      <c r="Q83">
        <v>13</v>
      </c>
      <c r="R83">
        <v>5</v>
      </c>
      <c r="S83">
        <v>5</v>
      </c>
      <c r="T83">
        <v>2</v>
      </c>
      <c r="U83">
        <v>2</v>
      </c>
      <c r="V83">
        <v>2</v>
      </c>
      <c r="W83">
        <v>84</v>
      </c>
      <c r="X83">
        <v>1157</v>
      </c>
      <c r="Y83">
        <v>24737</v>
      </c>
      <c r="Z83">
        <v>3464</v>
      </c>
      <c r="AA83">
        <v>4</v>
      </c>
      <c r="AB83" s="29">
        <v>44773</v>
      </c>
      <c r="AC83" s="29">
        <v>34600</v>
      </c>
      <c r="AD83" s="29">
        <v>42835</v>
      </c>
      <c r="AE83" s="29">
        <v>43693</v>
      </c>
      <c r="AF83">
        <v>2</v>
      </c>
      <c r="AG83" t="s">
        <v>157</v>
      </c>
      <c r="AH83">
        <v>1</v>
      </c>
      <c r="AI83">
        <v>26</v>
      </c>
      <c r="AJ83">
        <v>1</v>
      </c>
      <c r="AK83" t="s">
        <v>170</v>
      </c>
      <c r="AL83" t="s">
        <v>78</v>
      </c>
      <c r="AM83">
        <f t="shared" si="5"/>
        <v>2</v>
      </c>
      <c r="AN83">
        <f t="shared" si="6"/>
        <v>4</v>
      </c>
      <c r="AO83">
        <f t="shared" si="7"/>
        <v>3</v>
      </c>
      <c r="AP83">
        <f t="shared" si="8"/>
        <v>8</v>
      </c>
      <c r="AQ83">
        <f t="shared" si="9"/>
        <v>2017</v>
      </c>
    </row>
    <row r="84" spans="1:43" x14ac:dyDescent="0.35">
      <c r="A84">
        <v>650</v>
      </c>
      <c r="B84">
        <v>31</v>
      </c>
      <c r="C84" t="s">
        <v>144</v>
      </c>
      <c r="D84" t="s">
        <v>145</v>
      </c>
      <c r="E84" t="s">
        <v>158</v>
      </c>
      <c r="F84" t="s">
        <v>37</v>
      </c>
      <c r="G84" t="s">
        <v>42</v>
      </c>
      <c r="H84" t="s">
        <v>82</v>
      </c>
      <c r="I84" t="s">
        <v>43</v>
      </c>
      <c r="J84" t="s">
        <v>159</v>
      </c>
      <c r="K84" t="s">
        <v>41</v>
      </c>
      <c r="L84" t="s">
        <v>147</v>
      </c>
      <c r="M84" t="s">
        <v>47</v>
      </c>
      <c r="N84" t="s">
        <v>96</v>
      </c>
      <c r="P84" t="s">
        <v>148</v>
      </c>
      <c r="Q84">
        <v>17</v>
      </c>
      <c r="R84">
        <v>2</v>
      </c>
      <c r="S84">
        <v>9</v>
      </c>
      <c r="T84">
        <v>1</v>
      </c>
      <c r="U84">
        <v>2</v>
      </c>
      <c r="V84">
        <v>13</v>
      </c>
      <c r="W84">
        <v>46</v>
      </c>
      <c r="X84">
        <v>1365</v>
      </c>
      <c r="Y84">
        <v>11512</v>
      </c>
      <c r="Z84">
        <v>4233</v>
      </c>
      <c r="AA84">
        <v>2</v>
      </c>
      <c r="AB84" s="29">
        <v>44773</v>
      </c>
      <c r="AC84" s="29">
        <v>33560</v>
      </c>
      <c r="AD84" s="29">
        <v>42686</v>
      </c>
      <c r="AE84" s="29">
        <v>43699</v>
      </c>
      <c r="AF84">
        <v>3</v>
      </c>
      <c r="AG84" t="s">
        <v>149</v>
      </c>
      <c r="AH84">
        <v>1</v>
      </c>
      <c r="AI84">
        <v>28</v>
      </c>
      <c r="AJ84">
        <v>1</v>
      </c>
      <c r="AK84" t="s">
        <v>170</v>
      </c>
      <c r="AL84" t="s">
        <v>78</v>
      </c>
      <c r="AM84">
        <f t="shared" si="5"/>
        <v>4</v>
      </c>
      <c r="AN84">
        <f t="shared" si="6"/>
        <v>11</v>
      </c>
      <c r="AO84">
        <f t="shared" si="7"/>
        <v>3</v>
      </c>
      <c r="AP84">
        <f t="shared" si="8"/>
        <v>8</v>
      </c>
      <c r="AQ84">
        <f t="shared" si="9"/>
        <v>2016</v>
      </c>
    </row>
    <row r="85" spans="1:43" x14ac:dyDescent="0.35">
      <c r="A85">
        <v>991</v>
      </c>
      <c r="B85">
        <v>31</v>
      </c>
      <c r="C85" t="s">
        <v>144</v>
      </c>
      <c r="D85" t="s">
        <v>164</v>
      </c>
      <c r="E85" t="s">
        <v>4</v>
      </c>
      <c r="F85" t="s">
        <v>36</v>
      </c>
      <c r="G85" t="s">
        <v>43</v>
      </c>
      <c r="H85" t="s">
        <v>82</v>
      </c>
      <c r="I85" t="s">
        <v>42</v>
      </c>
      <c r="J85" t="s">
        <v>146</v>
      </c>
      <c r="K85" t="s">
        <v>41</v>
      </c>
      <c r="L85" t="s">
        <v>152</v>
      </c>
      <c r="M85" t="s">
        <v>49</v>
      </c>
      <c r="N85" t="s">
        <v>95</v>
      </c>
      <c r="P85" t="s">
        <v>144</v>
      </c>
      <c r="Q85">
        <v>22</v>
      </c>
      <c r="R85">
        <v>0</v>
      </c>
      <c r="S85">
        <v>4</v>
      </c>
      <c r="T85">
        <v>1</v>
      </c>
      <c r="U85">
        <v>2</v>
      </c>
      <c r="V85">
        <v>9</v>
      </c>
      <c r="W85">
        <v>46</v>
      </c>
      <c r="X85">
        <v>335</v>
      </c>
      <c r="Y85">
        <v>10322</v>
      </c>
      <c r="Z85">
        <v>2321</v>
      </c>
      <c r="AA85">
        <v>0</v>
      </c>
      <c r="AB85" s="29">
        <v>44773</v>
      </c>
      <c r="AC85" s="29">
        <v>33808</v>
      </c>
      <c r="AD85" s="29">
        <v>42748</v>
      </c>
      <c r="AE85" s="29">
        <v>43725</v>
      </c>
      <c r="AF85">
        <v>3</v>
      </c>
      <c r="AG85" t="s">
        <v>149</v>
      </c>
      <c r="AH85">
        <v>1</v>
      </c>
      <c r="AI85">
        <v>28</v>
      </c>
      <c r="AJ85">
        <v>1</v>
      </c>
      <c r="AK85" t="s">
        <v>170</v>
      </c>
      <c r="AL85" t="s">
        <v>77</v>
      </c>
      <c r="AM85">
        <f t="shared" si="5"/>
        <v>1</v>
      </c>
      <c r="AN85">
        <f t="shared" si="6"/>
        <v>1</v>
      </c>
      <c r="AO85">
        <f t="shared" si="7"/>
        <v>3</v>
      </c>
      <c r="AP85">
        <f t="shared" si="8"/>
        <v>9</v>
      </c>
      <c r="AQ85">
        <f t="shared" si="9"/>
        <v>2017</v>
      </c>
    </row>
    <row r="86" spans="1:43" x14ac:dyDescent="0.35">
      <c r="A86">
        <v>1537</v>
      </c>
      <c r="B86">
        <v>31</v>
      </c>
      <c r="C86" t="s">
        <v>144</v>
      </c>
      <c r="D86" t="s">
        <v>151</v>
      </c>
      <c r="E86" t="s">
        <v>4</v>
      </c>
      <c r="F86" t="s">
        <v>38</v>
      </c>
      <c r="G86" t="s">
        <v>44</v>
      </c>
      <c r="H86" t="s">
        <v>81</v>
      </c>
      <c r="I86" t="s">
        <v>43</v>
      </c>
      <c r="J86" t="s">
        <v>146</v>
      </c>
      <c r="K86" t="s">
        <v>43</v>
      </c>
      <c r="L86" t="s">
        <v>147</v>
      </c>
      <c r="M86" t="s">
        <v>47</v>
      </c>
      <c r="N86" t="s">
        <v>95</v>
      </c>
      <c r="P86" t="s">
        <v>148</v>
      </c>
      <c r="Q86">
        <v>12</v>
      </c>
      <c r="R86">
        <v>1</v>
      </c>
      <c r="S86">
        <v>7</v>
      </c>
      <c r="T86">
        <v>7</v>
      </c>
      <c r="U86">
        <v>7</v>
      </c>
      <c r="V86">
        <v>3</v>
      </c>
      <c r="W86">
        <v>33</v>
      </c>
      <c r="X86">
        <v>561</v>
      </c>
      <c r="Y86">
        <v>4156</v>
      </c>
      <c r="Z86">
        <v>4084</v>
      </c>
      <c r="AA86">
        <v>2</v>
      </c>
      <c r="AB86" s="29">
        <v>44773</v>
      </c>
      <c r="AC86" s="29">
        <v>33601</v>
      </c>
      <c r="AD86" s="29">
        <v>41228</v>
      </c>
      <c r="AE86" s="29">
        <v>43747</v>
      </c>
      <c r="AF86">
        <v>7</v>
      </c>
      <c r="AG86" t="s">
        <v>149</v>
      </c>
      <c r="AH86">
        <v>2</v>
      </c>
      <c r="AI86">
        <v>24</v>
      </c>
      <c r="AJ86">
        <v>1</v>
      </c>
      <c r="AK86" t="s">
        <v>150</v>
      </c>
      <c r="AL86" t="s">
        <v>77</v>
      </c>
      <c r="AM86">
        <f t="shared" si="5"/>
        <v>4</v>
      </c>
      <c r="AN86">
        <f t="shared" si="6"/>
        <v>11</v>
      </c>
      <c r="AO86">
        <f t="shared" si="7"/>
        <v>4</v>
      </c>
      <c r="AP86">
        <f t="shared" si="8"/>
        <v>10</v>
      </c>
      <c r="AQ86">
        <f t="shared" si="9"/>
        <v>2012</v>
      </c>
    </row>
    <row r="87" spans="1:43" x14ac:dyDescent="0.35">
      <c r="A87">
        <v>19</v>
      </c>
      <c r="B87">
        <v>28</v>
      </c>
      <c r="C87" t="s">
        <v>144</v>
      </c>
      <c r="D87" t="s">
        <v>145</v>
      </c>
      <c r="E87" t="s">
        <v>4</v>
      </c>
      <c r="F87" t="s">
        <v>38</v>
      </c>
      <c r="G87" t="s">
        <v>43</v>
      </c>
      <c r="H87" t="s">
        <v>82</v>
      </c>
      <c r="I87" t="s">
        <v>42</v>
      </c>
      <c r="J87" t="s">
        <v>155</v>
      </c>
      <c r="K87" t="s">
        <v>43</v>
      </c>
      <c r="L87" t="s">
        <v>147</v>
      </c>
      <c r="M87" t="s">
        <v>49</v>
      </c>
      <c r="N87" t="s">
        <v>95</v>
      </c>
      <c r="P87" t="s">
        <v>144</v>
      </c>
      <c r="Q87">
        <v>14</v>
      </c>
      <c r="R87">
        <v>5</v>
      </c>
      <c r="S87">
        <v>6</v>
      </c>
      <c r="T87">
        <v>0</v>
      </c>
      <c r="U87">
        <v>3</v>
      </c>
      <c r="V87">
        <v>24</v>
      </c>
      <c r="W87">
        <v>50</v>
      </c>
      <c r="X87">
        <v>103</v>
      </c>
      <c r="Y87">
        <v>12947</v>
      </c>
      <c r="Z87">
        <v>2028</v>
      </c>
      <c r="AA87">
        <v>4</v>
      </c>
      <c r="AB87" s="29">
        <v>44773</v>
      </c>
      <c r="AC87" s="29">
        <v>34614</v>
      </c>
      <c r="AD87" s="29">
        <v>42419</v>
      </c>
      <c r="AE87" s="29">
        <v>43762</v>
      </c>
      <c r="AF87">
        <v>4</v>
      </c>
      <c r="AG87" t="s">
        <v>157</v>
      </c>
      <c r="AH87">
        <v>1</v>
      </c>
      <c r="AI87">
        <v>24</v>
      </c>
      <c r="AJ87">
        <v>1</v>
      </c>
      <c r="AK87" t="s">
        <v>162</v>
      </c>
      <c r="AL87" t="s">
        <v>77</v>
      </c>
      <c r="AM87">
        <f t="shared" si="5"/>
        <v>1</v>
      </c>
      <c r="AN87">
        <f t="shared" si="6"/>
        <v>2</v>
      </c>
      <c r="AO87">
        <f t="shared" si="7"/>
        <v>4</v>
      </c>
      <c r="AP87">
        <f t="shared" si="8"/>
        <v>10</v>
      </c>
      <c r="AQ87">
        <f t="shared" si="9"/>
        <v>2016</v>
      </c>
    </row>
    <row r="88" spans="1:43" x14ac:dyDescent="0.35">
      <c r="A88">
        <v>2055</v>
      </c>
      <c r="B88">
        <v>50</v>
      </c>
      <c r="C88" t="s">
        <v>144</v>
      </c>
      <c r="D88" t="s">
        <v>145</v>
      </c>
      <c r="E88" t="s">
        <v>158</v>
      </c>
      <c r="F88" t="s">
        <v>38</v>
      </c>
      <c r="G88" t="s">
        <v>44</v>
      </c>
      <c r="H88" t="s">
        <v>82</v>
      </c>
      <c r="I88" t="s">
        <v>42</v>
      </c>
      <c r="J88" t="s">
        <v>159</v>
      </c>
      <c r="K88" t="s">
        <v>41</v>
      </c>
      <c r="L88" t="s">
        <v>41</v>
      </c>
      <c r="M88" t="s">
        <v>49</v>
      </c>
      <c r="N88" t="s">
        <v>96</v>
      </c>
      <c r="O88" t="s">
        <v>41</v>
      </c>
      <c r="P88" t="s">
        <v>144</v>
      </c>
      <c r="Q88">
        <v>13</v>
      </c>
      <c r="R88">
        <v>4</v>
      </c>
      <c r="S88">
        <v>20</v>
      </c>
      <c r="T88">
        <v>2</v>
      </c>
      <c r="U88">
        <v>0</v>
      </c>
      <c r="V88">
        <v>28</v>
      </c>
      <c r="W88">
        <v>39</v>
      </c>
      <c r="X88">
        <v>410</v>
      </c>
      <c r="Y88">
        <v>16586</v>
      </c>
      <c r="Z88">
        <v>10854</v>
      </c>
      <c r="AA88">
        <v>3</v>
      </c>
      <c r="AB88" s="29">
        <v>44773</v>
      </c>
      <c r="AC88" s="29">
        <v>26697</v>
      </c>
      <c r="AD88" s="29">
        <v>42966</v>
      </c>
      <c r="AE88" s="29">
        <v>43776</v>
      </c>
      <c r="AF88">
        <v>2</v>
      </c>
      <c r="AG88" t="s">
        <v>167</v>
      </c>
      <c r="AH88">
        <v>2</v>
      </c>
      <c r="AI88">
        <v>48</v>
      </c>
      <c r="AJ88">
        <v>2</v>
      </c>
      <c r="AK88" t="s">
        <v>170</v>
      </c>
      <c r="AL88" t="s">
        <v>78</v>
      </c>
      <c r="AM88">
        <f t="shared" si="5"/>
        <v>3</v>
      </c>
      <c r="AN88">
        <f t="shared" si="6"/>
        <v>8</v>
      </c>
      <c r="AO88">
        <f t="shared" si="7"/>
        <v>4</v>
      </c>
      <c r="AP88">
        <f t="shared" si="8"/>
        <v>11</v>
      </c>
      <c r="AQ88">
        <f t="shared" si="9"/>
        <v>2017</v>
      </c>
    </row>
    <row r="89" spans="1:43" x14ac:dyDescent="0.35">
      <c r="A89">
        <v>1053</v>
      </c>
      <c r="B89">
        <v>26</v>
      </c>
      <c r="C89" t="s">
        <v>144</v>
      </c>
      <c r="D89" t="s">
        <v>151</v>
      </c>
      <c r="E89" t="s">
        <v>4</v>
      </c>
      <c r="F89" t="s">
        <v>38</v>
      </c>
      <c r="G89" t="s">
        <v>41</v>
      </c>
      <c r="H89" t="s">
        <v>82</v>
      </c>
      <c r="I89" t="s">
        <v>43</v>
      </c>
      <c r="J89" t="s">
        <v>146</v>
      </c>
      <c r="K89" t="s">
        <v>41</v>
      </c>
      <c r="L89" t="s">
        <v>147</v>
      </c>
      <c r="M89" t="s">
        <v>49</v>
      </c>
      <c r="N89" t="s">
        <v>160</v>
      </c>
      <c r="O89" t="s">
        <v>41</v>
      </c>
      <c r="P89" t="s">
        <v>144</v>
      </c>
      <c r="Q89">
        <v>14</v>
      </c>
      <c r="R89">
        <v>6</v>
      </c>
      <c r="S89">
        <v>6</v>
      </c>
      <c r="T89">
        <v>1</v>
      </c>
      <c r="U89">
        <v>2</v>
      </c>
      <c r="V89">
        <v>2</v>
      </c>
      <c r="W89">
        <v>57</v>
      </c>
      <c r="X89">
        <v>342</v>
      </c>
      <c r="Y89">
        <v>15346</v>
      </c>
      <c r="Z89">
        <v>2042</v>
      </c>
      <c r="AA89">
        <v>2</v>
      </c>
      <c r="AB89" s="29">
        <v>44773</v>
      </c>
      <c r="AC89" s="29">
        <v>35433</v>
      </c>
      <c r="AD89" s="29">
        <v>42898</v>
      </c>
      <c r="AE89" s="29">
        <v>43779</v>
      </c>
      <c r="AF89">
        <v>2</v>
      </c>
      <c r="AG89" t="s">
        <v>157</v>
      </c>
      <c r="AH89">
        <v>1</v>
      </c>
      <c r="AI89">
        <v>24</v>
      </c>
      <c r="AJ89">
        <v>2</v>
      </c>
      <c r="AK89" t="s">
        <v>170</v>
      </c>
      <c r="AL89" t="s">
        <v>77</v>
      </c>
      <c r="AM89">
        <f t="shared" si="5"/>
        <v>2</v>
      </c>
      <c r="AN89">
        <f t="shared" si="6"/>
        <v>6</v>
      </c>
      <c r="AO89">
        <f t="shared" si="7"/>
        <v>4</v>
      </c>
      <c r="AP89">
        <f t="shared" si="8"/>
        <v>11</v>
      </c>
      <c r="AQ89">
        <f t="shared" si="9"/>
        <v>2017</v>
      </c>
    </row>
    <row r="90" spans="1:43" x14ac:dyDescent="0.35">
      <c r="A90">
        <v>1319</v>
      </c>
      <c r="B90">
        <v>52</v>
      </c>
      <c r="C90" t="s">
        <v>144</v>
      </c>
      <c r="D90" t="s">
        <v>145</v>
      </c>
      <c r="E90" t="s">
        <v>158</v>
      </c>
      <c r="F90" t="s">
        <v>38</v>
      </c>
      <c r="G90" t="s">
        <v>42</v>
      </c>
      <c r="H90" t="s">
        <v>82</v>
      </c>
      <c r="I90" t="s">
        <v>43</v>
      </c>
      <c r="J90" t="s">
        <v>159</v>
      </c>
      <c r="K90" t="s">
        <v>42</v>
      </c>
      <c r="L90" t="s">
        <v>48</v>
      </c>
      <c r="M90" t="s">
        <v>48</v>
      </c>
      <c r="N90" t="s">
        <v>95</v>
      </c>
      <c r="P90" t="s">
        <v>144</v>
      </c>
      <c r="Q90">
        <v>19</v>
      </c>
      <c r="R90">
        <v>9</v>
      </c>
      <c r="S90">
        <v>10</v>
      </c>
      <c r="T90">
        <v>7</v>
      </c>
      <c r="U90">
        <v>7</v>
      </c>
      <c r="V90">
        <v>5</v>
      </c>
      <c r="W90">
        <v>64</v>
      </c>
      <c r="X90">
        <v>1030</v>
      </c>
      <c r="Y90">
        <v>21534</v>
      </c>
      <c r="Z90">
        <v>8446</v>
      </c>
      <c r="AA90">
        <v>2</v>
      </c>
      <c r="AB90" s="29">
        <v>44773</v>
      </c>
      <c r="AC90" s="29">
        <v>26059</v>
      </c>
      <c r="AD90" s="29">
        <v>41059</v>
      </c>
      <c r="AE90" s="29">
        <v>43780</v>
      </c>
      <c r="AF90">
        <v>7</v>
      </c>
      <c r="AG90" t="s">
        <v>167</v>
      </c>
      <c r="AH90">
        <v>2</v>
      </c>
      <c r="AI90">
        <v>45</v>
      </c>
      <c r="AJ90">
        <v>1</v>
      </c>
      <c r="AK90" t="s">
        <v>150</v>
      </c>
      <c r="AL90" t="s">
        <v>77</v>
      </c>
      <c r="AM90">
        <f t="shared" si="5"/>
        <v>2</v>
      </c>
      <c r="AN90">
        <f t="shared" si="6"/>
        <v>5</v>
      </c>
      <c r="AO90">
        <f t="shared" si="7"/>
        <v>4</v>
      </c>
      <c r="AP90">
        <f t="shared" si="8"/>
        <v>11</v>
      </c>
      <c r="AQ90">
        <f t="shared" si="9"/>
        <v>2012</v>
      </c>
    </row>
    <row r="91" spans="1:43" x14ac:dyDescent="0.35">
      <c r="A91">
        <v>1309</v>
      </c>
      <c r="B91">
        <v>32</v>
      </c>
      <c r="C91" t="s">
        <v>144</v>
      </c>
      <c r="D91" t="s">
        <v>145</v>
      </c>
      <c r="E91" t="s">
        <v>4</v>
      </c>
      <c r="F91" t="s">
        <v>36</v>
      </c>
      <c r="G91" t="s">
        <v>44</v>
      </c>
      <c r="H91" t="s">
        <v>82</v>
      </c>
      <c r="I91" t="s">
        <v>43</v>
      </c>
      <c r="J91" t="s">
        <v>155</v>
      </c>
      <c r="K91" t="s">
        <v>43</v>
      </c>
      <c r="L91" t="s">
        <v>147</v>
      </c>
      <c r="M91" t="s">
        <v>49</v>
      </c>
      <c r="N91" t="s">
        <v>160</v>
      </c>
      <c r="O91" t="s">
        <v>41</v>
      </c>
      <c r="P91" t="s">
        <v>148</v>
      </c>
      <c r="Q91">
        <v>18</v>
      </c>
      <c r="R91">
        <v>1</v>
      </c>
      <c r="S91">
        <v>10</v>
      </c>
      <c r="T91">
        <v>1</v>
      </c>
      <c r="U91">
        <v>1</v>
      </c>
      <c r="V91">
        <v>7</v>
      </c>
      <c r="W91">
        <v>79</v>
      </c>
      <c r="X91">
        <v>1089</v>
      </c>
      <c r="Y91">
        <v>22845</v>
      </c>
      <c r="Z91">
        <v>4883</v>
      </c>
      <c r="AA91">
        <v>3</v>
      </c>
      <c r="AB91" s="29">
        <v>44773</v>
      </c>
      <c r="AC91" s="29">
        <v>33163</v>
      </c>
      <c r="AD91" s="29">
        <v>40492</v>
      </c>
      <c r="AE91" s="29">
        <v>43784</v>
      </c>
      <c r="AF91">
        <v>9</v>
      </c>
      <c r="AG91" t="s">
        <v>149</v>
      </c>
      <c r="AH91">
        <v>1</v>
      </c>
      <c r="AI91">
        <v>23</v>
      </c>
      <c r="AJ91">
        <v>1</v>
      </c>
      <c r="AK91" t="s">
        <v>150</v>
      </c>
      <c r="AL91" t="s">
        <v>77</v>
      </c>
      <c r="AM91">
        <f t="shared" si="5"/>
        <v>4</v>
      </c>
      <c r="AN91">
        <f t="shared" si="6"/>
        <v>11</v>
      </c>
      <c r="AO91">
        <f t="shared" si="7"/>
        <v>4</v>
      </c>
      <c r="AP91">
        <f t="shared" si="8"/>
        <v>11</v>
      </c>
      <c r="AQ91">
        <f t="shared" si="9"/>
        <v>2010</v>
      </c>
    </row>
    <row r="92" spans="1:43" x14ac:dyDescent="0.35">
      <c r="A92">
        <v>1</v>
      </c>
      <c r="B92">
        <v>41</v>
      </c>
      <c r="C92" t="s">
        <v>144</v>
      </c>
      <c r="D92" t="s">
        <v>145</v>
      </c>
      <c r="E92" t="s">
        <v>158</v>
      </c>
      <c r="F92" t="s">
        <v>36</v>
      </c>
      <c r="G92" t="s">
        <v>42</v>
      </c>
      <c r="H92" t="s">
        <v>81</v>
      </c>
      <c r="I92" t="s">
        <v>43</v>
      </c>
      <c r="J92" t="s">
        <v>159</v>
      </c>
      <c r="K92" t="s">
        <v>44</v>
      </c>
      <c r="L92" t="s">
        <v>147</v>
      </c>
      <c r="M92" t="s">
        <v>47</v>
      </c>
      <c r="N92" t="s">
        <v>95</v>
      </c>
      <c r="P92" t="s">
        <v>144</v>
      </c>
      <c r="Q92">
        <v>11</v>
      </c>
      <c r="R92">
        <v>8</v>
      </c>
      <c r="S92">
        <v>8</v>
      </c>
      <c r="T92">
        <v>0</v>
      </c>
      <c r="U92">
        <v>5</v>
      </c>
      <c r="V92">
        <v>1</v>
      </c>
      <c r="W92">
        <v>94</v>
      </c>
      <c r="X92">
        <v>1102</v>
      </c>
      <c r="Y92">
        <v>19479</v>
      </c>
      <c r="Z92">
        <v>5993</v>
      </c>
      <c r="AA92">
        <v>0</v>
      </c>
      <c r="AB92" s="29">
        <v>44773</v>
      </c>
      <c r="AC92" s="29">
        <v>29813</v>
      </c>
      <c r="AD92" s="29">
        <v>41851</v>
      </c>
      <c r="AE92" s="29">
        <v>43794</v>
      </c>
      <c r="AF92">
        <v>5</v>
      </c>
      <c r="AG92" t="s">
        <v>153</v>
      </c>
      <c r="AH92">
        <v>1</v>
      </c>
      <c r="AI92">
        <v>36</v>
      </c>
      <c r="AJ92">
        <v>1</v>
      </c>
      <c r="AK92" t="s">
        <v>162</v>
      </c>
      <c r="AL92" t="s">
        <v>77</v>
      </c>
      <c r="AM92">
        <f t="shared" si="5"/>
        <v>3</v>
      </c>
      <c r="AN92">
        <f t="shared" si="6"/>
        <v>7</v>
      </c>
      <c r="AO92">
        <f t="shared" si="7"/>
        <v>4</v>
      </c>
      <c r="AP92">
        <f t="shared" si="8"/>
        <v>11</v>
      </c>
      <c r="AQ92">
        <f t="shared" si="9"/>
        <v>2014</v>
      </c>
    </row>
    <row r="93" spans="1:43" x14ac:dyDescent="0.35">
      <c r="A93">
        <v>840</v>
      </c>
      <c r="B93">
        <v>49</v>
      </c>
      <c r="C93" t="s">
        <v>144</v>
      </c>
      <c r="D93" t="s">
        <v>145</v>
      </c>
      <c r="E93" t="s">
        <v>158</v>
      </c>
      <c r="F93" t="s">
        <v>38</v>
      </c>
      <c r="G93" t="s">
        <v>43</v>
      </c>
      <c r="H93" t="s">
        <v>81</v>
      </c>
      <c r="I93" t="s">
        <v>43</v>
      </c>
      <c r="J93" t="s">
        <v>159</v>
      </c>
      <c r="K93" t="s">
        <v>44</v>
      </c>
      <c r="L93" t="s">
        <v>147</v>
      </c>
      <c r="M93" t="s">
        <v>50</v>
      </c>
      <c r="N93" t="s">
        <v>160</v>
      </c>
      <c r="O93" t="s">
        <v>156</v>
      </c>
      <c r="P93" t="s">
        <v>148</v>
      </c>
      <c r="Q93">
        <v>18</v>
      </c>
      <c r="R93">
        <v>1</v>
      </c>
      <c r="S93">
        <v>9</v>
      </c>
      <c r="T93">
        <v>7</v>
      </c>
      <c r="U93">
        <v>7</v>
      </c>
      <c r="V93">
        <v>11</v>
      </c>
      <c r="W93">
        <v>43</v>
      </c>
      <c r="X93">
        <v>1184</v>
      </c>
      <c r="Y93">
        <v>5860</v>
      </c>
      <c r="Z93">
        <v>7654</v>
      </c>
      <c r="AA93">
        <v>3</v>
      </c>
      <c r="AB93" s="29">
        <v>44773</v>
      </c>
      <c r="AC93" s="29">
        <v>26948</v>
      </c>
      <c r="AD93" s="29">
        <v>40524</v>
      </c>
      <c r="AE93" s="29">
        <v>43804</v>
      </c>
      <c r="AF93">
        <v>9</v>
      </c>
      <c r="AG93" t="s">
        <v>153</v>
      </c>
      <c r="AH93">
        <v>1</v>
      </c>
      <c r="AI93">
        <v>40</v>
      </c>
      <c r="AJ93">
        <v>1</v>
      </c>
      <c r="AK93" t="s">
        <v>150</v>
      </c>
      <c r="AL93" t="s">
        <v>78</v>
      </c>
      <c r="AM93">
        <f t="shared" si="5"/>
        <v>4</v>
      </c>
      <c r="AN93">
        <f t="shared" si="6"/>
        <v>12</v>
      </c>
      <c r="AO93">
        <f t="shared" si="7"/>
        <v>4</v>
      </c>
      <c r="AP93">
        <f t="shared" si="8"/>
        <v>12</v>
      </c>
      <c r="AQ93">
        <f t="shared" si="9"/>
        <v>2010</v>
      </c>
    </row>
    <row r="94" spans="1:43" x14ac:dyDescent="0.35">
      <c r="A94">
        <v>1017</v>
      </c>
      <c r="B94">
        <v>30</v>
      </c>
      <c r="C94" t="s">
        <v>144</v>
      </c>
      <c r="D94" t="s">
        <v>151</v>
      </c>
      <c r="E94" t="s">
        <v>4</v>
      </c>
      <c r="F94" t="s">
        <v>38</v>
      </c>
      <c r="G94" t="s">
        <v>42</v>
      </c>
      <c r="H94" t="s">
        <v>81</v>
      </c>
      <c r="I94" t="s">
        <v>43</v>
      </c>
      <c r="J94" t="s">
        <v>155</v>
      </c>
      <c r="K94" t="s">
        <v>42</v>
      </c>
      <c r="L94" t="s">
        <v>147</v>
      </c>
      <c r="M94" t="s">
        <v>49</v>
      </c>
      <c r="N94" t="s">
        <v>95</v>
      </c>
      <c r="P94" t="s">
        <v>148</v>
      </c>
      <c r="Q94">
        <v>17</v>
      </c>
      <c r="R94">
        <v>0</v>
      </c>
      <c r="S94">
        <v>4</v>
      </c>
      <c r="T94">
        <v>1</v>
      </c>
      <c r="U94">
        <v>2</v>
      </c>
      <c r="V94">
        <v>5</v>
      </c>
      <c r="W94">
        <v>60</v>
      </c>
      <c r="X94">
        <v>109</v>
      </c>
      <c r="Y94">
        <v>25725</v>
      </c>
      <c r="Z94">
        <v>2422</v>
      </c>
      <c r="AA94">
        <v>3</v>
      </c>
      <c r="AB94" s="29">
        <v>44773</v>
      </c>
      <c r="AC94" s="29">
        <v>33949</v>
      </c>
      <c r="AD94" s="29">
        <v>42989</v>
      </c>
      <c r="AE94" s="29">
        <v>43806</v>
      </c>
      <c r="AF94">
        <v>2</v>
      </c>
      <c r="AG94" t="s">
        <v>149</v>
      </c>
      <c r="AH94">
        <v>1</v>
      </c>
      <c r="AI94">
        <v>28</v>
      </c>
      <c r="AJ94">
        <v>2</v>
      </c>
      <c r="AK94" t="s">
        <v>170</v>
      </c>
      <c r="AL94" t="s">
        <v>77</v>
      </c>
      <c r="AM94">
        <f t="shared" si="5"/>
        <v>3</v>
      </c>
      <c r="AN94">
        <f t="shared" si="6"/>
        <v>9</v>
      </c>
      <c r="AO94">
        <f t="shared" si="7"/>
        <v>4</v>
      </c>
      <c r="AP94">
        <f t="shared" si="8"/>
        <v>12</v>
      </c>
      <c r="AQ94">
        <f t="shared" si="9"/>
        <v>2017</v>
      </c>
    </row>
    <row r="95" spans="1:43" x14ac:dyDescent="0.35">
      <c r="A95">
        <v>848</v>
      </c>
      <c r="B95">
        <v>26</v>
      </c>
      <c r="C95" t="s">
        <v>144</v>
      </c>
      <c r="D95" t="s">
        <v>151</v>
      </c>
      <c r="E95" t="s">
        <v>4</v>
      </c>
      <c r="F95" t="s">
        <v>36</v>
      </c>
      <c r="G95" t="s">
        <v>43</v>
      </c>
      <c r="H95" t="s">
        <v>81</v>
      </c>
      <c r="I95" t="s">
        <v>42</v>
      </c>
      <c r="J95" t="s">
        <v>146</v>
      </c>
      <c r="K95" t="s">
        <v>43</v>
      </c>
      <c r="L95" t="s">
        <v>48</v>
      </c>
      <c r="M95" t="s">
        <v>49</v>
      </c>
      <c r="N95" t="s">
        <v>160</v>
      </c>
      <c r="O95" t="s">
        <v>41</v>
      </c>
      <c r="P95" t="s">
        <v>144</v>
      </c>
      <c r="Q95">
        <v>14</v>
      </c>
      <c r="R95">
        <v>1</v>
      </c>
      <c r="S95">
        <v>8</v>
      </c>
      <c r="T95">
        <v>1</v>
      </c>
      <c r="U95">
        <v>7</v>
      </c>
      <c r="V95">
        <v>5</v>
      </c>
      <c r="W95">
        <v>88</v>
      </c>
      <c r="X95">
        <v>887</v>
      </c>
      <c r="Y95">
        <v>20898</v>
      </c>
      <c r="Z95">
        <v>2366</v>
      </c>
      <c r="AA95">
        <v>2</v>
      </c>
      <c r="AB95" s="29">
        <v>44773</v>
      </c>
      <c r="AC95" s="29">
        <v>35382</v>
      </c>
      <c r="AD95" s="29">
        <v>41241</v>
      </c>
      <c r="AE95" s="29">
        <v>43807</v>
      </c>
      <c r="AF95">
        <v>7</v>
      </c>
      <c r="AG95" t="s">
        <v>157</v>
      </c>
      <c r="AH95">
        <v>2</v>
      </c>
      <c r="AI95">
        <v>19</v>
      </c>
      <c r="AJ95">
        <v>1</v>
      </c>
      <c r="AK95" t="s">
        <v>150</v>
      </c>
      <c r="AL95" t="s">
        <v>77</v>
      </c>
      <c r="AM95">
        <f t="shared" si="5"/>
        <v>4</v>
      </c>
      <c r="AN95">
        <f t="shared" si="6"/>
        <v>11</v>
      </c>
      <c r="AO95">
        <f t="shared" si="7"/>
        <v>4</v>
      </c>
      <c r="AP95">
        <f t="shared" si="8"/>
        <v>12</v>
      </c>
      <c r="AQ95">
        <f t="shared" si="9"/>
        <v>2012</v>
      </c>
    </row>
    <row r="96" spans="1:43" x14ac:dyDescent="0.35">
      <c r="A96">
        <v>2044</v>
      </c>
      <c r="B96">
        <v>50</v>
      </c>
      <c r="C96" t="s">
        <v>144</v>
      </c>
      <c r="D96" t="s">
        <v>151</v>
      </c>
      <c r="E96" t="s">
        <v>158</v>
      </c>
      <c r="F96" t="s">
        <v>37</v>
      </c>
      <c r="G96" t="s">
        <v>42</v>
      </c>
      <c r="H96" t="s">
        <v>82</v>
      </c>
      <c r="I96" t="s">
        <v>43</v>
      </c>
      <c r="J96" t="s">
        <v>159</v>
      </c>
      <c r="K96" t="s">
        <v>43</v>
      </c>
      <c r="L96" t="s">
        <v>147</v>
      </c>
      <c r="M96" t="s">
        <v>49</v>
      </c>
      <c r="N96" t="s">
        <v>96</v>
      </c>
      <c r="O96" t="s">
        <v>156</v>
      </c>
      <c r="P96" t="s">
        <v>148</v>
      </c>
      <c r="Q96">
        <v>12</v>
      </c>
      <c r="R96">
        <v>7</v>
      </c>
      <c r="S96">
        <v>12</v>
      </c>
      <c r="T96">
        <v>0</v>
      </c>
      <c r="U96">
        <v>1</v>
      </c>
      <c r="V96">
        <v>1</v>
      </c>
      <c r="W96">
        <v>94</v>
      </c>
      <c r="X96">
        <v>878</v>
      </c>
      <c r="Y96">
        <v>14255</v>
      </c>
      <c r="Z96">
        <v>6728</v>
      </c>
      <c r="AA96">
        <v>3</v>
      </c>
      <c r="AB96" s="29">
        <v>44773</v>
      </c>
      <c r="AC96" s="29">
        <v>26824</v>
      </c>
      <c r="AD96" s="29">
        <v>41727</v>
      </c>
      <c r="AE96" s="29">
        <v>43825</v>
      </c>
      <c r="AF96">
        <v>6</v>
      </c>
      <c r="AG96" t="s">
        <v>167</v>
      </c>
      <c r="AH96">
        <v>1</v>
      </c>
      <c r="AI96">
        <v>44</v>
      </c>
      <c r="AJ96">
        <v>1</v>
      </c>
      <c r="AK96" t="s">
        <v>150</v>
      </c>
      <c r="AL96" t="s">
        <v>77</v>
      </c>
      <c r="AM96">
        <f t="shared" si="5"/>
        <v>1</v>
      </c>
      <c r="AN96">
        <f t="shared" si="6"/>
        <v>3</v>
      </c>
      <c r="AO96">
        <f t="shared" si="7"/>
        <v>4</v>
      </c>
      <c r="AP96">
        <f t="shared" si="8"/>
        <v>12</v>
      </c>
      <c r="AQ96">
        <f t="shared" si="9"/>
        <v>2014</v>
      </c>
    </row>
    <row r="97" spans="1:43" x14ac:dyDescent="0.35">
      <c r="A97">
        <v>33</v>
      </c>
      <c r="B97">
        <v>32</v>
      </c>
      <c r="C97" t="s">
        <v>144</v>
      </c>
      <c r="D97" t="s">
        <v>151</v>
      </c>
      <c r="E97" t="s">
        <v>158</v>
      </c>
      <c r="F97" t="s">
        <v>38</v>
      </c>
      <c r="G97" t="s">
        <v>41</v>
      </c>
      <c r="H97" t="s">
        <v>82</v>
      </c>
      <c r="I97" t="s">
        <v>43</v>
      </c>
      <c r="J97" t="s">
        <v>159</v>
      </c>
      <c r="K97" t="s">
        <v>42</v>
      </c>
      <c r="L97" t="s">
        <v>147</v>
      </c>
      <c r="M97" t="s">
        <v>49</v>
      </c>
      <c r="N97" t="s">
        <v>95</v>
      </c>
      <c r="P97" t="s">
        <v>148</v>
      </c>
      <c r="Q97">
        <v>18</v>
      </c>
      <c r="R97">
        <v>1</v>
      </c>
      <c r="S97">
        <v>8</v>
      </c>
      <c r="T97">
        <v>7</v>
      </c>
      <c r="U97">
        <v>7</v>
      </c>
      <c r="V97">
        <v>4</v>
      </c>
      <c r="W97">
        <v>56</v>
      </c>
      <c r="X97">
        <v>143</v>
      </c>
      <c r="Y97">
        <v>9558</v>
      </c>
      <c r="Z97">
        <v>9355</v>
      </c>
      <c r="AA97">
        <v>5</v>
      </c>
      <c r="AB97" s="29">
        <v>44773</v>
      </c>
      <c r="AC97" s="29">
        <v>29434</v>
      </c>
      <c r="AD97" s="29">
        <v>40946</v>
      </c>
      <c r="AE97" s="29">
        <v>43850</v>
      </c>
      <c r="AF97">
        <v>8</v>
      </c>
      <c r="AG97" t="s">
        <v>149</v>
      </c>
      <c r="AH97">
        <v>1</v>
      </c>
      <c r="AI97">
        <v>24</v>
      </c>
      <c r="AJ97">
        <v>1</v>
      </c>
      <c r="AK97" t="s">
        <v>150</v>
      </c>
      <c r="AL97" t="s">
        <v>77</v>
      </c>
      <c r="AM97">
        <f t="shared" si="5"/>
        <v>1</v>
      </c>
      <c r="AN97">
        <f t="shared" si="6"/>
        <v>2</v>
      </c>
      <c r="AO97">
        <f t="shared" si="7"/>
        <v>1</v>
      </c>
      <c r="AP97">
        <f t="shared" si="8"/>
        <v>1</v>
      </c>
      <c r="AQ97">
        <f t="shared" si="9"/>
        <v>2012</v>
      </c>
    </row>
    <row r="98" spans="1:43" x14ac:dyDescent="0.35">
      <c r="A98">
        <v>376</v>
      </c>
      <c r="B98">
        <v>47</v>
      </c>
      <c r="C98" t="s">
        <v>144</v>
      </c>
      <c r="D98" t="s">
        <v>164</v>
      </c>
      <c r="E98" t="s">
        <v>158</v>
      </c>
      <c r="F98" t="s">
        <v>38</v>
      </c>
      <c r="G98" t="s">
        <v>43</v>
      </c>
      <c r="H98" t="s">
        <v>82</v>
      </c>
      <c r="I98" t="s">
        <v>43</v>
      </c>
      <c r="J98" t="s">
        <v>159</v>
      </c>
      <c r="K98" t="s">
        <v>41</v>
      </c>
      <c r="L98" t="s">
        <v>41</v>
      </c>
      <c r="M98" t="s">
        <v>48</v>
      </c>
      <c r="N98" t="s">
        <v>95</v>
      </c>
      <c r="P98" t="s">
        <v>144</v>
      </c>
      <c r="Q98">
        <v>12</v>
      </c>
      <c r="R98">
        <v>0</v>
      </c>
      <c r="S98">
        <v>22</v>
      </c>
      <c r="T98">
        <v>13</v>
      </c>
      <c r="U98">
        <v>14</v>
      </c>
      <c r="V98">
        <v>12</v>
      </c>
      <c r="W98">
        <v>44</v>
      </c>
      <c r="X98">
        <v>481</v>
      </c>
      <c r="Y98">
        <v>2447</v>
      </c>
      <c r="Z98">
        <v>13758</v>
      </c>
      <c r="AA98">
        <v>2</v>
      </c>
      <c r="AB98" s="29">
        <v>44773</v>
      </c>
      <c r="AC98" s="29">
        <v>27690</v>
      </c>
      <c r="AD98" s="29">
        <v>36376</v>
      </c>
      <c r="AE98" s="29">
        <v>43862</v>
      </c>
      <c r="AF98">
        <v>21</v>
      </c>
      <c r="AG98" t="s">
        <v>153</v>
      </c>
      <c r="AH98">
        <v>2</v>
      </c>
      <c r="AI98">
        <v>26</v>
      </c>
      <c r="AJ98">
        <v>1</v>
      </c>
      <c r="AK98" t="s">
        <v>163</v>
      </c>
      <c r="AL98" t="s">
        <v>77</v>
      </c>
      <c r="AM98">
        <f t="shared" si="5"/>
        <v>3</v>
      </c>
      <c r="AN98">
        <f t="shared" si="6"/>
        <v>8</v>
      </c>
      <c r="AO98">
        <f t="shared" si="7"/>
        <v>1</v>
      </c>
      <c r="AP98">
        <f t="shared" si="8"/>
        <v>2</v>
      </c>
      <c r="AQ98">
        <f t="shared" si="9"/>
        <v>1999</v>
      </c>
    </row>
    <row r="99" spans="1:43" x14ac:dyDescent="0.35">
      <c r="A99">
        <v>741</v>
      </c>
      <c r="B99">
        <v>28</v>
      </c>
      <c r="C99" t="s">
        <v>144</v>
      </c>
      <c r="D99" t="s">
        <v>145</v>
      </c>
      <c r="E99" t="s">
        <v>4</v>
      </c>
      <c r="F99" t="s">
        <v>35</v>
      </c>
      <c r="G99" t="s">
        <v>43</v>
      </c>
      <c r="H99" t="s">
        <v>82</v>
      </c>
      <c r="I99" t="s">
        <v>43</v>
      </c>
      <c r="J99" t="s">
        <v>155</v>
      </c>
      <c r="K99" t="s">
        <v>43</v>
      </c>
      <c r="L99" t="s">
        <v>48</v>
      </c>
      <c r="M99" t="s">
        <v>49</v>
      </c>
      <c r="N99" t="s">
        <v>95</v>
      </c>
      <c r="P99" t="s">
        <v>148</v>
      </c>
      <c r="Q99">
        <v>12</v>
      </c>
      <c r="R99">
        <v>1</v>
      </c>
      <c r="S99">
        <v>2</v>
      </c>
      <c r="T99">
        <v>0</v>
      </c>
      <c r="U99">
        <v>0</v>
      </c>
      <c r="V99">
        <v>8</v>
      </c>
      <c r="W99">
        <v>80</v>
      </c>
      <c r="X99">
        <v>247</v>
      </c>
      <c r="Y99">
        <v>13556</v>
      </c>
      <c r="Z99">
        <v>1904</v>
      </c>
      <c r="AA99">
        <v>0</v>
      </c>
      <c r="AB99" s="29">
        <v>44773</v>
      </c>
      <c r="AC99" s="29">
        <v>34679</v>
      </c>
      <c r="AD99" s="29">
        <v>43418</v>
      </c>
      <c r="AE99" s="29">
        <v>43867</v>
      </c>
      <c r="AF99">
        <v>1</v>
      </c>
      <c r="AG99" t="s">
        <v>157</v>
      </c>
      <c r="AH99">
        <v>1</v>
      </c>
      <c r="AI99">
        <v>27</v>
      </c>
      <c r="AJ99">
        <v>1</v>
      </c>
      <c r="AK99" t="s">
        <v>170</v>
      </c>
      <c r="AL99" t="s">
        <v>78</v>
      </c>
      <c r="AM99">
        <f t="shared" si="5"/>
        <v>4</v>
      </c>
      <c r="AN99">
        <f t="shared" si="6"/>
        <v>11</v>
      </c>
      <c r="AO99">
        <f t="shared" si="7"/>
        <v>1</v>
      </c>
      <c r="AP99">
        <f t="shared" si="8"/>
        <v>2</v>
      </c>
      <c r="AQ99">
        <f t="shared" si="9"/>
        <v>2018</v>
      </c>
    </row>
    <row r="100" spans="1:43" x14ac:dyDescent="0.35">
      <c r="A100">
        <v>819</v>
      </c>
      <c r="B100">
        <v>33</v>
      </c>
      <c r="C100" t="s">
        <v>144</v>
      </c>
      <c r="D100" t="s">
        <v>145</v>
      </c>
      <c r="E100" t="s">
        <v>158</v>
      </c>
      <c r="F100" t="s">
        <v>38</v>
      </c>
      <c r="G100" t="s">
        <v>41</v>
      </c>
      <c r="H100" t="s">
        <v>82</v>
      </c>
      <c r="I100" t="s">
        <v>43</v>
      </c>
      <c r="J100" t="s">
        <v>166</v>
      </c>
      <c r="K100" t="s">
        <v>43</v>
      </c>
      <c r="L100" t="s">
        <v>147</v>
      </c>
      <c r="M100" t="s">
        <v>50</v>
      </c>
      <c r="N100" t="s">
        <v>160</v>
      </c>
      <c r="O100" t="s">
        <v>41</v>
      </c>
      <c r="P100" t="s">
        <v>148</v>
      </c>
      <c r="Q100">
        <v>15</v>
      </c>
      <c r="R100">
        <v>3</v>
      </c>
      <c r="S100">
        <v>5</v>
      </c>
      <c r="T100">
        <v>1</v>
      </c>
      <c r="U100">
        <v>2</v>
      </c>
      <c r="V100">
        <v>1</v>
      </c>
      <c r="W100">
        <v>92</v>
      </c>
      <c r="X100">
        <v>1496</v>
      </c>
      <c r="Y100">
        <v>15747</v>
      </c>
      <c r="Z100">
        <v>2909</v>
      </c>
      <c r="AA100">
        <v>3</v>
      </c>
      <c r="AB100" s="29">
        <v>44773</v>
      </c>
      <c r="AC100" s="29">
        <v>32809</v>
      </c>
      <c r="AD100" s="29">
        <v>42926</v>
      </c>
      <c r="AE100" s="29">
        <v>43869</v>
      </c>
      <c r="AF100">
        <v>3</v>
      </c>
      <c r="AG100" t="s">
        <v>149</v>
      </c>
      <c r="AH100">
        <v>1</v>
      </c>
      <c r="AI100">
        <v>30</v>
      </c>
      <c r="AJ100">
        <v>2</v>
      </c>
      <c r="AK100" t="s">
        <v>170</v>
      </c>
      <c r="AL100" t="s">
        <v>77</v>
      </c>
      <c r="AM100">
        <f t="shared" si="5"/>
        <v>3</v>
      </c>
      <c r="AN100">
        <f t="shared" si="6"/>
        <v>7</v>
      </c>
      <c r="AO100">
        <f t="shared" si="7"/>
        <v>1</v>
      </c>
      <c r="AP100">
        <f t="shared" si="8"/>
        <v>2</v>
      </c>
      <c r="AQ100">
        <f t="shared" si="9"/>
        <v>2017</v>
      </c>
    </row>
    <row r="101" spans="1:43" x14ac:dyDescent="0.35">
      <c r="A101">
        <v>394</v>
      </c>
      <c r="B101">
        <v>26</v>
      </c>
      <c r="C101" t="s">
        <v>144</v>
      </c>
      <c r="D101" t="s">
        <v>145</v>
      </c>
      <c r="E101" t="s">
        <v>4</v>
      </c>
      <c r="F101" t="s">
        <v>37</v>
      </c>
      <c r="G101" t="s">
        <v>41</v>
      </c>
      <c r="H101" t="s">
        <v>82</v>
      </c>
      <c r="I101" t="s">
        <v>43</v>
      </c>
      <c r="J101" t="s">
        <v>155</v>
      </c>
      <c r="K101" t="s">
        <v>42</v>
      </c>
      <c r="L101" t="s">
        <v>147</v>
      </c>
      <c r="M101" t="s">
        <v>49</v>
      </c>
      <c r="N101" t="s">
        <v>96</v>
      </c>
      <c r="O101" t="s">
        <v>41</v>
      </c>
      <c r="P101" t="s">
        <v>144</v>
      </c>
      <c r="Q101">
        <v>13</v>
      </c>
      <c r="R101">
        <v>2</v>
      </c>
      <c r="S101">
        <v>5</v>
      </c>
      <c r="T101">
        <v>0</v>
      </c>
      <c r="U101">
        <v>2</v>
      </c>
      <c r="V101">
        <v>16</v>
      </c>
      <c r="W101">
        <v>45</v>
      </c>
      <c r="X101">
        <v>1449</v>
      </c>
      <c r="Y101">
        <v>14180</v>
      </c>
      <c r="Z101">
        <v>2373</v>
      </c>
      <c r="AA101">
        <v>2</v>
      </c>
      <c r="AB101" s="29">
        <v>44773</v>
      </c>
      <c r="AC101" s="29">
        <v>35623</v>
      </c>
      <c r="AD101" s="29">
        <v>42926</v>
      </c>
      <c r="AE101" s="29">
        <v>43875</v>
      </c>
      <c r="AF101">
        <v>3</v>
      </c>
      <c r="AG101" t="s">
        <v>157</v>
      </c>
      <c r="AH101">
        <v>1</v>
      </c>
      <c r="AI101">
        <v>23</v>
      </c>
      <c r="AJ101">
        <v>1</v>
      </c>
      <c r="AK101" t="s">
        <v>170</v>
      </c>
      <c r="AL101" t="s">
        <v>77</v>
      </c>
      <c r="AM101">
        <f t="shared" si="5"/>
        <v>3</v>
      </c>
      <c r="AN101">
        <f t="shared" si="6"/>
        <v>7</v>
      </c>
      <c r="AO101">
        <f t="shared" si="7"/>
        <v>1</v>
      </c>
      <c r="AP101">
        <f t="shared" si="8"/>
        <v>2</v>
      </c>
      <c r="AQ101">
        <f t="shared" si="9"/>
        <v>2017</v>
      </c>
    </row>
    <row r="102" spans="1:43" x14ac:dyDescent="0.35">
      <c r="A102">
        <v>478</v>
      </c>
      <c r="B102">
        <v>21</v>
      </c>
      <c r="C102" t="s">
        <v>144</v>
      </c>
      <c r="D102" t="s">
        <v>151</v>
      </c>
      <c r="E102" t="s">
        <v>158</v>
      </c>
      <c r="F102" t="s">
        <v>35</v>
      </c>
      <c r="G102" t="s">
        <v>41</v>
      </c>
      <c r="H102" t="s">
        <v>81</v>
      </c>
      <c r="I102" t="s">
        <v>42</v>
      </c>
      <c r="J102" t="s">
        <v>166</v>
      </c>
      <c r="K102" t="s">
        <v>42</v>
      </c>
      <c r="L102" t="s">
        <v>147</v>
      </c>
      <c r="M102" t="s">
        <v>49</v>
      </c>
      <c r="N102" t="s">
        <v>95</v>
      </c>
      <c r="P102" t="s">
        <v>144</v>
      </c>
      <c r="Q102">
        <v>11</v>
      </c>
      <c r="R102">
        <v>1</v>
      </c>
      <c r="S102">
        <v>3</v>
      </c>
      <c r="T102">
        <v>1</v>
      </c>
      <c r="U102">
        <v>1</v>
      </c>
      <c r="V102">
        <v>1</v>
      </c>
      <c r="W102">
        <v>99</v>
      </c>
      <c r="X102">
        <v>756</v>
      </c>
      <c r="Y102">
        <v>9150</v>
      </c>
      <c r="Z102">
        <v>2174</v>
      </c>
      <c r="AA102">
        <v>3</v>
      </c>
      <c r="AB102" s="29">
        <v>44773</v>
      </c>
      <c r="AC102" s="29">
        <v>37415</v>
      </c>
      <c r="AD102" s="29">
        <v>43667</v>
      </c>
      <c r="AE102" s="29">
        <v>43877</v>
      </c>
      <c r="AF102">
        <v>1</v>
      </c>
      <c r="AG102" t="s">
        <v>157</v>
      </c>
      <c r="AH102">
        <v>1</v>
      </c>
      <c r="AI102">
        <v>20</v>
      </c>
      <c r="AJ102">
        <v>1</v>
      </c>
      <c r="AK102" t="s">
        <v>170</v>
      </c>
      <c r="AL102" t="s">
        <v>77</v>
      </c>
      <c r="AM102">
        <f t="shared" si="5"/>
        <v>3</v>
      </c>
      <c r="AN102">
        <f t="shared" si="6"/>
        <v>7</v>
      </c>
      <c r="AO102">
        <f t="shared" si="7"/>
        <v>1</v>
      </c>
      <c r="AP102">
        <f t="shared" si="8"/>
        <v>2</v>
      </c>
      <c r="AQ102">
        <f t="shared" si="9"/>
        <v>2019</v>
      </c>
    </row>
    <row r="103" spans="1:43" x14ac:dyDescent="0.35">
      <c r="A103">
        <v>165</v>
      </c>
      <c r="B103">
        <v>58</v>
      </c>
      <c r="C103" t="s">
        <v>144</v>
      </c>
      <c r="D103" t="s">
        <v>145</v>
      </c>
      <c r="E103" t="s">
        <v>158</v>
      </c>
      <c r="F103" t="s">
        <v>38</v>
      </c>
      <c r="G103" t="s">
        <v>42</v>
      </c>
      <c r="H103" t="s">
        <v>81</v>
      </c>
      <c r="I103" t="s">
        <v>42</v>
      </c>
      <c r="J103" t="s">
        <v>166</v>
      </c>
      <c r="K103" t="s">
        <v>43</v>
      </c>
      <c r="L103" t="s">
        <v>41</v>
      </c>
      <c r="M103" t="s">
        <v>49</v>
      </c>
      <c r="N103" t="s">
        <v>96</v>
      </c>
      <c r="O103" t="s">
        <v>43</v>
      </c>
      <c r="P103" t="s">
        <v>144</v>
      </c>
      <c r="Q103">
        <v>19</v>
      </c>
      <c r="R103">
        <v>6</v>
      </c>
      <c r="S103">
        <v>5</v>
      </c>
      <c r="T103">
        <v>0</v>
      </c>
      <c r="U103">
        <v>2</v>
      </c>
      <c r="V103">
        <v>1</v>
      </c>
      <c r="W103">
        <v>48</v>
      </c>
      <c r="X103">
        <v>341</v>
      </c>
      <c r="Y103">
        <v>23522</v>
      </c>
      <c r="Z103">
        <v>2800</v>
      </c>
      <c r="AA103">
        <v>3</v>
      </c>
      <c r="AB103" s="29">
        <v>44773</v>
      </c>
      <c r="AC103" s="29">
        <v>23945</v>
      </c>
      <c r="AD103" s="29">
        <v>42813</v>
      </c>
      <c r="AE103" s="29">
        <v>43882</v>
      </c>
      <c r="AF103">
        <v>3</v>
      </c>
      <c r="AG103" t="s">
        <v>167</v>
      </c>
      <c r="AH103">
        <v>2</v>
      </c>
      <c r="AI103">
        <v>55</v>
      </c>
      <c r="AJ103">
        <v>1</v>
      </c>
      <c r="AK103" t="s">
        <v>170</v>
      </c>
      <c r="AL103" t="s">
        <v>77</v>
      </c>
      <c r="AM103">
        <f t="shared" si="5"/>
        <v>1</v>
      </c>
      <c r="AN103">
        <f t="shared" si="6"/>
        <v>3</v>
      </c>
      <c r="AO103">
        <f t="shared" si="7"/>
        <v>1</v>
      </c>
      <c r="AP103">
        <f t="shared" si="8"/>
        <v>2</v>
      </c>
      <c r="AQ103">
        <f t="shared" si="9"/>
        <v>2017</v>
      </c>
    </row>
    <row r="104" spans="1:43" x14ac:dyDescent="0.35">
      <c r="A104">
        <v>47</v>
      </c>
      <c r="B104">
        <v>50</v>
      </c>
      <c r="C104" t="s">
        <v>144</v>
      </c>
      <c r="D104" t="s">
        <v>145</v>
      </c>
      <c r="E104" t="s">
        <v>168</v>
      </c>
      <c r="F104" t="s">
        <v>37</v>
      </c>
      <c r="G104" t="s">
        <v>43</v>
      </c>
      <c r="H104" t="s">
        <v>82</v>
      </c>
      <c r="I104" t="s">
        <v>43</v>
      </c>
      <c r="J104" t="s">
        <v>168</v>
      </c>
      <c r="K104" t="s">
        <v>41</v>
      </c>
      <c r="L104" t="s">
        <v>152</v>
      </c>
      <c r="M104" t="s">
        <v>49</v>
      </c>
      <c r="N104" t="s">
        <v>96</v>
      </c>
      <c r="P104" t="s">
        <v>144</v>
      </c>
      <c r="Q104">
        <v>22</v>
      </c>
      <c r="R104">
        <v>4</v>
      </c>
      <c r="S104">
        <v>7</v>
      </c>
      <c r="T104">
        <v>0</v>
      </c>
      <c r="U104">
        <v>2</v>
      </c>
      <c r="V104">
        <v>6</v>
      </c>
      <c r="W104">
        <v>63</v>
      </c>
      <c r="X104">
        <v>807</v>
      </c>
      <c r="Y104">
        <v>23648</v>
      </c>
      <c r="Z104">
        <v>2073</v>
      </c>
      <c r="AA104">
        <v>3</v>
      </c>
      <c r="AB104" s="29">
        <v>44773</v>
      </c>
      <c r="AC104" s="29">
        <v>26572</v>
      </c>
      <c r="AD104" s="29">
        <v>43117</v>
      </c>
      <c r="AE104" s="29">
        <v>43882</v>
      </c>
      <c r="AF104">
        <v>2</v>
      </c>
      <c r="AG104" t="s">
        <v>167</v>
      </c>
      <c r="AH104">
        <v>1</v>
      </c>
      <c r="AI104">
        <v>48</v>
      </c>
      <c r="AJ104">
        <v>1</v>
      </c>
      <c r="AK104" t="s">
        <v>170</v>
      </c>
      <c r="AL104" t="s">
        <v>77</v>
      </c>
      <c r="AM104">
        <f t="shared" si="5"/>
        <v>1</v>
      </c>
      <c r="AN104">
        <f t="shared" si="6"/>
        <v>1</v>
      </c>
      <c r="AO104">
        <f t="shared" si="7"/>
        <v>1</v>
      </c>
      <c r="AP104">
        <f t="shared" si="8"/>
        <v>2</v>
      </c>
      <c r="AQ104">
        <f t="shared" si="9"/>
        <v>2018</v>
      </c>
    </row>
    <row r="105" spans="1:43" x14ac:dyDescent="0.35">
      <c r="A105">
        <v>65</v>
      </c>
      <c r="B105">
        <v>28</v>
      </c>
      <c r="C105" t="s">
        <v>144</v>
      </c>
      <c r="D105" t="s">
        <v>145</v>
      </c>
      <c r="E105" t="s">
        <v>158</v>
      </c>
      <c r="F105" t="s">
        <v>36</v>
      </c>
      <c r="G105" t="s">
        <v>42</v>
      </c>
      <c r="H105" t="s">
        <v>81</v>
      </c>
      <c r="I105" t="s">
        <v>43</v>
      </c>
      <c r="J105" t="s">
        <v>166</v>
      </c>
      <c r="K105" t="s">
        <v>44</v>
      </c>
      <c r="L105" t="s">
        <v>147</v>
      </c>
      <c r="M105" t="s">
        <v>50</v>
      </c>
      <c r="N105" t="s">
        <v>95</v>
      </c>
      <c r="P105" t="s">
        <v>144</v>
      </c>
      <c r="Q105">
        <v>12</v>
      </c>
      <c r="R105">
        <v>1</v>
      </c>
      <c r="S105">
        <v>2</v>
      </c>
      <c r="T105">
        <v>0</v>
      </c>
      <c r="U105">
        <v>0</v>
      </c>
      <c r="V105">
        <v>3</v>
      </c>
      <c r="W105">
        <v>70</v>
      </c>
      <c r="X105">
        <v>544</v>
      </c>
      <c r="Y105">
        <v>18420</v>
      </c>
      <c r="Z105">
        <v>1569</v>
      </c>
      <c r="AA105">
        <v>2</v>
      </c>
      <c r="AB105" s="29">
        <v>44773</v>
      </c>
      <c r="AC105" s="29">
        <v>34723</v>
      </c>
      <c r="AD105" s="29">
        <v>43590</v>
      </c>
      <c r="AE105" s="29">
        <v>43888</v>
      </c>
      <c r="AF105">
        <v>1</v>
      </c>
      <c r="AG105" t="s">
        <v>157</v>
      </c>
      <c r="AH105">
        <v>1</v>
      </c>
      <c r="AI105">
        <v>27</v>
      </c>
      <c r="AJ105">
        <v>1</v>
      </c>
      <c r="AK105" t="s">
        <v>170</v>
      </c>
      <c r="AL105" t="s">
        <v>77</v>
      </c>
      <c r="AM105">
        <f t="shared" si="5"/>
        <v>2</v>
      </c>
      <c r="AN105">
        <f t="shared" si="6"/>
        <v>5</v>
      </c>
      <c r="AO105">
        <f t="shared" si="7"/>
        <v>1</v>
      </c>
      <c r="AP105">
        <f t="shared" si="8"/>
        <v>2</v>
      </c>
      <c r="AQ105">
        <f t="shared" si="9"/>
        <v>2019</v>
      </c>
    </row>
    <row r="106" spans="1:43" x14ac:dyDescent="0.35">
      <c r="A106">
        <v>590</v>
      </c>
      <c r="B106">
        <v>34</v>
      </c>
      <c r="C106" t="s">
        <v>144</v>
      </c>
      <c r="D106" t="s">
        <v>151</v>
      </c>
      <c r="E106" t="s">
        <v>4</v>
      </c>
      <c r="F106" t="s">
        <v>36</v>
      </c>
      <c r="G106" t="s">
        <v>41</v>
      </c>
      <c r="H106" t="s">
        <v>81</v>
      </c>
      <c r="I106" t="s">
        <v>41</v>
      </c>
      <c r="J106" t="s">
        <v>146</v>
      </c>
      <c r="K106" t="s">
        <v>42</v>
      </c>
      <c r="L106" t="s">
        <v>48</v>
      </c>
      <c r="M106" t="s">
        <v>49</v>
      </c>
      <c r="N106" t="s">
        <v>95</v>
      </c>
      <c r="P106" t="s">
        <v>144</v>
      </c>
      <c r="Q106">
        <v>13</v>
      </c>
      <c r="R106">
        <v>7</v>
      </c>
      <c r="S106">
        <v>10</v>
      </c>
      <c r="T106">
        <v>3</v>
      </c>
      <c r="U106">
        <v>4</v>
      </c>
      <c r="V106">
        <v>1</v>
      </c>
      <c r="W106">
        <v>67</v>
      </c>
      <c r="X106">
        <v>654</v>
      </c>
      <c r="Y106">
        <v>3872</v>
      </c>
      <c r="Z106">
        <v>2216</v>
      </c>
      <c r="AA106">
        <v>4</v>
      </c>
      <c r="AB106" s="29">
        <v>44773</v>
      </c>
      <c r="AC106" s="29">
        <v>32413</v>
      </c>
      <c r="AD106" s="29">
        <v>41722</v>
      </c>
      <c r="AE106" s="29">
        <v>43889</v>
      </c>
      <c r="AF106">
        <v>6</v>
      </c>
      <c r="AG106" t="s">
        <v>149</v>
      </c>
      <c r="AH106">
        <v>1</v>
      </c>
      <c r="AI106">
        <v>28</v>
      </c>
      <c r="AJ106">
        <v>1</v>
      </c>
      <c r="AK106" t="s">
        <v>150</v>
      </c>
      <c r="AL106" t="s">
        <v>77</v>
      </c>
      <c r="AM106">
        <f t="shared" si="5"/>
        <v>1</v>
      </c>
      <c r="AN106">
        <f t="shared" si="6"/>
        <v>3</v>
      </c>
      <c r="AO106">
        <f t="shared" si="7"/>
        <v>1</v>
      </c>
      <c r="AP106">
        <f t="shared" si="8"/>
        <v>2</v>
      </c>
      <c r="AQ106">
        <f t="shared" si="9"/>
        <v>2014</v>
      </c>
    </row>
    <row r="107" spans="1:43" x14ac:dyDescent="0.35">
      <c r="A107">
        <v>488</v>
      </c>
      <c r="B107">
        <v>41</v>
      </c>
      <c r="C107" t="s">
        <v>144</v>
      </c>
      <c r="D107" t="s">
        <v>151</v>
      </c>
      <c r="E107" t="s">
        <v>158</v>
      </c>
      <c r="F107" t="s">
        <v>36</v>
      </c>
      <c r="G107" t="s">
        <v>41</v>
      </c>
      <c r="H107" t="s">
        <v>82</v>
      </c>
      <c r="I107" t="s">
        <v>42</v>
      </c>
      <c r="J107" t="s">
        <v>166</v>
      </c>
      <c r="K107" t="s">
        <v>41</v>
      </c>
      <c r="L107" t="s">
        <v>147</v>
      </c>
      <c r="M107" t="s">
        <v>49</v>
      </c>
      <c r="N107" t="s">
        <v>160</v>
      </c>
      <c r="P107" t="s">
        <v>148</v>
      </c>
      <c r="Q107">
        <v>12</v>
      </c>
      <c r="R107">
        <v>3</v>
      </c>
      <c r="S107">
        <v>6</v>
      </c>
      <c r="T107">
        <v>2</v>
      </c>
      <c r="U107">
        <v>2</v>
      </c>
      <c r="V107">
        <v>9</v>
      </c>
      <c r="W107">
        <v>68</v>
      </c>
      <c r="X107">
        <v>383</v>
      </c>
      <c r="Y107">
        <v>15182</v>
      </c>
      <c r="Z107">
        <v>4400</v>
      </c>
      <c r="AA107">
        <v>2</v>
      </c>
      <c r="AB107" s="29">
        <v>44773</v>
      </c>
      <c r="AC107" s="29">
        <v>29968</v>
      </c>
      <c r="AD107" s="29">
        <v>43007</v>
      </c>
      <c r="AE107" s="29">
        <v>43889</v>
      </c>
      <c r="AF107">
        <v>2</v>
      </c>
      <c r="AG107" t="s">
        <v>153</v>
      </c>
      <c r="AH107">
        <v>1</v>
      </c>
      <c r="AI107">
        <v>39</v>
      </c>
      <c r="AJ107">
        <v>1</v>
      </c>
      <c r="AK107" t="s">
        <v>170</v>
      </c>
      <c r="AL107" t="s">
        <v>78</v>
      </c>
      <c r="AM107">
        <f t="shared" si="5"/>
        <v>3</v>
      </c>
      <c r="AN107">
        <f t="shared" si="6"/>
        <v>9</v>
      </c>
      <c r="AO107">
        <f t="shared" si="7"/>
        <v>1</v>
      </c>
      <c r="AP107">
        <f t="shared" si="8"/>
        <v>2</v>
      </c>
      <c r="AQ107">
        <f t="shared" si="9"/>
        <v>2017</v>
      </c>
    </row>
    <row r="108" spans="1:43" x14ac:dyDescent="0.35">
      <c r="A108">
        <v>133</v>
      </c>
      <c r="B108">
        <v>37</v>
      </c>
      <c r="C108" t="s">
        <v>144</v>
      </c>
      <c r="D108" t="s">
        <v>145</v>
      </c>
      <c r="E108" t="s">
        <v>158</v>
      </c>
      <c r="F108" t="s">
        <v>38</v>
      </c>
      <c r="G108" t="s">
        <v>43</v>
      </c>
      <c r="H108" t="s">
        <v>82</v>
      </c>
      <c r="I108" t="s">
        <v>43</v>
      </c>
      <c r="J108" t="s">
        <v>166</v>
      </c>
      <c r="K108" t="s">
        <v>44</v>
      </c>
      <c r="L108" t="s">
        <v>152</v>
      </c>
      <c r="M108" t="s">
        <v>49</v>
      </c>
      <c r="N108" t="s">
        <v>96</v>
      </c>
      <c r="O108" t="s">
        <v>41</v>
      </c>
      <c r="P108" t="s">
        <v>144</v>
      </c>
      <c r="Q108">
        <v>21</v>
      </c>
      <c r="R108">
        <v>1</v>
      </c>
      <c r="S108">
        <v>3</v>
      </c>
      <c r="T108">
        <v>0</v>
      </c>
      <c r="U108">
        <v>2</v>
      </c>
      <c r="V108">
        <v>7</v>
      </c>
      <c r="W108">
        <v>99</v>
      </c>
      <c r="X108">
        <v>427</v>
      </c>
      <c r="Y108">
        <v>25103</v>
      </c>
      <c r="Z108">
        <v>2275</v>
      </c>
      <c r="AA108">
        <v>2</v>
      </c>
      <c r="AB108" s="29">
        <v>44773</v>
      </c>
      <c r="AC108" s="29">
        <v>31369</v>
      </c>
      <c r="AD108" s="29">
        <v>42927</v>
      </c>
      <c r="AE108" s="29">
        <v>43889</v>
      </c>
      <c r="AF108">
        <v>3</v>
      </c>
      <c r="AG108" t="s">
        <v>149</v>
      </c>
      <c r="AH108">
        <v>1</v>
      </c>
      <c r="AI108">
        <v>34</v>
      </c>
      <c r="AJ108">
        <v>1</v>
      </c>
      <c r="AK108" t="s">
        <v>170</v>
      </c>
      <c r="AL108" t="s">
        <v>77</v>
      </c>
      <c r="AM108">
        <f t="shared" si="5"/>
        <v>3</v>
      </c>
      <c r="AN108">
        <f t="shared" si="6"/>
        <v>7</v>
      </c>
      <c r="AO108">
        <f t="shared" si="7"/>
        <v>1</v>
      </c>
      <c r="AP108">
        <f t="shared" si="8"/>
        <v>2</v>
      </c>
      <c r="AQ108">
        <f t="shared" si="9"/>
        <v>2017</v>
      </c>
    </row>
    <row r="109" spans="1:43" x14ac:dyDescent="0.35">
      <c r="A109">
        <v>555</v>
      </c>
      <c r="B109">
        <v>34</v>
      </c>
      <c r="C109" t="s">
        <v>144</v>
      </c>
      <c r="D109" t="s">
        <v>151</v>
      </c>
      <c r="E109" t="s">
        <v>168</v>
      </c>
      <c r="F109" t="s">
        <v>38</v>
      </c>
      <c r="G109" t="s">
        <v>42</v>
      </c>
      <c r="H109" t="s">
        <v>81</v>
      </c>
      <c r="I109" t="s">
        <v>43</v>
      </c>
      <c r="J109" t="s">
        <v>168</v>
      </c>
      <c r="K109" t="s">
        <v>41</v>
      </c>
      <c r="L109" t="s">
        <v>147</v>
      </c>
      <c r="M109" t="s">
        <v>49</v>
      </c>
      <c r="N109" t="s">
        <v>96</v>
      </c>
      <c r="O109" t="s">
        <v>43</v>
      </c>
      <c r="P109" t="s">
        <v>144</v>
      </c>
      <c r="Q109">
        <v>15</v>
      </c>
      <c r="R109">
        <v>9</v>
      </c>
      <c r="S109">
        <v>11</v>
      </c>
      <c r="T109">
        <v>0</v>
      </c>
      <c r="U109">
        <v>2</v>
      </c>
      <c r="V109">
        <v>23</v>
      </c>
      <c r="W109">
        <v>43</v>
      </c>
      <c r="X109">
        <v>988</v>
      </c>
      <c r="Y109">
        <v>11533</v>
      </c>
      <c r="Z109">
        <v>9950</v>
      </c>
      <c r="AA109">
        <v>2</v>
      </c>
      <c r="AB109" s="29">
        <v>44773</v>
      </c>
      <c r="AC109" s="29">
        <v>32701</v>
      </c>
      <c r="AD109" s="29">
        <v>42865</v>
      </c>
      <c r="AE109" s="29">
        <v>43890</v>
      </c>
      <c r="AF109">
        <v>3</v>
      </c>
      <c r="AG109" t="s">
        <v>149</v>
      </c>
      <c r="AH109">
        <v>1</v>
      </c>
      <c r="AI109">
        <v>31</v>
      </c>
      <c r="AJ109">
        <v>2</v>
      </c>
      <c r="AK109" t="s">
        <v>170</v>
      </c>
      <c r="AL109" t="s">
        <v>78</v>
      </c>
      <c r="AM109">
        <f t="shared" si="5"/>
        <v>2</v>
      </c>
      <c r="AN109">
        <f t="shared" si="6"/>
        <v>5</v>
      </c>
      <c r="AO109">
        <f t="shared" si="7"/>
        <v>1</v>
      </c>
      <c r="AP109">
        <f t="shared" si="8"/>
        <v>2</v>
      </c>
      <c r="AQ109">
        <f t="shared" si="9"/>
        <v>2017</v>
      </c>
    </row>
    <row r="110" spans="1:43" x14ac:dyDescent="0.35">
      <c r="A110">
        <v>720</v>
      </c>
      <c r="B110">
        <v>24</v>
      </c>
      <c r="C110" t="s">
        <v>144</v>
      </c>
      <c r="D110" t="s">
        <v>145</v>
      </c>
      <c r="E110" t="s">
        <v>4</v>
      </c>
      <c r="F110" t="s">
        <v>38</v>
      </c>
      <c r="G110" t="s">
        <v>41</v>
      </c>
      <c r="H110" t="s">
        <v>82</v>
      </c>
      <c r="I110" t="s">
        <v>43</v>
      </c>
      <c r="J110" t="s">
        <v>155</v>
      </c>
      <c r="K110" t="s">
        <v>41</v>
      </c>
      <c r="L110" t="s">
        <v>48</v>
      </c>
      <c r="M110" t="s">
        <v>50</v>
      </c>
      <c r="N110" t="s">
        <v>160</v>
      </c>
      <c r="P110" t="s">
        <v>148</v>
      </c>
      <c r="Q110">
        <v>12</v>
      </c>
      <c r="R110">
        <v>4</v>
      </c>
      <c r="S110">
        <v>10</v>
      </c>
      <c r="T110">
        <v>1</v>
      </c>
      <c r="U110">
        <v>2</v>
      </c>
      <c r="V110">
        <v>3</v>
      </c>
      <c r="W110">
        <v>89</v>
      </c>
      <c r="X110">
        <v>935</v>
      </c>
      <c r="Y110">
        <v>14669</v>
      </c>
      <c r="Z110">
        <v>2362</v>
      </c>
      <c r="AA110">
        <v>4</v>
      </c>
      <c r="AB110" s="29">
        <v>44773</v>
      </c>
      <c r="AC110" s="29">
        <v>36061</v>
      </c>
      <c r="AD110" s="29">
        <v>43029</v>
      </c>
      <c r="AE110" s="29">
        <v>43918</v>
      </c>
      <c r="AF110">
        <v>2</v>
      </c>
      <c r="AG110" t="s">
        <v>157</v>
      </c>
      <c r="AH110">
        <v>1</v>
      </c>
      <c r="AI110">
        <v>22</v>
      </c>
      <c r="AJ110">
        <v>1</v>
      </c>
      <c r="AK110" t="s">
        <v>170</v>
      </c>
      <c r="AL110" t="s">
        <v>77</v>
      </c>
      <c r="AM110">
        <f t="shared" si="5"/>
        <v>4</v>
      </c>
      <c r="AN110">
        <f t="shared" si="6"/>
        <v>10</v>
      </c>
      <c r="AO110">
        <f t="shared" si="7"/>
        <v>1</v>
      </c>
      <c r="AP110">
        <f t="shared" si="8"/>
        <v>3</v>
      </c>
      <c r="AQ110">
        <f t="shared" si="9"/>
        <v>2017</v>
      </c>
    </row>
    <row r="111" spans="1:43" x14ac:dyDescent="0.35">
      <c r="A111">
        <v>881</v>
      </c>
      <c r="B111">
        <v>35</v>
      </c>
      <c r="C111" t="s">
        <v>144</v>
      </c>
      <c r="D111" t="s">
        <v>151</v>
      </c>
      <c r="E111" t="s">
        <v>158</v>
      </c>
      <c r="F111" t="s">
        <v>36</v>
      </c>
      <c r="G111" t="s">
        <v>41</v>
      </c>
      <c r="H111" t="s">
        <v>82</v>
      </c>
      <c r="I111" t="s">
        <v>41</v>
      </c>
      <c r="J111" t="s">
        <v>159</v>
      </c>
      <c r="K111" t="s">
        <v>42</v>
      </c>
      <c r="L111" t="s">
        <v>147</v>
      </c>
      <c r="M111" t="s">
        <v>49</v>
      </c>
      <c r="N111" t="s">
        <v>95</v>
      </c>
      <c r="P111" t="s">
        <v>148</v>
      </c>
      <c r="Q111">
        <v>15</v>
      </c>
      <c r="R111">
        <v>6</v>
      </c>
      <c r="S111">
        <v>10</v>
      </c>
      <c r="T111">
        <v>0</v>
      </c>
      <c r="U111">
        <v>0</v>
      </c>
      <c r="V111">
        <v>1</v>
      </c>
      <c r="W111">
        <v>34</v>
      </c>
      <c r="X111">
        <v>964</v>
      </c>
      <c r="Y111">
        <v>12147</v>
      </c>
      <c r="Z111">
        <v>6735</v>
      </c>
      <c r="AA111">
        <v>2</v>
      </c>
      <c r="AB111" s="29">
        <v>44773</v>
      </c>
      <c r="AC111" s="29">
        <v>32187</v>
      </c>
      <c r="AD111" s="29">
        <v>43202</v>
      </c>
      <c r="AE111" s="29">
        <v>43930</v>
      </c>
      <c r="AF111">
        <v>2</v>
      </c>
      <c r="AG111" t="s">
        <v>149</v>
      </c>
      <c r="AH111">
        <v>2</v>
      </c>
      <c r="AI111">
        <v>33</v>
      </c>
      <c r="AJ111">
        <v>2</v>
      </c>
      <c r="AK111" t="s">
        <v>170</v>
      </c>
      <c r="AL111" t="s">
        <v>77</v>
      </c>
      <c r="AM111">
        <f t="shared" si="5"/>
        <v>2</v>
      </c>
      <c r="AN111">
        <f t="shared" si="6"/>
        <v>4</v>
      </c>
      <c r="AO111">
        <f t="shared" si="7"/>
        <v>2</v>
      </c>
      <c r="AP111">
        <f t="shared" si="8"/>
        <v>4</v>
      </c>
      <c r="AQ111">
        <f t="shared" si="9"/>
        <v>2018</v>
      </c>
    </row>
    <row r="112" spans="1:43" x14ac:dyDescent="0.35">
      <c r="A112">
        <v>926</v>
      </c>
      <c r="B112">
        <v>22</v>
      </c>
      <c r="C112" t="s">
        <v>144</v>
      </c>
      <c r="D112" t="s">
        <v>145</v>
      </c>
      <c r="E112" t="s">
        <v>4</v>
      </c>
      <c r="F112" t="s">
        <v>35</v>
      </c>
      <c r="G112" t="s">
        <v>42</v>
      </c>
      <c r="H112" t="s">
        <v>81</v>
      </c>
      <c r="I112" t="s">
        <v>41</v>
      </c>
      <c r="J112" t="s">
        <v>146</v>
      </c>
      <c r="K112" t="s">
        <v>41</v>
      </c>
      <c r="L112" t="s">
        <v>152</v>
      </c>
      <c r="M112" t="s">
        <v>49</v>
      </c>
      <c r="N112" t="s">
        <v>95</v>
      </c>
      <c r="P112" t="s">
        <v>144</v>
      </c>
      <c r="Q112">
        <v>22</v>
      </c>
      <c r="R112">
        <v>1</v>
      </c>
      <c r="S112">
        <v>10</v>
      </c>
      <c r="T112">
        <v>6</v>
      </c>
      <c r="U112">
        <v>7</v>
      </c>
      <c r="V112">
        <v>16</v>
      </c>
      <c r="W112">
        <v>72</v>
      </c>
      <c r="X112">
        <v>1125</v>
      </c>
      <c r="Y112">
        <v>4681</v>
      </c>
      <c r="Z112">
        <v>3919</v>
      </c>
      <c r="AA112">
        <v>5</v>
      </c>
      <c r="AB112" s="29">
        <v>44773</v>
      </c>
      <c r="AC112" s="29">
        <v>36869</v>
      </c>
      <c r="AD112" s="29">
        <v>40374</v>
      </c>
      <c r="AE112" s="29">
        <v>43956</v>
      </c>
      <c r="AF112">
        <v>10</v>
      </c>
      <c r="AG112" t="s">
        <v>157</v>
      </c>
      <c r="AH112">
        <v>1</v>
      </c>
      <c r="AI112">
        <v>12</v>
      </c>
      <c r="AJ112">
        <v>1</v>
      </c>
      <c r="AK112" t="s">
        <v>154</v>
      </c>
      <c r="AL112" t="s">
        <v>77</v>
      </c>
      <c r="AM112">
        <f t="shared" si="5"/>
        <v>3</v>
      </c>
      <c r="AN112">
        <f t="shared" si="6"/>
        <v>7</v>
      </c>
      <c r="AO112">
        <f t="shared" si="7"/>
        <v>2</v>
      </c>
      <c r="AP112">
        <f t="shared" si="8"/>
        <v>5</v>
      </c>
      <c r="AQ112">
        <f t="shared" si="9"/>
        <v>2010</v>
      </c>
    </row>
    <row r="113" spans="1:43" x14ac:dyDescent="0.35">
      <c r="A113">
        <v>932</v>
      </c>
      <c r="B113">
        <v>39</v>
      </c>
      <c r="C113" t="s">
        <v>144</v>
      </c>
      <c r="D113" t="s">
        <v>145</v>
      </c>
      <c r="E113" t="s">
        <v>158</v>
      </c>
      <c r="F113" t="s">
        <v>38</v>
      </c>
      <c r="G113" t="s">
        <v>41</v>
      </c>
      <c r="H113" t="s">
        <v>81</v>
      </c>
      <c r="I113" t="s">
        <v>43</v>
      </c>
      <c r="J113" t="s">
        <v>159</v>
      </c>
      <c r="K113" t="s">
        <v>41</v>
      </c>
      <c r="L113" t="s">
        <v>48</v>
      </c>
      <c r="M113" t="s">
        <v>49</v>
      </c>
      <c r="N113" t="s">
        <v>95</v>
      </c>
      <c r="P113" t="s">
        <v>148</v>
      </c>
      <c r="Q113">
        <v>15</v>
      </c>
      <c r="R113">
        <v>5</v>
      </c>
      <c r="S113">
        <v>6</v>
      </c>
      <c r="T113">
        <v>0</v>
      </c>
      <c r="U113">
        <v>2</v>
      </c>
      <c r="V113">
        <v>16</v>
      </c>
      <c r="W113">
        <v>69</v>
      </c>
      <c r="X113">
        <v>118</v>
      </c>
      <c r="Y113">
        <v>26507</v>
      </c>
      <c r="Z113">
        <v>5324</v>
      </c>
      <c r="AA113">
        <v>3</v>
      </c>
      <c r="AB113" s="29">
        <v>44773</v>
      </c>
      <c r="AC113" s="29">
        <v>30589</v>
      </c>
      <c r="AD113" s="29">
        <v>42963</v>
      </c>
      <c r="AE113" s="29">
        <v>43960</v>
      </c>
      <c r="AF113">
        <v>3</v>
      </c>
      <c r="AG113" t="s">
        <v>149</v>
      </c>
      <c r="AH113">
        <v>1</v>
      </c>
      <c r="AI113">
        <v>36</v>
      </c>
      <c r="AJ113">
        <v>2</v>
      </c>
      <c r="AK113" t="s">
        <v>170</v>
      </c>
      <c r="AL113" t="s">
        <v>77</v>
      </c>
      <c r="AM113">
        <f t="shared" si="5"/>
        <v>3</v>
      </c>
      <c r="AN113">
        <f t="shared" si="6"/>
        <v>8</v>
      </c>
      <c r="AO113">
        <f t="shared" si="7"/>
        <v>2</v>
      </c>
      <c r="AP113">
        <f t="shared" si="8"/>
        <v>5</v>
      </c>
      <c r="AQ113">
        <f t="shared" si="9"/>
        <v>2017</v>
      </c>
    </row>
    <row r="114" spans="1:43" x14ac:dyDescent="0.35">
      <c r="A114">
        <v>1439</v>
      </c>
      <c r="B114">
        <v>25</v>
      </c>
      <c r="C114" t="s">
        <v>144</v>
      </c>
      <c r="D114" t="s">
        <v>145</v>
      </c>
      <c r="E114" t="s">
        <v>158</v>
      </c>
      <c r="F114" t="s">
        <v>38</v>
      </c>
      <c r="G114" t="s">
        <v>42</v>
      </c>
      <c r="H114" t="s">
        <v>82</v>
      </c>
      <c r="I114" t="s">
        <v>42</v>
      </c>
      <c r="J114" t="s">
        <v>159</v>
      </c>
      <c r="K114" t="s">
        <v>41</v>
      </c>
      <c r="L114" t="s">
        <v>147</v>
      </c>
      <c r="M114" t="s">
        <v>49</v>
      </c>
      <c r="N114" t="s">
        <v>160</v>
      </c>
      <c r="O114" t="s">
        <v>41</v>
      </c>
      <c r="P114" t="s">
        <v>148</v>
      </c>
      <c r="Q114">
        <v>11</v>
      </c>
      <c r="R114">
        <v>1</v>
      </c>
      <c r="S114">
        <v>10</v>
      </c>
      <c r="T114">
        <v>6</v>
      </c>
      <c r="U114">
        <v>7</v>
      </c>
      <c r="V114">
        <v>1</v>
      </c>
      <c r="W114">
        <v>64</v>
      </c>
      <c r="X114">
        <v>740</v>
      </c>
      <c r="Y114">
        <v>5323</v>
      </c>
      <c r="Z114">
        <v>9714</v>
      </c>
      <c r="AA114">
        <v>4</v>
      </c>
      <c r="AB114" s="29">
        <v>44773</v>
      </c>
      <c r="AC114" s="29">
        <v>35997</v>
      </c>
      <c r="AD114" s="29">
        <v>40753</v>
      </c>
      <c r="AE114" s="29">
        <v>43990</v>
      </c>
      <c r="AF114">
        <v>9</v>
      </c>
      <c r="AG114" t="s">
        <v>157</v>
      </c>
      <c r="AH114">
        <v>1</v>
      </c>
      <c r="AI114">
        <v>16</v>
      </c>
      <c r="AJ114">
        <v>1</v>
      </c>
      <c r="AK114" t="s">
        <v>150</v>
      </c>
      <c r="AL114" t="s">
        <v>77</v>
      </c>
      <c r="AM114">
        <f t="shared" si="5"/>
        <v>3</v>
      </c>
      <c r="AN114">
        <f t="shared" si="6"/>
        <v>7</v>
      </c>
      <c r="AO114">
        <f t="shared" si="7"/>
        <v>2</v>
      </c>
      <c r="AP114">
        <f t="shared" si="8"/>
        <v>6</v>
      </c>
      <c r="AQ114">
        <f t="shared" si="9"/>
        <v>2011</v>
      </c>
    </row>
    <row r="115" spans="1:43" x14ac:dyDescent="0.35">
      <c r="A115">
        <v>1037</v>
      </c>
      <c r="B115">
        <v>26</v>
      </c>
      <c r="C115" t="s">
        <v>144</v>
      </c>
      <c r="D115" t="s">
        <v>164</v>
      </c>
      <c r="E115" t="s">
        <v>158</v>
      </c>
      <c r="F115" t="s">
        <v>38</v>
      </c>
      <c r="G115" t="s">
        <v>44</v>
      </c>
      <c r="H115" t="s">
        <v>81</v>
      </c>
      <c r="I115" t="s">
        <v>43</v>
      </c>
      <c r="J115" t="s">
        <v>166</v>
      </c>
      <c r="K115" t="s">
        <v>42</v>
      </c>
      <c r="L115" t="s">
        <v>48</v>
      </c>
      <c r="M115" t="s">
        <v>50</v>
      </c>
      <c r="N115" t="s">
        <v>95</v>
      </c>
      <c r="P115" t="s">
        <v>144</v>
      </c>
      <c r="Q115">
        <v>11</v>
      </c>
      <c r="R115">
        <v>1</v>
      </c>
      <c r="S115">
        <v>3</v>
      </c>
      <c r="T115">
        <v>2</v>
      </c>
      <c r="U115">
        <v>2</v>
      </c>
      <c r="V115">
        <v>1</v>
      </c>
      <c r="W115">
        <v>54</v>
      </c>
      <c r="X115">
        <v>1060</v>
      </c>
      <c r="Y115">
        <v>8319</v>
      </c>
      <c r="Z115">
        <v>2302</v>
      </c>
      <c r="AA115">
        <v>2</v>
      </c>
      <c r="AB115" s="29">
        <v>44773</v>
      </c>
      <c r="AC115" s="29">
        <v>35352</v>
      </c>
      <c r="AD115" s="29">
        <v>42916</v>
      </c>
      <c r="AE115" s="29">
        <v>43997</v>
      </c>
      <c r="AF115">
        <v>3</v>
      </c>
      <c r="AG115" t="s">
        <v>157</v>
      </c>
      <c r="AH115">
        <v>1</v>
      </c>
      <c r="AI115">
        <v>23</v>
      </c>
      <c r="AJ115">
        <v>2</v>
      </c>
      <c r="AK115" t="s">
        <v>170</v>
      </c>
      <c r="AL115" t="s">
        <v>78</v>
      </c>
      <c r="AM115">
        <f t="shared" si="5"/>
        <v>2</v>
      </c>
      <c r="AN115">
        <f t="shared" si="6"/>
        <v>6</v>
      </c>
      <c r="AO115">
        <f t="shared" si="7"/>
        <v>2</v>
      </c>
      <c r="AP115">
        <f t="shared" si="8"/>
        <v>6</v>
      </c>
      <c r="AQ115">
        <f t="shared" si="9"/>
        <v>2017</v>
      </c>
    </row>
    <row r="116" spans="1:43" x14ac:dyDescent="0.35">
      <c r="A116">
        <v>1160</v>
      </c>
      <c r="B116">
        <v>31</v>
      </c>
      <c r="C116" t="s">
        <v>144</v>
      </c>
      <c r="D116" t="s">
        <v>151</v>
      </c>
      <c r="E116" t="s">
        <v>158</v>
      </c>
      <c r="F116" t="s">
        <v>36</v>
      </c>
      <c r="G116" t="s">
        <v>41</v>
      </c>
      <c r="H116" t="s">
        <v>82</v>
      </c>
      <c r="I116" t="s">
        <v>42</v>
      </c>
      <c r="J116" t="s">
        <v>166</v>
      </c>
      <c r="K116" t="s">
        <v>43</v>
      </c>
      <c r="L116" t="s">
        <v>147</v>
      </c>
      <c r="M116" t="s">
        <v>49</v>
      </c>
      <c r="N116" t="s">
        <v>160</v>
      </c>
      <c r="P116" t="s">
        <v>144</v>
      </c>
      <c r="Q116">
        <v>14</v>
      </c>
      <c r="R116">
        <v>1</v>
      </c>
      <c r="S116">
        <v>3</v>
      </c>
      <c r="T116">
        <v>0</v>
      </c>
      <c r="U116">
        <v>2</v>
      </c>
      <c r="V116">
        <v>3</v>
      </c>
      <c r="W116">
        <v>86</v>
      </c>
      <c r="X116">
        <v>869</v>
      </c>
      <c r="Y116">
        <v>3810</v>
      </c>
      <c r="Z116">
        <v>2683</v>
      </c>
      <c r="AA116">
        <v>2</v>
      </c>
      <c r="AB116" s="29">
        <v>44773</v>
      </c>
      <c r="AC116" s="29">
        <v>33478</v>
      </c>
      <c r="AD116" s="29">
        <v>43260</v>
      </c>
      <c r="AE116" s="29">
        <v>43998</v>
      </c>
      <c r="AF116">
        <v>2</v>
      </c>
      <c r="AG116" t="s">
        <v>149</v>
      </c>
      <c r="AH116">
        <v>2</v>
      </c>
      <c r="AI116">
        <v>29</v>
      </c>
      <c r="AJ116">
        <v>1</v>
      </c>
      <c r="AK116" t="s">
        <v>170</v>
      </c>
      <c r="AL116" t="s">
        <v>77</v>
      </c>
      <c r="AM116">
        <f t="shared" si="5"/>
        <v>2</v>
      </c>
      <c r="AN116">
        <f t="shared" si="6"/>
        <v>6</v>
      </c>
      <c r="AO116">
        <f t="shared" si="7"/>
        <v>2</v>
      </c>
      <c r="AP116">
        <f t="shared" si="8"/>
        <v>6</v>
      </c>
      <c r="AQ116">
        <f t="shared" si="9"/>
        <v>2018</v>
      </c>
    </row>
    <row r="117" spans="1:43" x14ac:dyDescent="0.35">
      <c r="A117">
        <v>896</v>
      </c>
      <c r="B117">
        <v>29</v>
      </c>
      <c r="C117" t="s">
        <v>144</v>
      </c>
      <c r="D117" t="s">
        <v>145</v>
      </c>
      <c r="E117" t="s">
        <v>4</v>
      </c>
      <c r="F117" t="s">
        <v>37</v>
      </c>
      <c r="G117" t="s">
        <v>44</v>
      </c>
      <c r="H117" t="s">
        <v>81</v>
      </c>
      <c r="I117" t="s">
        <v>43</v>
      </c>
      <c r="J117" t="s">
        <v>146</v>
      </c>
      <c r="K117" t="s">
        <v>42</v>
      </c>
      <c r="L117" t="s">
        <v>48</v>
      </c>
      <c r="M117" t="s">
        <v>48</v>
      </c>
      <c r="N117" t="s">
        <v>96</v>
      </c>
      <c r="O117" t="s">
        <v>41</v>
      </c>
      <c r="P117" t="s">
        <v>144</v>
      </c>
      <c r="Q117">
        <v>19</v>
      </c>
      <c r="R117">
        <v>1</v>
      </c>
      <c r="S117">
        <v>10</v>
      </c>
      <c r="T117">
        <v>7</v>
      </c>
      <c r="U117">
        <v>8</v>
      </c>
      <c r="V117">
        <v>25</v>
      </c>
      <c r="W117">
        <v>96</v>
      </c>
      <c r="X117">
        <v>130</v>
      </c>
      <c r="Y117">
        <v>16612</v>
      </c>
      <c r="Z117">
        <v>2022</v>
      </c>
      <c r="AA117">
        <v>3</v>
      </c>
      <c r="AB117" s="29">
        <v>44773</v>
      </c>
      <c r="AC117" s="29">
        <v>34317</v>
      </c>
      <c r="AD117" s="29">
        <v>40322</v>
      </c>
      <c r="AE117" s="29">
        <v>43999</v>
      </c>
      <c r="AF117">
        <v>10</v>
      </c>
      <c r="AG117" t="s">
        <v>157</v>
      </c>
      <c r="AH117">
        <v>1</v>
      </c>
      <c r="AI117">
        <v>19</v>
      </c>
      <c r="AJ117">
        <v>1</v>
      </c>
      <c r="AK117" t="s">
        <v>154</v>
      </c>
      <c r="AL117" t="s">
        <v>77</v>
      </c>
      <c r="AM117">
        <f t="shared" si="5"/>
        <v>2</v>
      </c>
      <c r="AN117">
        <f t="shared" si="6"/>
        <v>5</v>
      </c>
      <c r="AO117">
        <f t="shared" si="7"/>
        <v>2</v>
      </c>
      <c r="AP117">
        <f t="shared" si="8"/>
        <v>6</v>
      </c>
      <c r="AQ117">
        <f t="shared" si="9"/>
        <v>2010</v>
      </c>
    </row>
    <row r="118" spans="1:43" x14ac:dyDescent="0.35">
      <c r="A118">
        <v>922</v>
      </c>
      <c r="B118">
        <v>20</v>
      </c>
      <c r="C118" t="s">
        <v>144</v>
      </c>
      <c r="D118" t="s">
        <v>145</v>
      </c>
      <c r="E118" t="s">
        <v>4</v>
      </c>
      <c r="F118" t="s">
        <v>35</v>
      </c>
      <c r="G118" t="s">
        <v>42</v>
      </c>
      <c r="H118" t="s">
        <v>81</v>
      </c>
      <c r="I118" t="s">
        <v>43</v>
      </c>
      <c r="J118" t="s">
        <v>165</v>
      </c>
      <c r="K118" t="s">
        <v>43</v>
      </c>
      <c r="L118" t="s">
        <v>147</v>
      </c>
      <c r="M118" t="s">
        <v>50</v>
      </c>
      <c r="N118" t="s">
        <v>160</v>
      </c>
      <c r="O118" t="s">
        <v>41</v>
      </c>
      <c r="P118" t="s">
        <v>144</v>
      </c>
      <c r="Q118">
        <v>19</v>
      </c>
      <c r="R118">
        <v>0</v>
      </c>
      <c r="S118">
        <v>4</v>
      </c>
      <c r="T118">
        <v>0</v>
      </c>
      <c r="U118">
        <v>2</v>
      </c>
      <c r="V118">
        <v>3</v>
      </c>
      <c r="W118">
        <v>34</v>
      </c>
      <c r="X118">
        <v>617</v>
      </c>
      <c r="Y118">
        <v>10022</v>
      </c>
      <c r="Z118">
        <v>4171</v>
      </c>
      <c r="AA118">
        <v>3</v>
      </c>
      <c r="AB118" s="29">
        <v>44773</v>
      </c>
      <c r="AC118" s="29">
        <v>37763</v>
      </c>
      <c r="AD118" s="29">
        <v>42928</v>
      </c>
      <c r="AE118" s="29">
        <v>44004</v>
      </c>
      <c r="AF118">
        <v>3</v>
      </c>
      <c r="AG118" t="s">
        <v>157</v>
      </c>
      <c r="AH118">
        <v>1</v>
      </c>
      <c r="AI118">
        <v>17</v>
      </c>
      <c r="AJ118">
        <v>2</v>
      </c>
      <c r="AK118" t="s">
        <v>170</v>
      </c>
      <c r="AL118" t="s">
        <v>77</v>
      </c>
      <c r="AM118">
        <f t="shared" si="5"/>
        <v>3</v>
      </c>
      <c r="AN118">
        <f t="shared" si="6"/>
        <v>7</v>
      </c>
      <c r="AO118">
        <f t="shared" si="7"/>
        <v>2</v>
      </c>
      <c r="AP118">
        <f t="shared" si="8"/>
        <v>6</v>
      </c>
      <c r="AQ118">
        <f t="shared" si="9"/>
        <v>2017</v>
      </c>
    </row>
    <row r="119" spans="1:43" x14ac:dyDescent="0.35">
      <c r="A119">
        <v>1167</v>
      </c>
      <c r="B119">
        <v>42</v>
      </c>
      <c r="C119" t="s">
        <v>144</v>
      </c>
      <c r="D119" t="s">
        <v>151</v>
      </c>
      <c r="E119" t="s">
        <v>4</v>
      </c>
      <c r="F119" t="s">
        <v>37</v>
      </c>
      <c r="G119" t="s">
        <v>44</v>
      </c>
      <c r="H119" t="s">
        <v>81</v>
      </c>
      <c r="I119" t="s">
        <v>43</v>
      </c>
      <c r="J119" t="s">
        <v>161</v>
      </c>
      <c r="K119" t="s">
        <v>44</v>
      </c>
      <c r="L119" t="s">
        <v>152</v>
      </c>
      <c r="M119" t="s">
        <v>48</v>
      </c>
      <c r="N119" t="s">
        <v>160</v>
      </c>
      <c r="O119" t="s">
        <v>41</v>
      </c>
      <c r="P119" t="s">
        <v>148</v>
      </c>
      <c r="Q119">
        <v>12</v>
      </c>
      <c r="R119">
        <v>1</v>
      </c>
      <c r="S119">
        <v>8</v>
      </c>
      <c r="T119">
        <v>5</v>
      </c>
      <c r="U119">
        <v>5</v>
      </c>
      <c r="V119">
        <v>23</v>
      </c>
      <c r="W119">
        <v>94</v>
      </c>
      <c r="X119">
        <v>147</v>
      </c>
      <c r="Y119">
        <v>3465</v>
      </c>
      <c r="Z119">
        <v>10312</v>
      </c>
      <c r="AA119">
        <v>3</v>
      </c>
      <c r="AB119" s="29">
        <v>44773</v>
      </c>
      <c r="AC119" s="29">
        <v>29654</v>
      </c>
      <c r="AD119" s="29">
        <v>42205</v>
      </c>
      <c r="AE119" s="29">
        <v>44006</v>
      </c>
      <c r="AF119">
        <v>5</v>
      </c>
      <c r="AG119" t="s">
        <v>153</v>
      </c>
      <c r="AH119">
        <v>1</v>
      </c>
      <c r="AI119">
        <v>37</v>
      </c>
      <c r="AJ119">
        <v>1</v>
      </c>
      <c r="AK119" t="s">
        <v>162</v>
      </c>
      <c r="AL119" t="s">
        <v>77</v>
      </c>
      <c r="AM119">
        <f t="shared" si="5"/>
        <v>3</v>
      </c>
      <c r="AN119">
        <f t="shared" si="6"/>
        <v>7</v>
      </c>
      <c r="AO119">
        <f t="shared" si="7"/>
        <v>2</v>
      </c>
      <c r="AP119">
        <f t="shared" si="8"/>
        <v>6</v>
      </c>
      <c r="AQ119">
        <f t="shared" si="9"/>
        <v>2015</v>
      </c>
    </row>
    <row r="120" spans="1:43" x14ac:dyDescent="0.35">
      <c r="A120">
        <v>1331</v>
      </c>
      <c r="B120">
        <v>31</v>
      </c>
      <c r="C120" t="s">
        <v>144</v>
      </c>
      <c r="D120" t="s">
        <v>151</v>
      </c>
      <c r="E120" t="s">
        <v>4</v>
      </c>
      <c r="F120" t="s">
        <v>36</v>
      </c>
      <c r="G120" t="s">
        <v>43</v>
      </c>
      <c r="H120" t="s">
        <v>82</v>
      </c>
      <c r="I120" t="s">
        <v>42</v>
      </c>
      <c r="J120" t="s">
        <v>155</v>
      </c>
      <c r="K120" t="s">
        <v>41</v>
      </c>
      <c r="L120" t="s">
        <v>147</v>
      </c>
      <c r="M120" t="s">
        <v>48</v>
      </c>
      <c r="N120" t="s">
        <v>95</v>
      </c>
      <c r="P120" t="s">
        <v>148</v>
      </c>
      <c r="Q120">
        <v>11</v>
      </c>
      <c r="R120">
        <v>7</v>
      </c>
      <c r="S120">
        <v>8</v>
      </c>
      <c r="T120">
        <v>0</v>
      </c>
      <c r="U120">
        <v>0</v>
      </c>
      <c r="V120">
        <v>2</v>
      </c>
      <c r="W120">
        <v>38</v>
      </c>
      <c r="X120">
        <v>289</v>
      </c>
      <c r="Y120">
        <v>5355</v>
      </c>
      <c r="Z120">
        <v>2561</v>
      </c>
      <c r="AA120">
        <v>2</v>
      </c>
      <c r="AB120" s="29">
        <v>44773</v>
      </c>
      <c r="AC120" s="29">
        <v>33685</v>
      </c>
      <c r="AD120" s="29">
        <v>43892</v>
      </c>
      <c r="AE120" s="29">
        <v>44008</v>
      </c>
      <c r="AF120">
        <v>0</v>
      </c>
      <c r="AG120" t="s">
        <v>149</v>
      </c>
      <c r="AH120">
        <v>2</v>
      </c>
      <c r="AI120">
        <v>31</v>
      </c>
      <c r="AJ120">
        <v>2</v>
      </c>
      <c r="AK120" t="s">
        <v>171</v>
      </c>
      <c r="AL120" t="s">
        <v>77</v>
      </c>
      <c r="AM120">
        <f t="shared" si="5"/>
        <v>1</v>
      </c>
      <c r="AN120">
        <f t="shared" si="6"/>
        <v>3</v>
      </c>
      <c r="AO120">
        <f t="shared" si="7"/>
        <v>2</v>
      </c>
      <c r="AP120">
        <f t="shared" si="8"/>
        <v>6</v>
      </c>
      <c r="AQ120">
        <f t="shared" si="9"/>
        <v>2020</v>
      </c>
    </row>
    <row r="121" spans="1:43" x14ac:dyDescent="0.35">
      <c r="A121">
        <v>1333</v>
      </c>
      <c r="B121">
        <v>44</v>
      </c>
      <c r="C121" t="s">
        <v>144</v>
      </c>
      <c r="D121" t="s">
        <v>145</v>
      </c>
      <c r="E121" t="s">
        <v>4</v>
      </c>
      <c r="F121" t="s">
        <v>38</v>
      </c>
      <c r="G121" t="s">
        <v>44</v>
      </c>
      <c r="H121" t="s">
        <v>82</v>
      </c>
      <c r="I121" t="s">
        <v>43</v>
      </c>
      <c r="J121" t="s">
        <v>155</v>
      </c>
      <c r="K121" t="s">
        <v>41</v>
      </c>
      <c r="L121" t="s">
        <v>152</v>
      </c>
      <c r="M121" t="s">
        <v>47</v>
      </c>
      <c r="N121" t="s">
        <v>160</v>
      </c>
      <c r="P121" t="s">
        <v>144</v>
      </c>
      <c r="Q121">
        <v>21</v>
      </c>
      <c r="R121">
        <v>7</v>
      </c>
      <c r="S121">
        <v>8</v>
      </c>
      <c r="T121">
        <v>1</v>
      </c>
      <c r="U121">
        <v>1</v>
      </c>
      <c r="V121">
        <v>6</v>
      </c>
      <c r="W121">
        <v>70</v>
      </c>
      <c r="X121">
        <v>1122</v>
      </c>
      <c r="Y121">
        <v>4303</v>
      </c>
      <c r="Z121">
        <v>2404</v>
      </c>
      <c r="AA121">
        <v>2</v>
      </c>
      <c r="AB121" s="29">
        <v>44773</v>
      </c>
      <c r="AC121" s="29">
        <v>28788</v>
      </c>
      <c r="AD121" s="29">
        <v>43564</v>
      </c>
      <c r="AE121" s="29">
        <v>44009</v>
      </c>
      <c r="AF121">
        <v>1</v>
      </c>
      <c r="AG121" t="s">
        <v>153</v>
      </c>
      <c r="AH121">
        <v>1</v>
      </c>
      <c r="AI121">
        <v>43</v>
      </c>
      <c r="AJ121">
        <v>2</v>
      </c>
      <c r="AK121" t="s">
        <v>170</v>
      </c>
      <c r="AL121" t="s">
        <v>77</v>
      </c>
      <c r="AM121">
        <f t="shared" si="5"/>
        <v>2</v>
      </c>
      <c r="AN121">
        <f t="shared" si="6"/>
        <v>4</v>
      </c>
      <c r="AO121">
        <f t="shared" si="7"/>
        <v>2</v>
      </c>
      <c r="AP121">
        <f t="shared" si="8"/>
        <v>6</v>
      </c>
      <c r="AQ121">
        <f t="shared" si="9"/>
        <v>2019</v>
      </c>
    </row>
    <row r="122" spans="1:43" x14ac:dyDescent="0.35">
      <c r="A122">
        <v>1156</v>
      </c>
      <c r="B122">
        <v>18</v>
      </c>
      <c r="C122" t="s">
        <v>144</v>
      </c>
      <c r="D122" t="s">
        <v>164</v>
      </c>
      <c r="E122" t="s">
        <v>158</v>
      </c>
      <c r="F122" t="s">
        <v>37</v>
      </c>
      <c r="G122" t="s">
        <v>41</v>
      </c>
      <c r="H122" t="s">
        <v>82</v>
      </c>
      <c r="I122" t="s">
        <v>44</v>
      </c>
      <c r="J122" t="s">
        <v>159</v>
      </c>
      <c r="K122" t="s">
        <v>43</v>
      </c>
      <c r="L122" t="s">
        <v>147</v>
      </c>
      <c r="M122" t="s">
        <v>48</v>
      </c>
      <c r="N122" t="s">
        <v>95</v>
      </c>
      <c r="P122" t="s">
        <v>144</v>
      </c>
      <c r="Q122">
        <v>17</v>
      </c>
      <c r="R122">
        <v>6</v>
      </c>
      <c r="S122">
        <v>24</v>
      </c>
      <c r="T122">
        <v>3</v>
      </c>
      <c r="U122">
        <v>8</v>
      </c>
      <c r="V122">
        <v>13</v>
      </c>
      <c r="W122">
        <v>85</v>
      </c>
      <c r="X122">
        <v>267</v>
      </c>
      <c r="Y122">
        <v>9277</v>
      </c>
      <c r="Z122">
        <v>13695</v>
      </c>
      <c r="AA122">
        <v>2</v>
      </c>
      <c r="AB122" s="29">
        <v>44773</v>
      </c>
      <c r="AC122" s="29">
        <v>38467</v>
      </c>
      <c r="AD122" s="29">
        <v>37101</v>
      </c>
      <c r="AE122" s="29">
        <v>44012</v>
      </c>
      <c r="AF122">
        <v>19</v>
      </c>
      <c r="AG122" t="s">
        <v>172</v>
      </c>
      <c r="AH122">
        <v>1</v>
      </c>
      <c r="AI122">
        <v>-1</v>
      </c>
      <c r="AJ122">
        <v>1</v>
      </c>
      <c r="AK122" t="s">
        <v>163</v>
      </c>
      <c r="AL122" t="s">
        <v>77</v>
      </c>
      <c r="AM122">
        <f t="shared" si="5"/>
        <v>3</v>
      </c>
      <c r="AN122">
        <f t="shared" si="6"/>
        <v>7</v>
      </c>
      <c r="AO122">
        <f t="shared" si="7"/>
        <v>2</v>
      </c>
      <c r="AP122">
        <f t="shared" si="8"/>
        <v>6</v>
      </c>
      <c r="AQ122">
        <f t="shared" si="9"/>
        <v>2001</v>
      </c>
    </row>
    <row r="123" spans="1:43" x14ac:dyDescent="0.35">
      <c r="A123">
        <v>1372</v>
      </c>
      <c r="B123">
        <v>55</v>
      </c>
      <c r="C123" t="s">
        <v>144</v>
      </c>
      <c r="D123" t="s">
        <v>145</v>
      </c>
      <c r="E123" t="s">
        <v>4</v>
      </c>
      <c r="F123" t="s">
        <v>37</v>
      </c>
      <c r="G123" t="s">
        <v>43</v>
      </c>
      <c r="H123" t="s">
        <v>82</v>
      </c>
      <c r="I123" t="s">
        <v>43</v>
      </c>
      <c r="J123" t="s">
        <v>155</v>
      </c>
      <c r="K123" t="s">
        <v>43</v>
      </c>
      <c r="L123" t="s">
        <v>147</v>
      </c>
      <c r="M123" t="s">
        <v>48</v>
      </c>
      <c r="N123" t="s">
        <v>95</v>
      </c>
      <c r="P123" t="s">
        <v>144</v>
      </c>
      <c r="Q123">
        <v>13</v>
      </c>
      <c r="R123">
        <v>1</v>
      </c>
      <c r="S123">
        <v>2</v>
      </c>
      <c r="T123">
        <v>2</v>
      </c>
      <c r="U123">
        <v>2</v>
      </c>
      <c r="V123">
        <v>5</v>
      </c>
      <c r="W123">
        <v>50</v>
      </c>
      <c r="X123">
        <v>1434</v>
      </c>
      <c r="Y123">
        <v>11179</v>
      </c>
      <c r="Z123">
        <v>3441</v>
      </c>
      <c r="AA123">
        <v>3</v>
      </c>
      <c r="AB123" s="29">
        <v>44773</v>
      </c>
      <c r="AC123" s="29">
        <v>24701</v>
      </c>
      <c r="AD123" s="29">
        <v>43379</v>
      </c>
      <c r="AE123" s="29">
        <v>44044</v>
      </c>
      <c r="AF123">
        <v>2</v>
      </c>
      <c r="AG123" t="s">
        <v>167</v>
      </c>
      <c r="AH123">
        <v>2</v>
      </c>
      <c r="AI123">
        <v>53</v>
      </c>
      <c r="AJ123">
        <v>1</v>
      </c>
      <c r="AK123" t="s">
        <v>170</v>
      </c>
      <c r="AL123" t="s">
        <v>78</v>
      </c>
      <c r="AM123">
        <f t="shared" si="5"/>
        <v>4</v>
      </c>
      <c r="AN123">
        <f t="shared" si="6"/>
        <v>10</v>
      </c>
      <c r="AO123">
        <f t="shared" si="7"/>
        <v>3</v>
      </c>
      <c r="AP123">
        <f t="shared" si="8"/>
        <v>8</v>
      </c>
      <c r="AQ123">
        <f t="shared" si="9"/>
        <v>2018</v>
      </c>
    </row>
    <row r="124" spans="1:43" x14ac:dyDescent="0.35">
      <c r="A124">
        <v>1405</v>
      </c>
      <c r="B124">
        <v>27</v>
      </c>
      <c r="C124" t="s">
        <v>144</v>
      </c>
      <c r="D124" t="s">
        <v>145</v>
      </c>
      <c r="E124" t="s">
        <v>158</v>
      </c>
      <c r="F124" t="s">
        <v>38</v>
      </c>
      <c r="G124" t="s">
        <v>41</v>
      </c>
      <c r="H124" t="s">
        <v>81</v>
      </c>
      <c r="I124" t="s">
        <v>43</v>
      </c>
      <c r="J124" t="s">
        <v>159</v>
      </c>
      <c r="K124" t="s">
        <v>41</v>
      </c>
      <c r="L124" t="s">
        <v>152</v>
      </c>
      <c r="M124" t="s">
        <v>48</v>
      </c>
      <c r="N124" t="s">
        <v>95</v>
      </c>
      <c r="P124" t="s">
        <v>144</v>
      </c>
      <c r="Q124">
        <v>20</v>
      </c>
      <c r="R124">
        <v>2</v>
      </c>
      <c r="S124">
        <v>11</v>
      </c>
      <c r="T124">
        <v>0</v>
      </c>
      <c r="U124">
        <v>0</v>
      </c>
      <c r="V124">
        <v>16</v>
      </c>
      <c r="W124">
        <v>74</v>
      </c>
      <c r="X124">
        <v>211</v>
      </c>
      <c r="Y124">
        <v>10092</v>
      </c>
      <c r="Z124">
        <v>8564</v>
      </c>
      <c r="AA124">
        <v>2</v>
      </c>
      <c r="AB124" s="29">
        <v>44773</v>
      </c>
      <c r="AC124" s="29">
        <v>35062</v>
      </c>
      <c r="AD124" s="29">
        <v>43432</v>
      </c>
      <c r="AE124" s="29">
        <v>44057</v>
      </c>
      <c r="AF124">
        <v>2</v>
      </c>
      <c r="AG124" t="s">
        <v>157</v>
      </c>
      <c r="AH124">
        <v>1</v>
      </c>
      <c r="AI124">
        <v>25</v>
      </c>
      <c r="AJ124">
        <v>1</v>
      </c>
      <c r="AK124" t="s">
        <v>170</v>
      </c>
      <c r="AL124" t="s">
        <v>77</v>
      </c>
      <c r="AM124">
        <f t="shared" si="5"/>
        <v>4</v>
      </c>
      <c r="AN124">
        <f t="shared" si="6"/>
        <v>11</v>
      </c>
      <c r="AO124">
        <f t="shared" si="7"/>
        <v>3</v>
      </c>
      <c r="AP124">
        <f t="shared" si="8"/>
        <v>8</v>
      </c>
      <c r="AQ124">
        <f t="shared" si="9"/>
        <v>2018</v>
      </c>
    </row>
    <row r="125" spans="1:43" x14ac:dyDescent="0.35">
      <c r="A125">
        <v>1467</v>
      </c>
      <c r="B125">
        <v>34</v>
      </c>
      <c r="C125" t="s">
        <v>144</v>
      </c>
      <c r="D125" t="s">
        <v>145</v>
      </c>
      <c r="E125" t="s">
        <v>4</v>
      </c>
      <c r="F125" t="s">
        <v>36</v>
      </c>
      <c r="G125" t="s">
        <v>44</v>
      </c>
      <c r="H125" t="s">
        <v>81</v>
      </c>
      <c r="I125" t="s">
        <v>43</v>
      </c>
      <c r="J125" t="s">
        <v>161</v>
      </c>
      <c r="K125" t="s">
        <v>42</v>
      </c>
      <c r="L125" t="s">
        <v>152</v>
      </c>
      <c r="M125" t="s">
        <v>50</v>
      </c>
      <c r="N125" t="s">
        <v>160</v>
      </c>
      <c r="O125" t="s">
        <v>41</v>
      </c>
      <c r="P125" t="s">
        <v>148</v>
      </c>
      <c r="Q125">
        <v>22</v>
      </c>
      <c r="R125">
        <v>4</v>
      </c>
      <c r="S125">
        <v>13</v>
      </c>
      <c r="T125">
        <v>3</v>
      </c>
      <c r="U125">
        <v>7</v>
      </c>
      <c r="V125">
        <v>21</v>
      </c>
      <c r="W125">
        <v>66</v>
      </c>
      <c r="X125">
        <v>261</v>
      </c>
      <c r="Y125">
        <v>10842</v>
      </c>
      <c r="Z125">
        <v>8926</v>
      </c>
      <c r="AA125">
        <v>2</v>
      </c>
      <c r="AB125" s="29">
        <v>44773</v>
      </c>
      <c r="AC125" s="29">
        <v>32417</v>
      </c>
      <c r="AD125" s="29">
        <v>41108</v>
      </c>
      <c r="AE125" s="29">
        <v>44102</v>
      </c>
      <c r="AF125">
        <v>8</v>
      </c>
      <c r="AG125" t="s">
        <v>149</v>
      </c>
      <c r="AH125">
        <v>1</v>
      </c>
      <c r="AI125">
        <v>26</v>
      </c>
      <c r="AJ125">
        <v>1</v>
      </c>
      <c r="AK125" t="s">
        <v>150</v>
      </c>
      <c r="AL125" t="s">
        <v>77</v>
      </c>
      <c r="AM125">
        <f t="shared" si="5"/>
        <v>3</v>
      </c>
      <c r="AN125">
        <f t="shared" si="6"/>
        <v>7</v>
      </c>
      <c r="AO125">
        <f t="shared" si="7"/>
        <v>3</v>
      </c>
      <c r="AP125">
        <f t="shared" si="8"/>
        <v>9</v>
      </c>
      <c r="AQ125">
        <f t="shared" si="9"/>
        <v>2012</v>
      </c>
    </row>
    <row r="126" spans="1:43" x14ac:dyDescent="0.35">
      <c r="A126">
        <v>1486</v>
      </c>
      <c r="B126">
        <v>28</v>
      </c>
      <c r="C126" t="s">
        <v>144</v>
      </c>
      <c r="D126" t="s">
        <v>151</v>
      </c>
      <c r="E126" t="s">
        <v>158</v>
      </c>
      <c r="F126" t="s">
        <v>36</v>
      </c>
      <c r="G126" t="s">
        <v>44</v>
      </c>
      <c r="H126" t="s">
        <v>81</v>
      </c>
      <c r="I126" t="s">
        <v>43</v>
      </c>
      <c r="J126" t="s">
        <v>159</v>
      </c>
      <c r="K126" t="s">
        <v>43</v>
      </c>
      <c r="L126" t="s">
        <v>147</v>
      </c>
      <c r="M126" t="s">
        <v>49</v>
      </c>
      <c r="N126" t="s">
        <v>95</v>
      </c>
      <c r="P126" t="s">
        <v>144</v>
      </c>
      <c r="Q126">
        <v>11</v>
      </c>
      <c r="R126">
        <v>3</v>
      </c>
      <c r="S126">
        <v>6</v>
      </c>
      <c r="T126">
        <v>1</v>
      </c>
      <c r="U126">
        <v>1</v>
      </c>
      <c r="V126">
        <v>13</v>
      </c>
      <c r="W126">
        <v>84</v>
      </c>
      <c r="X126">
        <v>1475</v>
      </c>
      <c r="Y126">
        <v>23352</v>
      </c>
      <c r="Z126">
        <v>9854</v>
      </c>
      <c r="AA126">
        <v>0</v>
      </c>
      <c r="AB126" s="29">
        <v>44773</v>
      </c>
      <c r="AC126" s="29">
        <v>34681</v>
      </c>
      <c r="AD126" s="29">
        <v>43619</v>
      </c>
      <c r="AE126" s="29">
        <v>44106</v>
      </c>
      <c r="AF126">
        <v>1</v>
      </c>
      <c r="AG126" t="s">
        <v>157</v>
      </c>
      <c r="AH126">
        <v>1</v>
      </c>
      <c r="AI126">
        <v>27</v>
      </c>
      <c r="AJ126">
        <v>1</v>
      </c>
      <c r="AK126" t="s">
        <v>170</v>
      </c>
      <c r="AL126" t="s">
        <v>77</v>
      </c>
      <c r="AM126">
        <f t="shared" si="5"/>
        <v>2</v>
      </c>
      <c r="AN126">
        <f t="shared" si="6"/>
        <v>6</v>
      </c>
      <c r="AO126">
        <f t="shared" si="7"/>
        <v>4</v>
      </c>
      <c r="AP126">
        <f t="shared" si="8"/>
        <v>10</v>
      </c>
      <c r="AQ126">
        <f t="shared" si="9"/>
        <v>2019</v>
      </c>
    </row>
    <row r="127" spans="1:43" x14ac:dyDescent="0.35">
      <c r="A127">
        <v>1504</v>
      </c>
      <c r="B127">
        <v>28</v>
      </c>
      <c r="C127" t="s">
        <v>144</v>
      </c>
      <c r="D127" t="s">
        <v>151</v>
      </c>
      <c r="E127" t="s">
        <v>158</v>
      </c>
      <c r="F127" t="s">
        <v>36</v>
      </c>
      <c r="G127" t="s">
        <v>41</v>
      </c>
      <c r="H127" t="s">
        <v>81</v>
      </c>
      <c r="I127" t="s">
        <v>43</v>
      </c>
      <c r="J127" t="s">
        <v>159</v>
      </c>
      <c r="K127" t="s">
        <v>43</v>
      </c>
      <c r="L127" t="s">
        <v>41</v>
      </c>
      <c r="M127" t="s">
        <v>49</v>
      </c>
      <c r="N127" t="s">
        <v>95</v>
      </c>
      <c r="P127" t="s">
        <v>148</v>
      </c>
      <c r="Q127">
        <v>14</v>
      </c>
      <c r="R127">
        <v>9</v>
      </c>
      <c r="S127">
        <v>4</v>
      </c>
      <c r="T127">
        <v>2</v>
      </c>
      <c r="U127">
        <v>0</v>
      </c>
      <c r="V127">
        <v>3</v>
      </c>
      <c r="W127">
        <v>65</v>
      </c>
      <c r="X127">
        <v>693</v>
      </c>
      <c r="Y127">
        <v>24785</v>
      </c>
      <c r="Z127">
        <v>4577</v>
      </c>
      <c r="AA127">
        <v>3</v>
      </c>
      <c r="AB127" s="29">
        <v>44773</v>
      </c>
      <c r="AC127" s="29">
        <v>34614</v>
      </c>
      <c r="AD127" s="29">
        <v>43510</v>
      </c>
      <c r="AE127" s="29">
        <v>44109</v>
      </c>
      <c r="AF127">
        <v>2</v>
      </c>
      <c r="AG127" t="s">
        <v>157</v>
      </c>
      <c r="AH127">
        <v>2</v>
      </c>
      <c r="AI127">
        <v>26</v>
      </c>
      <c r="AJ127">
        <v>1</v>
      </c>
      <c r="AK127" t="s">
        <v>170</v>
      </c>
      <c r="AL127" t="s">
        <v>78</v>
      </c>
      <c r="AM127">
        <f t="shared" si="5"/>
        <v>1</v>
      </c>
      <c r="AN127">
        <f t="shared" si="6"/>
        <v>2</v>
      </c>
      <c r="AO127">
        <f t="shared" si="7"/>
        <v>4</v>
      </c>
      <c r="AP127">
        <f t="shared" si="8"/>
        <v>10</v>
      </c>
      <c r="AQ127">
        <f t="shared" si="9"/>
        <v>2019</v>
      </c>
    </row>
    <row r="128" spans="1:43" x14ac:dyDescent="0.35">
      <c r="A128">
        <v>1562</v>
      </c>
      <c r="B128">
        <v>30</v>
      </c>
      <c r="C128" t="s">
        <v>144</v>
      </c>
      <c r="D128" t="s">
        <v>145</v>
      </c>
      <c r="E128" t="s">
        <v>4</v>
      </c>
      <c r="F128" t="s">
        <v>37</v>
      </c>
      <c r="G128" t="s">
        <v>41</v>
      </c>
      <c r="H128" t="s">
        <v>82</v>
      </c>
      <c r="I128" t="s">
        <v>43</v>
      </c>
      <c r="J128" t="s">
        <v>146</v>
      </c>
      <c r="K128" t="s">
        <v>44</v>
      </c>
      <c r="L128" t="s">
        <v>48</v>
      </c>
      <c r="M128" t="s">
        <v>50</v>
      </c>
      <c r="N128" t="s">
        <v>160</v>
      </c>
      <c r="O128" t="s">
        <v>43</v>
      </c>
      <c r="P128" t="s">
        <v>144</v>
      </c>
      <c r="Q128">
        <v>14</v>
      </c>
      <c r="R128">
        <v>9</v>
      </c>
      <c r="S128">
        <v>4</v>
      </c>
      <c r="T128">
        <v>1</v>
      </c>
      <c r="U128">
        <v>1</v>
      </c>
      <c r="V128">
        <v>1</v>
      </c>
      <c r="W128">
        <v>36</v>
      </c>
      <c r="X128">
        <v>1092</v>
      </c>
      <c r="Y128">
        <v>26124</v>
      </c>
      <c r="Z128">
        <v>4787</v>
      </c>
      <c r="AA128">
        <v>3</v>
      </c>
      <c r="AB128" s="29">
        <v>44773</v>
      </c>
      <c r="AC128" s="29">
        <v>33973</v>
      </c>
      <c r="AD128" s="29">
        <v>43586</v>
      </c>
      <c r="AE128" s="29">
        <v>44109</v>
      </c>
      <c r="AF128">
        <v>1</v>
      </c>
      <c r="AG128" t="s">
        <v>149</v>
      </c>
      <c r="AH128">
        <v>2</v>
      </c>
      <c r="AI128">
        <v>29</v>
      </c>
      <c r="AJ128">
        <v>1</v>
      </c>
      <c r="AK128" t="s">
        <v>170</v>
      </c>
      <c r="AL128" t="s">
        <v>77</v>
      </c>
      <c r="AM128">
        <f t="shared" si="5"/>
        <v>2</v>
      </c>
      <c r="AN128">
        <f t="shared" si="6"/>
        <v>5</v>
      </c>
      <c r="AO128">
        <f t="shared" si="7"/>
        <v>4</v>
      </c>
      <c r="AP128">
        <f t="shared" si="8"/>
        <v>10</v>
      </c>
      <c r="AQ128">
        <f t="shared" si="9"/>
        <v>2019</v>
      </c>
    </row>
    <row r="129" spans="1:43" x14ac:dyDescent="0.35">
      <c r="A129">
        <v>1624</v>
      </c>
      <c r="B129">
        <v>18</v>
      </c>
      <c r="C129" t="s">
        <v>144</v>
      </c>
      <c r="D129" t="s">
        <v>151</v>
      </c>
      <c r="E129" t="s">
        <v>4</v>
      </c>
      <c r="F129" t="s">
        <v>37</v>
      </c>
      <c r="G129" t="s">
        <v>41</v>
      </c>
      <c r="H129" t="s">
        <v>82</v>
      </c>
      <c r="I129" t="s">
        <v>43</v>
      </c>
      <c r="J129" t="s">
        <v>169</v>
      </c>
      <c r="K129" t="s">
        <v>42</v>
      </c>
      <c r="L129" t="s">
        <v>48</v>
      </c>
      <c r="M129" t="s">
        <v>48</v>
      </c>
      <c r="N129" t="s">
        <v>160</v>
      </c>
      <c r="O129" t="s">
        <v>41</v>
      </c>
      <c r="P129" t="s">
        <v>144</v>
      </c>
      <c r="Q129">
        <v>12</v>
      </c>
      <c r="R129">
        <v>1</v>
      </c>
      <c r="S129">
        <v>10</v>
      </c>
      <c r="T129">
        <v>9</v>
      </c>
      <c r="U129">
        <v>9</v>
      </c>
      <c r="V129">
        <v>29</v>
      </c>
      <c r="W129">
        <v>88</v>
      </c>
      <c r="X129">
        <v>666</v>
      </c>
      <c r="Y129">
        <v>10268</v>
      </c>
      <c r="Z129">
        <v>11849</v>
      </c>
      <c r="AA129">
        <v>2</v>
      </c>
      <c r="AB129" s="29">
        <v>44773</v>
      </c>
      <c r="AC129" s="29">
        <v>38506</v>
      </c>
      <c r="AD129" s="29">
        <v>40679</v>
      </c>
      <c r="AE129" s="29">
        <v>44126</v>
      </c>
      <c r="AF129">
        <v>9</v>
      </c>
      <c r="AG129" t="s">
        <v>172</v>
      </c>
      <c r="AH129">
        <v>1</v>
      </c>
      <c r="AI129">
        <v>9</v>
      </c>
      <c r="AJ129">
        <v>1</v>
      </c>
      <c r="AK129" t="s">
        <v>150</v>
      </c>
      <c r="AL129" t="s">
        <v>77</v>
      </c>
      <c r="AM129">
        <f t="shared" si="5"/>
        <v>2</v>
      </c>
      <c r="AN129">
        <f t="shared" si="6"/>
        <v>5</v>
      </c>
      <c r="AO129">
        <f t="shared" si="7"/>
        <v>4</v>
      </c>
      <c r="AP129">
        <f t="shared" si="8"/>
        <v>10</v>
      </c>
      <c r="AQ129">
        <f t="shared" si="9"/>
        <v>2011</v>
      </c>
    </row>
    <row r="130" spans="1:43" x14ac:dyDescent="0.35">
      <c r="A130">
        <v>1649</v>
      </c>
      <c r="B130">
        <v>40</v>
      </c>
      <c r="C130" t="s">
        <v>144</v>
      </c>
      <c r="D130" t="s">
        <v>145</v>
      </c>
      <c r="E130" t="s">
        <v>168</v>
      </c>
      <c r="F130" t="s">
        <v>37</v>
      </c>
      <c r="G130" t="s">
        <v>41</v>
      </c>
      <c r="H130" t="s">
        <v>81</v>
      </c>
      <c r="I130" t="s">
        <v>43</v>
      </c>
      <c r="J130" t="s">
        <v>168</v>
      </c>
      <c r="K130" t="s">
        <v>43</v>
      </c>
      <c r="L130" t="s">
        <v>48</v>
      </c>
      <c r="M130" t="s">
        <v>49</v>
      </c>
      <c r="N130" t="s">
        <v>160</v>
      </c>
      <c r="P130" t="s">
        <v>148</v>
      </c>
      <c r="Q130">
        <v>15</v>
      </c>
      <c r="R130">
        <v>1</v>
      </c>
      <c r="S130">
        <v>2</v>
      </c>
      <c r="T130">
        <v>2</v>
      </c>
      <c r="U130">
        <v>2</v>
      </c>
      <c r="V130">
        <v>9</v>
      </c>
      <c r="W130">
        <v>52</v>
      </c>
      <c r="X130">
        <v>1107</v>
      </c>
      <c r="Y130">
        <v>3072</v>
      </c>
      <c r="Z130">
        <v>2742</v>
      </c>
      <c r="AA130">
        <v>0</v>
      </c>
      <c r="AB130" s="29">
        <v>44773</v>
      </c>
      <c r="AC130" s="29">
        <v>30463</v>
      </c>
      <c r="AD130" s="29">
        <v>43405</v>
      </c>
      <c r="AE130" s="29">
        <v>44127</v>
      </c>
      <c r="AF130">
        <v>2</v>
      </c>
      <c r="AG130" t="s">
        <v>153</v>
      </c>
      <c r="AH130">
        <v>1</v>
      </c>
      <c r="AI130">
        <v>38</v>
      </c>
      <c r="AJ130">
        <v>1</v>
      </c>
      <c r="AK130" t="s">
        <v>170</v>
      </c>
      <c r="AL130" t="s">
        <v>77</v>
      </c>
      <c r="AM130">
        <f t="shared" ref="AM130:AM193" si="10">ROUNDUP(MONTH(AD130)/3,0)</f>
        <v>4</v>
      </c>
      <c r="AN130">
        <f t="shared" ref="AN130:AN193" si="11">MONTH(AD130)</f>
        <v>11</v>
      </c>
      <c r="AO130">
        <f t="shared" ref="AO130:AO193" si="12">IF(C130="Yes",ROUNDUP(MONTH(AE130)/3,0),"")</f>
        <v>4</v>
      </c>
      <c r="AP130">
        <f t="shared" ref="AP130:AP193" si="13">IF(C130="Yes",MONTH(AE130),"")</f>
        <v>10</v>
      </c>
      <c r="AQ130">
        <f t="shared" ref="AQ130:AQ193" si="14">YEAR(AD130)</f>
        <v>2018</v>
      </c>
    </row>
    <row r="131" spans="1:43" x14ac:dyDescent="0.35">
      <c r="A131">
        <v>1421</v>
      </c>
      <c r="B131">
        <v>29</v>
      </c>
      <c r="C131" t="s">
        <v>144</v>
      </c>
      <c r="D131" t="s">
        <v>151</v>
      </c>
      <c r="E131" t="s">
        <v>168</v>
      </c>
      <c r="F131" t="s">
        <v>38</v>
      </c>
      <c r="G131" t="s">
        <v>41</v>
      </c>
      <c r="H131" t="s">
        <v>82</v>
      </c>
      <c r="I131" t="s">
        <v>42</v>
      </c>
      <c r="J131" t="s">
        <v>168</v>
      </c>
      <c r="K131" t="s">
        <v>41</v>
      </c>
      <c r="L131" t="s">
        <v>147</v>
      </c>
      <c r="M131" t="s">
        <v>49</v>
      </c>
      <c r="N131" t="s">
        <v>96</v>
      </c>
      <c r="O131" t="s">
        <v>43</v>
      </c>
      <c r="P131" t="s">
        <v>144</v>
      </c>
      <c r="Q131">
        <v>15</v>
      </c>
      <c r="R131">
        <v>4</v>
      </c>
      <c r="S131">
        <v>4</v>
      </c>
      <c r="T131">
        <v>1</v>
      </c>
      <c r="U131">
        <v>0</v>
      </c>
      <c r="V131">
        <v>13</v>
      </c>
      <c r="W131">
        <v>56</v>
      </c>
      <c r="X131">
        <v>350</v>
      </c>
      <c r="Y131">
        <v>3157</v>
      </c>
      <c r="Z131">
        <v>2335</v>
      </c>
      <c r="AA131">
        <v>3</v>
      </c>
      <c r="AB131" s="29">
        <v>44773</v>
      </c>
      <c r="AC131" s="29">
        <v>34529</v>
      </c>
      <c r="AD131" s="29">
        <v>43699</v>
      </c>
      <c r="AE131" s="29">
        <v>44135</v>
      </c>
      <c r="AF131">
        <v>1</v>
      </c>
      <c r="AG131" t="s">
        <v>157</v>
      </c>
      <c r="AH131">
        <v>1</v>
      </c>
      <c r="AI131">
        <v>28</v>
      </c>
      <c r="AJ131">
        <v>2</v>
      </c>
      <c r="AK131" t="s">
        <v>170</v>
      </c>
      <c r="AL131" t="s">
        <v>78</v>
      </c>
      <c r="AM131">
        <f t="shared" si="10"/>
        <v>3</v>
      </c>
      <c r="AN131">
        <f t="shared" si="11"/>
        <v>8</v>
      </c>
      <c r="AO131">
        <f t="shared" si="12"/>
        <v>4</v>
      </c>
      <c r="AP131">
        <f t="shared" si="13"/>
        <v>10</v>
      </c>
      <c r="AQ131">
        <f t="shared" si="14"/>
        <v>2019</v>
      </c>
    </row>
    <row r="132" spans="1:43" x14ac:dyDescent="0.35">
      <c r="A132">
        <v>1702</v>
      </c>
      <c r="B132">
        <v>23</v>
      </c>
      <c r="C132" t="s">
        <v>144</v>
      </c>
      <c r="D132" t="s">
        <v>145</v>
      </c>
      <c r="E132" t="s">
        <v>158</v>
      </c>
      <c r="F132" t="s">
        <v>36</v>
      </c>
      <c r="G132" t="s">
        <v>44</v>
      </c>
      <c r="H132" t="s">
        <v>81</v>
      </c>
      <c r="I132" t="s">
        <v>41</v>
      </c>
      <c r="J132" t="s">
        <v>166</v>
      </c>
      <c r="K132" t="s">
        <v>43</v>
      </c>
      <c r="L132" t="s">
        <v>48</v>
      </c>
      <c r="M132" t="s">
        <v>48</v>
      </c>
      <c r="N132" t="s">
        <v>96</v>
      </c>
      <c r="O132" t="s">
        <v>41</v>
      </c>
      <c r="P132" t="s">
        <v>148</v>
      </c>
      <c r="Q132">
        <v>16</v>
      </c>
      <c r="R132">
        <v>0</v>
      </c>
      <c r="S132">
        <v>3</v>
      </c>
      <c r="T132">
        <v>1</v>
      </c>
      <c r="U132">
        <v>0</v>
      </c>
      <c r="V132">
        <v>6</v>
      </c>
      <c r="W132">
        <v>33</v>
      </c>
      <c r="X132">
        <v>296</v>
      </c>
      <c r="Y132">
        <v>12253</v>
      </c>
      <c r="Z132">
        <v>2351</v>
      </c>
      <c r="AA132">
        <v>3</v>
      </c>
      <c r="AB132" s="29">
        <v>44773</v>
      </c>
      <c r="AC132" s="29">
        <v>36687</v>
      </c>
      <c r="AD132" s="29">
        <v>43529</v>
      </c>
      <c r="AE132" s="29">
        <v>44135</v>
      </c>
      <c r="AF132">
        <v>2</v>
      </c>
      <c r="AG132" t="s">
        <v>157</v>
      </c>
      <c r="AH132">
        <v>1</v>
      </c>
      <c r="AI132">
        <v>21</v>
      </c>
      <c r="AJ132">
        <v>1</v>
      </c>
      <c r="AK132" t="s">
        <v>170</v>
      </c>
      <c r="AL132" t="s">
        <v>78</v>
      </c>
      <c r="AM132">
        <f t="shared" si="10"/>
        <v>1</v>
      </c>
      <c r="AN132">
        <f t="shared" si="11"/>
        <v>3</v>
      </c>
      <c r="AO132">
        <f t="shared" si="12"/>
        <v>4</v>
      </c>
      <c r="AP132">
        <f t="shared" si="13"/>
        <v>10</v>
      </c>
      <c r="AQ132">
        <f t="shared" si="14"/>
        <v>2019</v>
      </c>
    </row>
    <row r="133" spans="1:43" x14ac:dyDescent="0.35">
      <c r="A133">
        <v>1734</v>
      </c>
      <c r="B133">
        <v>32</v>
      </c>
      <c r="C133" t="s">
        <v>144</v>
      </c>
      <c r="D133" t="s">
        <v>145</v>
      </c>
      <c r="E133" t="s">
        <v>158</v>
      </c>
      <c r="F133" t="s">
        <v>36</v>
      </c>
      <c r="G133" t="s">
        <v>42</v>
      </c>
      <c r="H133" t="s">
        <v>82</v>
      </c>
      <c r="I133" t="s">
        <v>41</v>
      </c>
      <c r="J133" t="s">
        <v>159</v>
      </c>
      <c r="K133" t="s">
        <v>41</v>
      </c>
      <c r="L133" t="s">
        <v>147</v>
      </c>
      <c r="M133" t="s">
        <v>49</v>
      </c>
      <c r="N133" t="s">
        <v>95</v>
      </c>
      <c r="P133" t="s">
        <v>148</v>
      </c>
      <c r="Q133">
        <v>18</v>
      </c>
      <c r="R133">
        <v>8</v>
      </c>
      <c r="S133">
        <v>7</v>
      </c>
      <c r="T133">
        <v>1</v>
      </c>
      <c r="U133">
        <v>1</v>
      </c>
      <c r="V133">
        <v>29</v>
      </c>
      <c r="W133">
        <v>79</v>
      </c>
      <c r="X133">
        <v>265</v>
      </c>
      <c r="Y133">
        <v>21813</v>
      </c>
      <c r="Z133">
        <v>4969</v>
      </c>
      <c r="AA133">
        <v>6</v>
      </c>
      <c r="AB133" s="29">
        <v>44773</v>
      </c>
      <c r="AC133" s="29">
        <v>33245</v>
      </c>
      <c r="AD133" s="29">
        <v>43630</v>
      </c>
      <c r="AE133" s="29">
        <v>44140</v>
      </c>
      <c r="AF133">
        <v>1</v>
      </c>
      <c r="AG133" t="s">
        <v>149</v>
      </c>
      <c r="AH133">
        <v>1</v>
      </c>
      <c r="AI133">
        <v>31</v>
      </c>
      <c r="AJ133">
        <v>1</v>
      </c>
      <c r="AK133" t="s">
        <v>170</v>
      </c>
      <c r="AL133" t="s">
        <v>78</v>
      </c>
      <c r="AM133">
        <f t="shared" si="10"/>
        <v>2</v>
      </c>
      <c r="AN133">
        <f t="shared" si="11"/>
        <v>6</v>
      </c>
      <c r="AO133">
        <f t="shared" si="12"/>
        <v>4</v>
      </c>
      <c r="AP133">
        <f t="shared" si="13"/>
        <v>11</v>
      </c>
      <c r="AQ133">
        <f t="shared" si="14"/>
        <v>2019</v>
      </c>
    </row>
    <row r="134" spans="1:43" x14ac:dyDescent="0.35">
      <c r="A134">
        <v>1758</v>
      </c>
      <c r="B134">
        <v>33</v>
      </c>
      <c r="C134" t="s">
        <v>144</v>
      </c>
      <c r="D134" t="s">
        <v>145</v>
      </c>
      <c r="E134" t="s">
        <v>4</v>
      </c>
      <c r="F134" t="s">
        <v>38</v>
      </c>
      <c r="G134" t="s">
        <v>41</v>
      </c>
      <c r="H134" t="s">
        <v>82</v>
      </c>
      <c r="I134" t="s">
        <v>43</v>
      </c>
      <c r="J134" t="s">
        <v>155</v>
      </c>
      <c r="K134" t="s">
        <v>41</v>
      </c>
      <c r="L134" t="s">
        <v>41</v>
      </c>
      <c r="M134" t="s">
        <v>47</v>
      </c>
      <c r="N134" t="s">
        <v>95</v>
      </c>
      <c r="P134" t="s">
        <v>144</v>
      </c>
      <c r="Q134">
        <v>14</v>
      </c>
      <c r="R134">
        <v>3</v>
      </c>
      <c r="S134">
        <v>10</v>
      </c>
      <c r="T134">
        <v>0</v>
      </c>
      <c r="U134">
        <v>3</v>
      </c>
      <c r="V134">
        <v>7</v>
      </c>
      <c r="W134">
        <v>73</v>
      </c>
      <c r="X134">
        <v>1329</v>
      </c>
      <c r="Y134">
        <v>3339</v>
      </c>
      <c r="Z134">
        <v>2166</v>
      </c>
      <c r="AA134">
        <v>3</v>
      </c>
      <c r="AB134" s="29">
        <v>44773</v>
      </c>
      <c r="AC134" s="29">
        <v>33078</v>
      </c>
      <c r="AD134" s="29">
        <v>42959</v>
      </c>
      <c r="AE134" s="29">
        <v>44155</v>
      </c>
      <c r="AF134">
        <v>3</v>
      </c>
      <c r="AG134" t="s">
        <v>149</v>
      </c>
      <c r="AH134">
        <v>1</v>
      </c>
      <c r="AI134">
        <v>30</v>
      </c>
      <c r="AJ134">
        <v>1</v>
      </c>
      <c r="AK134" t="s">
        <v>170</v>
      </c>
      <c r="AL134" t="s">
        <v>78</v>
      </c>
      <c r="AM134">
        <f t="shared" si="10"/>
        <v>3</v>
      </c>
      <c r="AN134">
        <f t="shared" si="11"/>
        <v>8</v>
      </c>
      <c r="AO134">
        <f t="shared" si="12"/>
        <v>4</v>
      </c>
      <c r="AP134">
        <f t="shared" si="13"/>
        <v>11</v>
      </c>
      <c r="AQ134">
        <f t="shared" si="14"/>
        <v>2017</v>
      </c>
    </row>
    <row r="135" spans="1:43" x14ac:dyDescent="0.35">
      <c r="A135">
        <v>1844</v>
      </c>
      <c r="B135">
        <v>29</v>
      </c>
      <c r="C135" t="s">
        <v>144</v>
      </c>
      <c r="D135" t="s">
        <v>145</v>
      </c>
      <c r="E135" t="s">
        <v>4</v>
      </c>
      <c r="F135" t="s">
        <v>35</v>
      </c>
      <c r="G135" t="s">
        <v>43</v>
      </c>
      <c r="H135" t="s">
        <v>81</v>
      </c>
      <c r="I135" t="s">
        <v>43</v>
      </c>
      <c r="J135" t="s">
        <v>161</v>
      </c>
      <c r="K135" t="s">
        <v>44</v>
      </c>
      <c r="L135" t="s">
        <v>147</v>
      </c>
      <c r="M135" t="s">
        <v>49</v>
      </c>
      <c r="N135" t="s">
        <v>95</v>
      </c>
      <c r="P135" t="s">
        <v>144</v>
      </c>
      <c r="Q135">
        <v>12</v>
      </c>
      <c r="R135">
        <v>0</v>
      </c>
      <c r="S135">
        <v>9</v>
      </c>
      <c r="T135">
        <v>7</v>
      </c>
      <c r="U135">
        <v>7</v>
      </c>
      <c r="V135">
        <v>14</v>
      </c>
      <c r="W135">
        <v>84</v>
      </c>
      <c r="X135">
        <v>337</v>
      </c>
      <c r="Y135">
        <v>22930</v>
      </c>
      <c r="Z135">
        <v>7553</v>
      </c>
      <c r="AA135">
        <v>1</v>
      </c>
      <c r="AB135" s="29">
        <v>44773</v>
      </c>
      <c r="AC135" s="29">
        <v>34291</v>
      </c>
      <c r="AD135" s="29">
        <v>41274</v>
      </c>
      <c r="AE135" s="29">
        <v>44180</v>
      </c>
      <c r="AF135">
        <v>8</v>
      </c>
      <c r="AG135" t="s">
        <v>157</v>
      </c>
      <c r="AH135">
        <v>1</v>
      </c>
      <c r="AI135">
        <v>21</v>
      </c>
      <c r="AJ135">
        <v>1</v>
      </c>
      <c r="AK135" t="s">
        <v>150</v>
      </c>
      <c r="AL135" t="s">
        <v>77</v>
      </c>
      <c r="AM135">
        <f t="shared" si="10"/>
        <v>4</v>
      </c>
      <c r="AN135">
        <f t="shared" si="11"/>
        <v>12</v>
      </c>
      <c r="AO135">
        <f t="shared" si="12"/>
        <v>4</v>
      </c>
      <c r="AP135">
        <f t="shared" si="13"/>
        <v>12</v>
      </c>
      <c r="AQ135">
        <f t="shared" si="14"/>
        <v>2012</v>
      </c>
    </row>
    <row r="136" spans="1:43" x14ac:dyDescent="0.35">
      <c r="A136">
        <v>1821</v>
      </c>
      <c r="B136">
        <v>46</v>
      </c>
      <c r="C136" t="s">
        <v>144</v>
      </c>
      <c r="D136" t="s">
        <v>145</v>
      </c>
      <c r="E136" t="s">
        <v>4</v>
      </c>
      <c r="F136" t="s">
        <v>38</v>
      </c>
      <c r="G136" t="s">
        <v>43</v>
      </c>
      <c r="H136" t="s">
        <v>82</v>
      </c>
      <c r="I136" t="s">
        <v>43</v>
      </c>
      <c r="J136" t="s">
        <v>155</v>
      </c>
      <c r="K136" t="s">
        <v>43</v>
      </c>
      <c r="L136" t="s">
        <v>48</v>
      </c>
      <c r="M136" t="s">
        <v>48</v>
      </c>
      <c r="N136" t="s">
        <v>160</v>
      </c>
      <c r="O136" t="s">
        <v>41</v>
      </c>
      <c r="P136" t="s">
        <v>148</v>
      </c>
      <c r="Q136">
        <v>12</v>
      </c>
      <c r="R136">
        <v>1</v>
      </c>
      <c r="S136">
        <v>2</v>
      </c>
      <c r="T136">
        <v>1</v>
      </c>
      <c r="U136">
        <v>1</v>
      </c>
      <c r="V136">
        <v>15</v>
      </c>
      <c r="W136">
        <v>72</v>
      </c>
      <c r="X136">
        <v>874</v>
      </c>
      <c r="Y136">
        <v>6233</v>
      </c>
      <c r="Z136">
        <v>2610</v>
      </c>
      <c r="AA136">
        <v>5</v>
      </c>
      <c r="AB136" s="29">
        <v>44773</v>
      </c>
      <c r="AC136" s="29">
        <v>28200</v>
      </c>
      <c r="AD136" s="29">
        <v>43675</v>
      </c>
      <c r="AE136" s="29">
        <v>44180</v>
      </c>
      <c r="AF136">
        <v>1</v>
      </c>
      <c r="AG136" t="s">
        <v>153</v>
      </c>
      <c r="AH136">
        <v>1</v>
      </c>
      <c r="AI136">
        <v>45</v>
      </c>
      <c r="AJ136">
        <v>1</v>
      </c>
      <c r="AK136" t="s">
        <v>170</v>
      </c>
      <c r="AL136" t="s">
        <v>77</v>
      </c>
      <c r="AM136">
        <f t="shared" si="10"/>
        <v>3</v>
      </c>
      <c r="AN136">
        <f t="shared" si="11"/>
        <v>7</v>
      </c>
      <c r="AO136">
        <f t="shared" si="12"/>
        <v>4</v>
      </c>
      <c r="AP136">
        <f t="shared" si="13"/>
        <v>12</v>
      </c>
      <c r="AQ136">
        <f t="shared" si="14"/>
        <v>2019</v>
      </c>
    </row>
    <row r="137" spans="1:43" x14ac:dyDescent="0.35">
      <c r="A137">
        <v>1933</v>
      </c>
      <c r="B137">
        <v>28</v>
      </c>
      <c r="C137" t="s">
        <v>144</v>
      </c>
      <c r="D137" t="s">
        <v>145</v>
      </c>
      <c r="E137" t="s">
        <v>4</v>
      </c>
      <c r="F137" t="s">
        <v>37</v>
      </c>
      <c r="G137" t="s">
        <v>44</v>
      </c>
      <c r="H137" t="s">
        <v>81</v>
      </c>
      <c r="I137" t="s">
        <v>43</v>
      </c>
      <c r="J137" t="s">
        <v>146</v>
      </c>
      <c r="K137" t="s">
        <v>43</v>
      </c>
      <c r="L137" t="s">
        <v>147</v>
      </c>
      <c r="M137" t="s">
        <v>49</v>
      </c>
      <c r="N137" t="s">
        <v>95</v>
      </c>
      <c r="P137" t="s">
        <v>144</v>
      </c>
      <c r="Q137">
        <v>13</v>
      </c>
      <c r="R137">
        <v>1</v>
      </c>
      <c r="S137">
        <v>8</v>
      </c>
      <c r="T137">
        <v>7</v>
      </c>
      <c r="U137">
        <v>7</v>
      </c>
      <c r="V137">
        <v>17</v>
      </c>
      <c r="W137">
        <v>51</v>
      </c>
      <c r="X137">
        <v>135</v>
      </c>
      <c r="Y137">
        <v>25681</v>
      </c>
      <c r="Z137">
        <v>2394</v>
      </c>
      <c r="AA137">
        <v>2</v>
      </c>
      <c r="AB137" s="29">
        <v>44773</v>
      </c>
      <c r="AC137" s="29">
        <v>34666</v>
      </c>
      <c r="AD137" s="29">
        <v>41533</v>
      </c>
      <c r="AE137" s="29">
        <v>44183</v>
      </c>
      <c r="AF137">
        <v>7</v>
      </c>
      <c r="AG137" t="s">
        <v>157</v>
      </c>
      <c r="AH137">
        <v>1</v>
      </c>
      <c r="AI137">
        <v>21</v>
      </c>
      <c r="AJ137">
        <v>1</v>
      </c>
      <c r="AK137" t="s">
        <v>150</v>
      </c>
      <c r="AL137" t="s">
        <v>77</v>
      </c>
      <c r="AM137">
        <f t="shared" si="10"/>
        <v>3</v>
      </c>
      <c r="AN137">
        <f t="shared" si="11"/>
        <v>9</v>
      </c>
      <c r="AO137">
        <f t="shared" si="12"/>
        <v>4</v>
      </c>
      <c r="AP137">
        <f t="shared" si="13"/>
        <v>12</v>
      </c>
      <c r="AQ137">
        <f t="shared" si="14"/>
        <v>2013</v>
      </c>
    </row>
    <row r="138" spans="1:43" x14ac:dyDescent="0.35">
      <c r="A138">
        <v>2027</v>
      </c>
      <c r="B138">
        <v>29</v>
      </c>
      <c r="C138" t="s">
        <v>144</v>
      </c>
      <c r="D138" t="s">
        <v>145</v>
      </c>
      <c r="E138" t="s">
        <v>158</v>
      </c>
      <c r="F138" t="s">
        <v>38</v>
      </c>
      <c r="G138" t="s">
        <v>43</v>
      </c>
      <c r="H138" t="s">
        <v>81</v>
      </c>
      <c r="I138" t="s">
        <v>42</v>
      </c>
      <c r="J138" t="s">
        <v>166</v>
      </c>
      <c r="K138" t="s">
        <v>43</v>
      </c>
      <c r="L138" t="s">
        <v>48</v>
      </c>
      <c r="M138" t="s">
        <v>48</v>
      </c>
      <c r="N138" t="s">
        <v>95</v>
      </c>
      <c r="P138" t="s">
        <v>148</v>
      </c>
      <c r="Q138">
        <v>13</v>
      </c>
      <c r="R138">
        <v>1</v>
      </c>
      <c r="S138">
        <v>2</v>
      </c>
      <c r="T138">
        <v>0</v>
      </c>
      <c r="U138">
        <v>1</v>
      </c>
      <c r="V138">
        <v>2</v>
      </c>
      <c r="W138">
        <v>49</v>
      </c>
      <c r="X138">
        <v>500</v>
      </c>
      <c r="Y138">
        <v>22052</v>
      </c>
      <c r="Z138">
        <v>2044</v>
      </c>
      <c r="AA138">
        <v>3</v>
      </c>
      <c r="AB138" s="29">
        <v>44773</v>
      </c>
      <c r="AC138" s="29">
        <v>34286</v>
      </c>
      <c r="AD138" s="29">
        <v>43801</v>
      </c>
      <c r="AE138" s="29">
        <v>44186</v>
      </c>
      <c r="AF138">
        <v>1</v>
      </c>
      <c r="AG138" t="s">
        <v>157</v>
      </c>
      <c r="AH138">
        <v>1</v>
      </c>
      <c r="AI138">
        <v>28</v>
      </c>
      <c r="AJ138">
        <v>1</v>
      </c>
      <c r="AK138" t="s">
        <v>170</v>
      </c>
      <c r="AL138" t="s">
        <v>78</v>
      </c>
      <c r="AM138">
        <f t="shared" si="10"/>
        <v>4</v>
      </c>
      <c r="AN138">
        <f t="shared" si="11"/>
        <v>12</v>
      </c>
      <c r="AO138">
        <f t="shared" si="12"/>
        <v>4</v>
      </c>
      <c r="AP138">
        <f t="shared" si="13"/>
        <v>12</v>
      </c>
      <c r="AQ138">
        <f t="shared" si="14"/>
        <v>2019</v>
      </c>
    </row>
    <row r="139" spans="1:43" x14ac:dyDescent="0.35">
      <c r="A139">
        <v>752</v>
      </c>
      <c r="B139">
        <v>42</v>
      </c>
      <c r="C139" t="s">
        <v>144</v>
      </c>
      <c r="D139" t="s">
        <v>151</v>
      </c>
      <c r="E139" t="s">
        <v>4</v>
      </c>
      <c r="F139" t="s">
        <v>38</v>
      </c>
      <c r="G139" t="s">
        <v>43</v>
      </c>
      <c r="H139" t="s">
        <v>82</v>
      </c>
      <c r="I139" t="s">
        <v>44</v>
      </c>
      <c r="J139" t="s">
        <v>146</v>
      </c>
      <c r="K139" t="s">
        <v>43</v>
      </c>
      <c r="L139" t="s">
        <v>48</v>
      </c>
      <c r="M139" t="s">
        <v>49</v>
      </c>
      <c r="N139" t="s">
        <v>96</v>
      </c>
      <c r="P139" t="s">
        <v>144</v>
      </c>
      <c r="Q139">
        <v>12</v>
      </c>
      <c r="R139">
        <v>6</v>
      </c>
      <c r="S139">
        <v>7</v>
      </c>
      <c r="T139">
        <v>2</v>
      </c>
      <c r="U139">
        <v>2</v>
      </c>
      <c r="V139">
        <v>19</v>
      </c>
      <c r="W139">
        <v>57</v>
      </c>
      <c r="X139">
        <v>933</v>
      </c>
      <c r="Y139">
        <v>20366</v>
      </c>
      <c r="Z139">
        <v>2759</v>
      </c>
      <c r="AA139">
        <v>2</v>
      </c>
      <c r="AB139" s="29">
        <v>44773</v>
      </c>
      <c r="AC139" s="29">
        <v>29592</v>
      </c>
      <c r="AD139" s="29">
        <v>43478</v>
      </c>
      <c r="AE139" s="29">
        <v>44201</v>
      </c>
      <c r="AF139">
        <v>2</v>
      </c>
      <c r="AG139" t="s">
        <v>153</v>
      </c>
      <c r="AH139">
        <v>1</v>
      </c>
      <c r="AI139">
        <v>40</v>
      </c>
      <c r="AJ139">
        <v>2</v>
      </c>
      <c r="AK139" t="s">
        <v>170</v>
      </c>
      <c r="AL139" t="s">
        <v>77</v>
      </c>
      <c r="AM139">
        <f t="shared" si="10"/>
        <v>1</v>
      </c>
      <c r="AN139">
        <f t="shared" si="11"/>
        <v>1</v>
      </c>
      <c r="AO139">
        <f t="shared" si="12"/>
        <v>1</v>
      </c>
      <c r="AP139">
        <f t="shared" si="13"/>
        <v>1</v>
      </c>
      <c r="AQ139">
        <f t="shared" si="14"/>
        <v>2019</v>
      </c>
    </row>
    <row r="140" spans="1:43" x14ac:dyDescent="0.35">
      <c r="A140">
        <v>593</v>
      </c>
      <c r="B140">
        <v>22</v>
      </c>
      <c r="C140" t="s">
        <v>144</v>
      </c>
      <c r="D140" t="s">
        <v>151</v>
      </c>
      <c r="E140" t="s">
        <v>4</v>
      </c>
      <c r="F140" t="s">
        <v>35</v>
      </c>
      <c r="G140" t="s">
        <v>43</v>
      </c>
      <c r="H140" t="s">
        <v>82</v>
      </c>
      <c r="I140" t="s">
        <v>42</v>
      </c>
      <c r="J140" t="s">
        <v>155</v>
      </c>
      <c r="K140" t="s">
        <v>43</v>
      </c>
      <c r="L140" t="s">
        <v>147</v>
      </c>
      <c r="M140" t="s">
        <v>49</v>
      </c>
      <c r="N140" t="s">
        <v>95</v>
      </c>
      <c r="P140" t="s">
        <v>148</v>
      </c>
      <c r="Q140">
        <v>16</v>
      </c>
      <c r="R140">
        <v>5</v>
      </c>
      <c r="S140">
        <v>4</v>
      </c>
      <c r="T140">
        <v>1</v>
      </c>
      <c r="U140">
        <v>2</v>
      </c>
      <c r="V140">
        <v>4</v>
      </c>
      <c r="W140">
        <v>99</v>
      </c>
      <c r="X140">
        <v>1368</v>
      </c>
      <c r="Y140">
        <v>9129</v>
      </c>
      <c r="Z140">
        <v>3894</v>
      </c>
      <c r="AA140">
        <v>3</v>
      </c>
      <c r="AB140" s="29">
        <v>44773</v>
      </c>
      <c r="AC140" s="29">
        <v>36994</v>
      </c>
      <c r="AD140" s="29">
        <v>43648</v>
      </c>
      <c r="AE140" s="29">
        <v>44204</v>
      </c>
      <c r="AF140">
        <v>2</v>
      </c>
      <c r="AG140" t="s">
        <v>157</v>
      </c>
      <c r="AH140">
        <v>2</v>
      </c>
      <c r="AI140">
        <v>20</v>
      </c>
      <c r="AJ140">
        <v>1</v>
      </c>
      <c r="AK140" t="s">
        <v>170</v>
      </c>
      <c r="AL140" t="s">
        <v>77</v>
      </c>
      <c r="AM140">
        <f t="shared" si="10"/>
        <v>3</v>
      </c>
      <c r="AN140">
        <f t="shared" si="11"/>
        <v>7</v>
      </c>
      <c r="AO140">
        <f t="shared" si="12"/>
        <v>1</v>
      </c>
      <c r="AP140">
        <f t="shared" si="13"/>
        <v>1</v>
      </c>
      <c r="AQ140">
        <f t="shared" si="14"/>
        <v>2019</v>
      </c>
    </row>
    <row r="141" spans="1:43" x14ac:dyDescent="0.35">
      <c r="A141">
        <v>1645</v>
      </c>
      <c r="B141">
        <v>35</v>
      </c>
      <c r="C141" t="s">
        <v>144</v>
      </c>
      <c r="D141" t="s">
        <v>145</v>
      </c>
      <c r="E141" t="s">
        <v>158</v>
      </c>
      <c r="F141" t="s">
        <v>36</v>
      </c>
      <c r="G141" t="s">
        <v>41</v>
      </c>
      <c r="H141" t="s">
        <v>82</v>
      </c>
      <c r="I141" t="s">
        <v>41</v>
      </c>
      <c r="J141" t="s">
        <v>159</v>
      </c>
      <c r="K141" t="s">
        <v>44</v>
      </c>
      <c r="L141" t="s">
        <v>48</v>
      </c>
      <c r="M141" t="s">
        <v>48</v>
      </c>
      <c r="N141" t="s">
        <v>96</v>
      </c>
      <c r="O141" t="s">
        <v>156</v>
      </c>
      <c r="P141" t="s">
        <v>144</v>
      </c>
      <c r="Q141">
        <v>14</v>
      </c>
      <c r="R141">
        <v>6</v>
      </c>
      <c r="S141">
        <v>7</v>
      </c>
      <c r="T141">
        <v>2</v>
      </c>
      <c r="U141">
        <v>2</v>
      </c>
      <c r="V141">
        <v>15</v>
      </c>
      <c r="W141">
        <v>59</v>
      </c>
      <c r="X141">
        <v>763</v>
      </c>
      <c r="Y141">
        <v>22098</v>
      </c>
      <c r="Z141">
        <v>5440</v>
      </c>
      <c r="AA141">
        <v>2</v>
      </c>
      <c r="AB141" s="29">
        <v>44773</v>
      </c>
      <c r="AC141" s="29">
        <v>32114</v>
      </c>
      <c r="AD141" s="29">
        <v>43511</v>
      </c>
      <c r="AE141" s="29">
        <v>44212</v>
      </c>
      <c r="AF141">
        <v>2</v>
      </c>
      <c r="AG141" t="s">
        <v>149</v>
      </c>
      <c r="AH141">
        <v>1</v>
      </c>
      <c r="AI141">
        <v>33</v>
      </c>
      <c r="AJ141">
        <v>2</v>
      </c>
      <c r="AK141" t="s">
        <v>170</v>
      </c>
      <c r="AL141" t="s">
        <v>77</v>
      </c>
      <c r="AM141">
        <f t="shared" si="10"/>
        <v>1</v>
      </c>
      <c r="AN141">
        <f t="shared" si="11"/>
        <v>2</v>
      </c>
      <c r="AO141">
        <f t="shared" si="12"/>
        <v>1</v>
      </c>
      <c r="AP141">
        <f t="shared" si="13"/>
        <v>1</v>
      </c>
      <c r="AQ141">
        <f t="shared" si="14"/>
        <v>2019</v>
      </c>
    </row>
    <row r="142" spans="1:43" x14ac:dyDescent="0.35">
      <c r="A142">
        <v>828</v>
      </c>
      <c r="B142">
        <v>28</v>
      </c>
      <c r="C142" t="s">
        <v>144</v>
      </c>
      <c r="D142" t="s">
        <v>145</v>
      </c>
      <c r="E142" t="s">
        <v>4</v>
      </c>
      <c r="F142" t="s">
        <v>37</v>
      </c>
      <c r="G142" t="s">
        <v>43</v>
      </c>
      <c r="H142" t="s">
        <v>82</v>
      </c>
      <c r="I142" t="s">
        <v>43</v>
      </c>
      <c r="J142" t="s">
        <v>146</v>
      </c>
      <c r="K142" t="s">
        <v>43</v>
      </c>
      <c r="L142" t="s">
        <v>147</v>
      </c>
      <c r="M142" t="s">
        <v>48</v>
      </c>
      <c r="N142" t="s">
        <v>95</v>
      </c>
      <c r="P142" t="s">
        <v>148</v>
      </c>
      <c r="Q142">
        <v>17</v>
      </c>
      <c r="R142">
        <v>6</v>
      </c>
      <c r="S142">
        <v>5</v>
      </c>
      <c r="T142">
        <v>1</v>
      </c>
      <c r="U142">
        <v>1</v>
      </c>
      <c r="V142">
        <v>2</v>
      </c>
      <c r="W142">
        <v>46</v>
      </c>
      <c r="X142">
        <v>890</v>
      </c>
      <c r="Y142">
        <v>16374</v>
      </c>
      <c r="Z142">
        <v>4382</v>
      </c>
      <c r="AA142">
        <v>3</v>
      </c>
      <c r="AB142" s="29">
        <v>44773</v>
      </c>
      <c r="AC142" s="29">
        <v>34682</v>
      </c>
      <c r="AD142" s="29">
        <v>43673</v>
      </c>
      <c r="AE142" s="29">
        <v>44220</v>
      </c>
      <c r="AF142">
        <v>1</v>
      </c>
      <c r="AG142" t="s">
        <v>157</v>
      </c>
      <c r="AH142">
        <v>1</v>
      </c>
      <c r="AI142">
        <v>27</v>
      </c>
      <c r="AJ142">
        <v>2</v>
      </c>
      <c r="AK142" t="s">
        <v>170</v>
      </c>
      <c r="AL142" t="s">
        <v>77</v>
      </c>
      <c r="AM142">
        <f t="shared" si="10"/>
        <v>3</v>
      </c>
      <c r="AN142">
        <f t="shared" si="11"/>
        <v>7</v>
      </c>
      <c r="AO142">
        <f t="shared" si="12"/>
        <v>1</v>
      </c>
      <c r="AP142">
        <f t="shared" si="13"/>
        <v>1</v>
      </c>
      <c r="AQ142">
        <f t="shared" si="14"/>
        <v>2019</v>
      </c>
    </row>
    <row r="143" spans="1:43" x14ac:dyDescent="0.35">
      <c r="A143">
        <v>235</v>
      </c>
      <c r="B143">
        <v>19</v>
      </c>
      <c r="C143" t="s">
        <v>144</v>
      </c>
      <c r="D143" t="s">
        <v>151</v>
      </c>
      <c r="E143" t="s">
        <v>158</v>
      </c>
      <c r="F143" t="s">
        <v>35</v>
      </c>
      <c r="G143" t="s">
        <v>43</v>
      </c>
      <c r="H143" t="s">
        <v>81</v>
      </c>
      <c r="I143" t="s">
        <v>41</v>
      </c>
      <c r="J143" t="s">
        <v>166</v>
      </c>
      <c r="K143" t="s">
        <v>41</v>
      </c>
      <c r="L143" t="s">
        <v>152</v>
      </c>
      <c r="M143" t="s">
        <v>50</v>
      </c>
      <c r="N143" t="s">
        <v>95</v>
      </c>
      <c r="P143" t="s">
        <v>148</v>
      </c>
      <c r="Q143">
        <v>21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100</v>
      </c>
      <c r="X143">
        <v>602</v>
      </c>
      <c r="Y143">
        <v>20989</v>
      </c>
      <c r="Z143">
        <v>2325</v>
      </c>
      <c r="AA143">
        <v>5</v>
      </c>
      <c r="AB143" s="29">
        <v>44773</v>
      </c>
      <c r="AC143" s="29">
        <v>37919</v>
      </c>
      <c r="AD143" s="29">
        <v>44090</v>
      </c>
      <c r="AE143" s="29">
        <v>44222</v>
      </c>
      <c r="AF143">
        <v>0</v>
      </c>
      <c r="AG143" t="s">
        <v>172</v>
      </c>
      <c r="AH143">
        <v>1</v>
      </c>
      <c r="AI143">
        <v>19</v>
      </c>
      <c r="AJ143">
        <v>2</v>
      </c>
      <c r="AK143" t="s">
        <v>171</v>
      </c>
      <c r="AL143" t="s">
        <v>77</v>
      </c>
      <c r="AM143">
        <f t="shared" si="10"/>
        <v>3</v>
      </c>
      <c r="AN143">
        <f t="shared" si="11"/>
        <v>9</v>
      </c>
      <c r="AO143">
        <f t="shared" si="12"/>
        <v>1</v>
      </c>
      <c r="AP143">
        <f t="shared" si="13"/>
        <v>1</v>
      </c>
      <c r="AQ143">
        <f t="shared" si="14"/>
        <v>2020</v>
      </c>
    </row>
    <row r="144" spans="1:43" x14ac:dyDescent="0.35">
      <c r="A144">
        <v>1464</v>
      </c>
      <c r="B144">
        <v>31</v>
      </c>
      <c r="C144" t="s">
        <v>144</v>
      </c>
      <c r="D144" t="s">
        <v>151</v>
      </c>
      <c r="E144" t="s">
        <v>4</v>
      </c>
      <c r="F144" t="s">
        <v>38</v>
      </c>
      <c r="G144" t="s">
        <v>42</v>
      </c>
      <c r="H144" t="s">
        <v>82</v>
      </c>
      <c r="I144" t="s">
        <v>43</v>
      </c>
      <c r="J144" t="s">
        <v>155</v>
      </c>
      <c r="K144" t="s">
        <v>44</v>
      </c>
      <c r="L144" t="s">
        <v>147</v>
      </c>
      <c r="M144" t="s">
        <v>47</v>
      </c>
      <c r="N144" t="s">
        <v>160</v>
      </c>
      <c r="O144" t="s">
        <v>41</v>
      </c>
      <c r="P144" t="s">
        <v>144</v>
      </c>
      <c r="Q144">
        <v>13</v>
      </c>
      <c r="R144">
        <v>6</v>
      </c>
      <c r="S144">
        <v>7</v>
      </c>
      <c r="T144">
        <v>1</v>
      </c>
      <c r="U144">
        <v>1</v>
      </c>
      <c r="V144">
        <v>2</v>
      </c>
      <c r="W144">
        <v>94</v>
      </c>
      <c r="X144">
        <v>523</v>
      </c>
      <c r="Y144">
        <v>21081</v>
      </c>
      <c r="Z144">
        <v>3722</v>
      </c>
      <c r="AA144">
        <v>2</v>
      </c>
      <c r="AB144" s="29">
        <v>44773</v>
      </c>
      <c r="AC144" s="29">
        <v>33587</v>
      </c>
      <c r="AD144" s="29">
        <v>43714</v>
      </c>
      <c r="AE144" s="29">
        <v>44227</v>
      </c>
      <c r="AF144">
        <v>1</v>
      </c>
      <c r="AG144" t="s">
        <v>149</v>
      </c>
      <c r="AH144">
        <v>1</v>
      </c>
      <c r="AI144">
        <v>30</v>
      </c>
      <c r="AJ144">
        <v>2</v>
      </c>
      <c r="AK144" t="s">
        <v>170</v>
      </c>
      <c r="AL144" t="s">
        <v>77</v>
      </c>
      <c r="AM144">
        <f t="shared" si="10"/>
        <v>3</v>
      </c>
      <c r="AN144">
        <f t="shared" si="11"/>
        <v>9</v>
      </c>
      <c r="AO144">
        <f t="shared" si="12"/>
        <v>1</v>
      </c>
      <c r="AP144">
        <f t="shared" si="13"/>
        <v>1</v>
      </c>
      <c r="AQ144">
        <f t="shared" si="14"/>
        <v>2019</v>
      </c>
    </row>
    <row r="145" spans="1:43" x14ac:dyDescent="0.35">
      <c r="A145">
        <v>825</v>
      </c>
      <c r="B145">
        <v>58</v>
      </c>
      <c r="C145" t="s">
        <v>144</v>
      </c>
      <c r="D145" t="s">
        <v>145</v>
      </c>
      <c r="E145" t="s">
        <v>4</v>
      </c>
      <c r="F145" t="s">
        <v>37</v>
      </c>
      <c r="G145" t="s">
        <v>44</v>
      </c>
      <c r="H145" t="s">
        <v>82</v>
      </c>
      <c r="I145" t="s">
        <v>43</v>
      </c>
      <c r="J145" t="s">
        <v>173</v>
      </c>
      <c r="K145" t="s">
        <v>42</v>
      </c>
      <c r="L145" t="s">
        <v>147</v>
      </c>
      <c r="M145" t="s">
        <v>49</v>
      </c>
      <c r="N145" t="s">
        <v>95</v>
      </c>
      <c r="P145" t="s">
        <v>144</v>
      </c>
      <c r="Q145">
        <v>12</v>
      </c>
      <c r="R145">
        <v>7</v>
      </c>
      <c r="S145">
        <v>40</v>
      </c>
      <c r="T145">
        <v>13</v>
      </c>
      <c r="U145">
        <v>8</v>
      </c>
      <c r="V145">
        <v>2</v>
      </c>
      <c r="W145">
        <v>31</v>
      </c>
      <c r="X145">
        <v>286</v>
      </c>
      <c r="Y145">
        <v>25761</v>
      </c>
      <c r="Z145">
        <v>19246</v>
      </c>
      <c r="AA145">
        <v>2</v>
      </c>
      <c r="AB145" s="29">
        <v>44773</v>
      </c>
      <c r="AC145" s="29">
        <v>23955</v>
      </c>
      <c r="AD145" s="29">
        <v>33047</v>
      </c>
      <c r="AE145" s="29">
        <v>44234</v>
      </c>
      <c r="AF145">
        <v>31</v>
      </c>
      <c r="AG145" t="s">
        <v>167</v>
      </c>
      <c r="AH145">
        <v>2</v>
      </c>
      <c r="AI145">
        <v>27</v>
      </c>
      <c r="AJ145">
        <v>1</v>
      </c>
      <c r="AK145" t="s">
        <v>163</v>
      </c>
      <c r="AL145" t="s">
        <v>77</v>
      </c>
      <c r="AM145">
        <f t="shared" si="10"/>
        <v>2</v>
      </c>
      <c r="AN145">
        <f t="shared" si="11"/>
        <v>6</v>
      </c>
      <c r="AO145">
        <f t="shared" si="12"/>
        <v>1</v>
      </c>
      <c r="AP145">
        <f t="shared" si="13"/>
        <v>2</v>
      </c>
      <c r="AQ145">
        <f t="shared" si="14"/>
        <v>1990</v>
      </c>
    </row>
    <row r="146" spans="1:43" x14ac:dyDescent="0.35">
      <c r="A146">
        <v>927</v>
      </c>
      <c r="B146">
        <v>41</v>
      </c>
      <c r="C146" t="s">
        <v>144</v>
      </c>
      <c r="D146" t="s">
        <v>145</v>
      </c>
      <c r="E146" t="s">
        <v>4</v>
      </c>
      <c r="F146" t="s">
        <v>37</v>
      </c>
      <c r="G146" t="s">
        <v>42</v>
      </c>
      <c r="H146" t="s">
        <v>81</v>
      </c>
      <c r="I146" t="s">
        <v>41</v>
      </c>
      <c r="J146" t="s">
        <v>155</v>
      </c>
      <c r="K146" t="s">
        <v>44</v>
      </c>
      <c r="L146" t="s">
        <v>41</v>
      </c>
      <c r="M146" t="s">
        <v>48</v>
      </c>
      <c r="N146" t="s">
        <v>96</v>
      </c>
      <c r="O146" t="s">
        <v>41</v>
      </c>
      <c r="P146" t="s">
        <v>144</v>
      </c>
      <c r="Q146">
        <v>13</v>
      </c>
      <c r="R146">
        <v>4</v>
      </c>
      <c r="S146">
        <v>10</v>
      </c>
      <c r="T146">
        <v>1</v>
      </c>
      <c r="U146">
        <v>0</v>
      </c>
      <c r="V146">
        <v>2</v>
      </c>
      <c r="W146">
        <v>57</v>
      </c>
      <c r="X146">
        <v>1085</v>
      </c>
      <c r="Y146">
        <v>17725</v>
      </c>
      <c r="Z146">
        <v>2778</v>
      </c>
      <c r="AA146">
        <v>1</v>
      </c>
      <c r="AB146" s="29">
        <v>44773</v>
      </c>
      <c r="AC146" s="29">
        <v>29900</v>
      </c>
      <c r="AD146" s="29">
        <v>41829</v>
      </c>
      <c r="AE146" s="29">
        <v>44245</v>
      </c>
      <c r="AF146">
        <v>7</v>
      </c>
      <c r="AG146" t="s">
        <v>153</v>
      </c>
      <c r="AH146">
        <v>1</v>
      </c>
      <c r="AI146">
        <v>34</v>
      </c>
      <c r="AJ146">
        <v>1</v>
      </c>
      <c r="AK146" t="s">
        <v>150</v>
      </c>
      <c r="AL146" t="s">
        <v>78</v>
      </c>
      <c r="AM146">
        <f t="shared" si="10"/>
        <v>3</v>
      </c>
      <c r="AN146">
        <f t="shared" si="11"/>
        <v>7</v>
      </c>
      <c r="AO146">
        <f t="shared" si="12"/>
        <v>1</v>
      </c>
      <c r="AP146">
        <f t="shared" si="13"/>
        <v>2</v>
      </c>
      <c r="AQ146">
        <f t="shared" si="14"/>
        <v>2014</v>
      </c>
    </row>
    <row r="147" spans="1:43" x14ac:dyDescent="0.35">
      <c r="A147">
        <v>1108</v>
      </c>
      <c r="B147">
        <v>33</v>
      </c>
      <c r="C147" t="s">
        <v>144</v>
      </c>
      <c r="D147" t="s">
        <v>145</v>
      </c>
      <c r="E147" t="s">
        <v>4</v>
      </c>
      <c r="F147" t="s">
        <v>38</v>
      </c>
      <c r="G147" t="s">
        <v>41</v>
      </c>
      <c r="H147" t="s">
        <v>82</v>
      </c>
      <c r="I147" t="s">
        <v>42</v>
      </c>
      <c r="J147" t="s">
        <v>146</v>
      </c>
      <c r="K147" t="s">
        <v>42</v>
      </c>
      <c r="L147" t="s">
        <v>152</v>
      </c>
      <c r="M147" t="s">
        <v>49</v>
      </c>
      <c r="N147" t="s">
        <v>95</v>
      </c>
      <c r="P147" t="s">
        <v>144</v>
      </c>
      <c r="Q147">
        <v>20</v>
      </c>
      <c r="R147">
        <v>4</v>
      </c>
      <c r="S147">
        <v>5</v>
      </c>
      <c r="T147">
        <v>1</v>
      </c>
      <c r="U147">
        <v>1</v>
      </c>
      <c r="V147">
        <v>25</v>
      </c>
      <c r="W147">
        <v>55</v>
      </c>
      <c r="X147">
        <v>1017</v>
      </c>
      <c r="Y147">
        <v>2993</v>
      </c>
      <c r="Z147">
        <v>2313</v>
      </c>
      <c r="AA147">
        <v>0</v>
      </c>
      <c r="AB147" s="29">
        <v>44773</v>
      </c>
      <c r="AC147" s="29">
        <v>32985</v>
      </c>
      <c r="AD147" s="29">
        <v>43742</v>
      </c>
      <c r="AE147" s="29">
        <v>44246</v>
      </c>
      <c r="AF147">
        <v>1</v>
      </c>
      <c r="AG147" t="s">
        <v>149</v>
      </c>
      <c r="AH147">
        <v>1</v>
      </c>
      <c r="AI147">
        <v>32</v>
      </c>
      <c r="AJ147">
        <v>1</v>
      </c>
      <c r="AK147" t="s">
        <v>170</v>
      </c>
      <c r="AL147" t="s">
        <v>77</v>
      </c>
      <c r="AM147">
        <f t="shared" si="10"/>
        <v>4</v>
      </c>
      <c r="AN147">
        <f t="shared" si="11"/>
        <v>10</v>
      </c>
      <c r="AO147">
        <f t="shared" si="12"/>
        <v>1</v>
      </c>
      <c r="AP147">
        <f t="shared" si="13"/>
        <v>2</v>
      </c>
      <c r="AQ147">
        <f t="shared" si="14"/>
        <v>2019</v>
      </c>
    </row>
    <row r="148" spans="1:43" x14ac:dyDescent="0.35">
      <c r="A148">
        <v>1077</v>
      </c>
      <c r="B148">
        <v>20</v>
      </c>
      <c r="C148" t="s">
        <v>144</v>
      </c>
      <c r="D148" t="s">
        <v>151</v>
      </c>
      <c r="E148" t="s">
        <v>158</v>
      </c>
      <c r="F148" t="s">
        <v>38</v>
      </c>
      <c r="G148" t="s">
        <v>44</v>
      </c>
      <c r="H148" t="s">
        <v>81</v>
      </c>
      <c r="I148" t="s">
        <v>43</v>
      </c>
      <c r="J148" t="s">
        <v>166</v>
      </c>
      <c r="K148" t="s">
        <v>44</v>
      </c>
      <c r="L148" t="s">
        <v>147</v>
      </c>
      <c r="M148" t="s">
        <v>49</v>
      </c>
      <c r="N148" t="s">
        <v>95</v>
      </c>
      <c r="P148" t="s">
        <v>144</v>
      </c>
      <c r="Q148">
        <v>14</v>
      </c>
      <c r="R148">
        <v>1</v>
      </c>
      <c r="S148">
        <v>2</v>
      </c>
      <c r="T148">
        <v>0</v>
      </c>
      <c r="U148">
        <v>1</v>
      </c>
      <c r="V148">
        <v>9</v>
      </c>
      <c r="W148">
        <v>54</v>
      </c>
      <c r="X148">
        <v>769</v>
      </c>
      <c r="Y148">
        <v>17205</v>
      </c>
      <c r="Z148">
        <v>2323</v>
      </c>
      <c r="AA148">
        <v>3</v>
      </c>
      <c r="AB148" s="29">
        <v>44773</v>
      </c>
      <c r="AC148" s="29">
        <v>37660</v>
      </c>
      <c r="AD148" s="29">
        <v>43778</v>
      </c>
      <c r="AE148" s="29">
        <v>44248</v>
      </c>
      <c r="AF148">
        <v>1</v>
      </c>
      <c r="AG148" t="s">
        <v>157</v>
      </c>
      <c r="AH148">
        <v>1</v>
      </c>
      <c r="AI148">
        <v>19</v>
      </c>
      <c r="AJ148">
        <v>1</v>
      </c>
      <c r="AK148" t="s">
        <v>170</v>
      </c>
      <c r="AL148" t="s">
        <v>77</v>
      </c>
      <c r="AM148">
        <f t="shared" si="10"/>
        <v>4</v>
      </c>
      <c r="AN148">
        <f t="shared" si="11"/>
        <v>11</v>
      </c>
      <c r="AO148">
        <f t="shared" si="12"/>
        <v>1</v>
      </c>
      <c r="AP148">
        <f t="shared" si="13"/>
        <v>2</v>
      </c>
      <c r="AQ148">
        <f t="shared" si="14"/>
        <v>2019</v>
      </c>
    </row>
    <row r="149" spans="1:43" x14ac:dyDescent="0.35">
      <c r="A149">
        <v>1752</v>
      </c>
      <c r="B149">
        <v>29</v>
      </c>
      <c r="C149" t="s">
        <v>144</v>
      </c>
      <c r="D149" t="s">
        <v>145</v>
      </c>
      <c r="E149" t="s">
        <v>158</v>
      </c>
      <c r="F149" t="s">
        <v>38</v>
      </c>
      <c r="G149" t="s">
        <v>42</v>
      </c>
      <c r="H149" t="s">
        <v>81</v>
      </c>
      <c r="I149" t="s">
        <v>41</v>
      </c>
      <c r="J149" t="s">
        <v>166</v>
      </c>
      <c r="K149" t="s">
        <v>42</v>
      </c>
      <c r="L149" t="s">
        <v>41</v>
      </c>
      <c r="M149" t="s">
        <v>49</v>
      </c>
      <c r="N149" t="s">
        <v>95</v>
      </c>
      <c r="P149" t="s">
        <v>148</v>
      </c>
      <c r="Q149">
        <v>13</v>
      </c>
      <c r="R149">
        <v>1</v>
      </c>
      <c r="S149">
        <v>2</v>
      </c>
      <c r="T149">
        <v>2</v>
      </c>
      <c r="U149">
        <v>2</v>
      </c>
      <c r="V149">
        <v>9</v>
      </c>
      <c r="W149">
        <v>52</v>
      </c>
      <c r="X149">
        <v>428</v>
      </c>
      <c r="Y149">
        <v>14630</v>
      </c>
      <c r="Z149">
        <v>2760</v>
      </c>
      <c r="AA149">
        <v>3</v>
      </c>
      <c r="AB149" s="29">
        <v>44773</v>
      </c>
      <c r="AC149" s="29">
        <v>34219</v>
      </c>
      <c r="AD149" s="29">
        <v>43564</v>
      </c>
      <c r="AE149" s="29">
        <v>44262</v>
      </c>
      <c r="AF149">
        <v>2</v>
      </c>
      <c r="AG149" t="s">
        <v>157</v>
      </c>
      <c r="AH149">
        <v>2</v>
      </c>
      <c r="AI149">
        <v>27</v>
      </c>
      <c r="AJ149">
        <v>1</v>
      </c>
      <c r="AK149" t="s">
        <v>170</v>
      </c>
      <c r="AL149" t="s">
        <v>77</v>
      </c>
      <c r="AM149">
        <f t="shared" si="10"/>
        <v>2</v>
      </c>
      <c r="AN149">
        <f t="shared" si="11"/>
        <v>4</v>
      </c>
      <c r="AO149">
        <f t="shared" si="12"/>
        <v>1</v>
      </c>
      <c r="AP149">
        <f t="shared" si="13"/>
        <v>3</v>
      </c>
      <c r="AQ149">
        <f t="shared" si="14"/>
        <v>2019</v>
      </c>
    </row>
    <row r="150" spans="1:43" x14ac:dyDescent="0.35">
      <c r="A150">
        <v>565</v>
      </c>
      <c r="B150">
        <v>29</v>
      </c>
      <c r="C150" t="s">
        <v>144</v>
      </c>
      <c r="D150" t="s">
        <v>145</v>
      </c>
      <c r="E150" t="s">
        <v>4</v>
      </c>
      <c r="F150" t="s">
        <v>34</v>
      </c>
      <c r="G150" t="s">
        <v>43</v>
      </c>
      <c r="H150" t="s">
        <v>81</v>
      </c>
      <c r="I150" t="s">
        <v>42</v>
      </c>
      <c r="J150" t="s">
        <v>146</v>
      </c>
      <c r="K150" t="s">
        <v>42</v>
      </c>
      <c r="L150" t="s">
        <v>147</v>
      </c>
      <c r="M150" t="s">
        <v>50</v>
      </c>
      <c r="N150" t="s">
        <v>160</v>
      </c>
      <c r="P150" t="s">
        <v>148</v>
      </c>
      <c r="Q150">
        <v>16</v>
      </c>
      <c r="R150">
        <v>5</v>
      </c>
      <c r="S150">
        <v>6</v>
      </c>
      <c r="T150">
        <v>1</v>
      </c>
      <c r="U150">
        <v>1</v>
      </c>
      <c r="V150">
        <v>25</v>
      </c>
      <c r="W150">
        <v>71</v>
      </c>
      <c r="X150">
        <v>408</v>
      </c>
      <c r="Y150">
        <v>18300</v>
      </c>
      <c r="Z150">
        <v>2546</v>
      </c>
      <c r="AA150">
        <v>2</v>
      </c>
      <c r="AB150" s="29">
        <v>44773</v>
      </c>
      <c r="AC150" s="29">
        <v>34200</v>
      </c>
      <c r="AD150" s="29">
        <v>43649</v>
      </c>
      <c r="AE150" s="29">
        <v>44281</v>
      </c>
      <c r="AF150">
        <v>2</v>
      </c>
      <c r="AG150" t="s">
        <v>157</v>
      </c>
      <c r="AH150">
        <v>1</v>
      </c>
      <c r="AI150">
        <v>27</v>
      </c>
      <c r="AJ150">
        <v>1</v>
      </c>
      <c r="AK150" t="s">
        <v>170</v>
      </c>
      <c r="AL150" t="s">
        <v>77</v>
      </c>
      <c r="AM150">
        <f t="shared" si="10"/>
        <v>3</v>
      </c>
      <c r="AN150">
        <f t="shared" si="11"/>
        <v>7</v>
      </c>
      <c r="AO150">
        <f t="shared" si="12"/>
        <v>1</v>
      </c>
      <c r="AP150">
        <f t="shared" si="13"/>
        <v>3</v>
      </c>
      <c r="AQ150">
        <f t="shared" si="14"/>
        <v>2019</v>
      </c>
    </row>
    <row r="151" spans="1:43" x14ac:dyDescent="0.35">
      <c r="A151">
        <v>1968</v>
      </c>
      <c r="B151">
        <v>53</v>
      </c>
      <c r="C151" t="s">
        <v>144</v>
      </c>
      <c r="D151" t="s">
        <v>145</v>
      </c>
      <c r="E151" t="s">
        <v>158</v>
      </c>
      <c r="F151" t="s">
        <v>37</v>
      </c>
      <c r="G151" t="s">
        <v>41</v>
      </c>
      <c r="H151" t="s">
        <v>82</v>
      </c>
      <c r="I151" t="s">
        <v>43</v>
      </c>
      <c r="J151" t="s">
        <v>159</v>
      </c>
      <c r="K151" t="s">
        <v>41</v>
      </c>
      <c r="L151" t="s">
        <v>48</v>
      </c>
      <c r="M151" t="s">
        <v>48</v>
      </c>
      <c r="N151" t="s">
        <v>95</v>
      </c>
      <c r="P151" t="s">
        <v>144</v>
      </c>
      <c r="Q151">
        <v>13</v>
      </c>
      <c r="R151">
        <v>6</v>
      </c>
      <c r="S151">
        <v>15</v>
      </c>
      <c r="T151">
        <v>1</v>
      </c>
      <c r="U151">
        <v>1</v>
      </c>
      <c r="V151">
        <v>24</v>
      </c>
      <c r="W151">
        <v>66</v>
      </c>
      <c r="X151">
        <v>1168</v>
      </c>
      <c r="Y151">
        <v>5843</v>
      </c>
      <c r="Z151">
        <v>10448</v>
      </c>
      <c r="AA151">
        <v>2</v>
      </c>
      <c r="AB151" s="29">
        <v>44773</v>
      </c>
      <c r="AC151" s="29">
        <v>25570</v>
      </c>
      <c r="AD151" s="29">
        <v>43840</v>
      </c>
      <c r="AE151" s="29">
        <v>44291</v>
      </c>
      <c r="AF151">
        <v>1</v>
      </c>
      <c r="AG151" t="s">
        <v>167</v>
      </c>
      <c r="AH151">
        <v>2</v>
      </c>
      <c r="AI151">
        <v>52</v>
      </c>
      <c r="AJ151">
        <v>2</v>
      </c>
      <c r="AK151" t="s">
        <v>170</v>
      </c>
      <c r="AL151" t="s">
        <v>77</v>
      </c>
      <c r="AM151">
        <f t="shared" si="10"/>
        <v>1</v>
      </c>
      <c r="AN151">
        <f t="shared" si="11"/>
        <v>1</v>
      </c>
      <c r="AO151">
        <f t="shared" si="12"/>
        <v>2</v>
      </c>
      <c r="AP151">
        <f t="shared" si="13"/>
        <v>4</v>
      </c>
      <c r="AQ151">
        <f t="shared" si="14"/>
        <v>2020</v>
      </c>
    </row>
    <row r="152" spans="1:43" x14ac:dyDescent="0.35">
      <c r="A152">
        <v>1175</v>
      </c>
      <c r="B152">
        <v>28</v>
      </c>
      <c r="C152" t="s">
        <v>144</v>
      </c>
      <c r="D152" t="s">
        <v>145</v>
      </c>
      <c r="E152" t="s">
        <v>4</v>
      </c>
      <c r="F152" t="s">
        <v>35</v>
      </c>
      <c r="G152" t="s">
        <v>43</v>
      </c>
      <c r="H152" t="s">
        <v>81</v>
      </c>
      <c r="I152" t="s">
        <v>43</v>
      </c>
      <c r="J152" t="s">
        <v>155</v>
      </c>
      <c r="K152" t="s">
        <v>44</v>
      </c>
      <c r="L152" t="s">
        <v>147</v>
      </c>
      <c r="M152" t="s">
        <v>48</v>
      </c>
      <c r="N152" t="s">
        <v>160</v>
      </c>
      <c r="P152" t="s">
        <v>144</v>
      </c>
      <c r="Q152">
        <v>11</v>
      </c>
      <c r="R152">
        <v>1</v>
      </c>
      <c r="S152">
        <v>1</v>
      </c>
      <c r="T152">
        <v>0</v>
      </c>
      <c r="U152">
        <v>0</v>
      </c>
      <c r="V152">
        <v>12</v>
      </c>
      <c r="W152">
        <v>79</v>
      </c>
      <c r="X152">
        <v>1485</v>
      </c>
      <c r="Y152">
        <v>22955</v>
      </c>
      <c r="Z152">
        <v>2515</v>
      </c>
      <c r="AA152">
        <v>4</v>
      </c>
      <c r="AB152" s="29">
        <v>44773</v>
      </c>
      <c r="AC152" s="29">
        <v>34840</v>
      </c>
      <c r="AD152" s="29">
        <v>44044</v>
      </c>
      <c r="AE152" s="29">
        <v>44296</v>
      </c>
      <c r="AF152">
        <v>1</v>
      </c>
      <c r="AG152" t="s">
        <v>157</v>
      </c>
      <c r="AH152">
        <v>1</v>
      </c>
      <c r="AI152">
        <v>27</v>
      </c>
      <c r="AJ152">
        <v>1</v>
      </c>
      <c r="AK152" t="s">
        <v>170</v>
      </c>
      <c r="AL152" t="s">
        <v>78</v>
      </c>
      <c r="AM152">
        <f t="shared" si="10"/>
        <v>3</v>
      </c>
      <c r="AN152">
        <f t="shared" si="11"/>
        <v>8</v>
      </c>
      <c r="AO152">
        <f t="shared" si="12"/>
        <v>2</v>
      </c>
      <c r="AP152">
        <f t="shared" si="13"/>
        <v>4</v>
      </c>
      <c r="AQ152">
        <f t="shared" si="14"/>
        <v>2020</v>
      </c>
    </row>
    <row r="153" spans="1:43" x14ac:dyDescent="0.35">
      <c r="A153">
        <v>58</v>
      </c>
      <c r="B153">
        <v>41</v>
      </c>
      <c r="C153" t="s">
        <v>144</v>
      </c>
      <c r="D153" t="s">
        <v>145</v>
      </c>
      <c r="E153" t="s">
        <v>4</v>
      </c>
      <c r="F153" t="s">
        <v>38</v>
      </c>
      <c r="G153" t="s">
        <v>42</v>
      </c>
      <c r="H153" t="s">
        <v>81</v>
      </c>
      <c r="I153" t="s">
        <v>43</v>
      </c>
      <c r="J153" t="s">
        <v>173</v>
      </c>
      <c r="K153" t="s">
        <v>43</v>
      </c>
      <c r="L153" t="s">
        <v>147</v>
      </c>
      <c r="M153" t="s">
        <v>49</v>
      </c>
      <c r="N153" t="s">
        <v>160</v>
      </c>
      <c r="P153" t="s">
        <v>148</v>
      </c>
      <c r="Q153">
        <v>12</v>
      </c>
      <c r="R153">
        <v>1</v>
      </c>
      <c r="S153">
        <v>23</v>
      </c>
      <c r="T153">
        <v>15</v>
      </c>
      <c r="U153">
        <v>8</v>
      </c>
      <c r="V153">
        <v>12</v>
      </c>
      <c r="W153">
        <v>49</v>
      </c>
      <c r="X153">
        <v>1360</v>
      </c>
      <c r="Y153">
        <v>16280</v>
      </c>
      <c r="Z153">
        <v>19545</v>
      </c>
      <c r="AA153">
        <v>0</v>
      </c>
      <c r="AB153" s="29">
        <v>44773</v>
      </c>
      <c r="AC153" s="29">
        <v>30140</v>
      </c>
      <c r="AD153" s="29">
        <v>36511</v>
      </c>
      <c r="AE153" s="29">
        <v>44321</v>
      </c>
      <c r="AF153">
        <v>21</v>
      </c>
      <c r="AG153" t="s">
        <v>153</v>
      </c>
      <c r="AH153">
        <v>1</v>
      </c>
      <c r="AI153">
        <v>20</v>
      </c>
      <c r="AJ153">
        <v>1</v>
      </c>
      <c r="AK153" t="s">
        <v>163</v>
      </c>
      <c r="AL153" t="s">
        <v>77</v>
      </c>
      <c r="AM153">
        <f t="shared" si="10"/>
        <v>4</v>
      </c>
      <c r="AN153">
        <f t="shared" si="11"/>
        <v>12</v>
      </c>
      <c r="AO153">
        <f t="shared" si="12"/>
        <v>2</v>
      </c>
      <c r="AP153">
        <f t="shared" si="13"/>
        <v>5</v>
      </c>
      <c r="AQ153">
        <f t="shared" si="14"/>
        <v>1999</v>
      </c>
    </row>
    <row r="154" spans="1:43" x14ac:dyDescent="0.35">
      <c r="A154">
        <v>405</v>
      </c>
      <c r="B154">
        <v>18</v>
      </c>
      <c r="C154" t="s">
        <v>144</v>
      </c>
      <c r="D154" t="s">
        <v>145</v>
      </c>
      <c r="E154" t="s">
        <v>4</v>
      </c>
      <c r="F154" t="s">
        <v>38</v>
      </c>
      <c r="G154" t="s">
        <v>43</v>
      </c>
      <c r="H154" t="s">
        <v>82</v>
      </c>
      <c r="I154" t="s">
        <v>43</v>
      </c>
      <c r="J154" t="s">
        <v>155</v>
      </c>
      <c r="K154" t="s">
        <v>43</v>
      </c>
      <c r="L154" t="s">
        <v>48</v>
      </c>
      <c r="M154" t="s">
        <v>49</v>
      </c>
      <c r="N154" t="s">
        <v>95</v>
      </c>
      <c r="P154" t="s">
        <v>148</v>
      </c>
      <c r="Q154">
        <v>13</v>
      </c>
      <c r="R154">
        <v>1</v>
      </c>
      <c r="S154">
        <v>1</v>
      </c>
      <c r="T154">
        <v>0</v>
      </c>
      <c r="U154">
        <v>0</v>
      </c>
      <c r="V154">
        <v>3</v>
      </c>
      <c r="W154">
        <v>54</v>
      </c>
      <c r="X154">
        <v>230</v>
      </c>
      <c r="Y154">
        <v>25233</v>
      </c>
      <c r="Z154">
        <v>1420</v>
      </c>
      <c r="AA154">
        <v>2</v>
      </c>
      <c r="AB154" s="29">
        <v>44773</v>
      </c>
      <c r="AC154" s="29">
        <v>38333</v>
      </c>
      <c r="AD154" s="29">
        <v>44175</v>
      </c>
      <c r="AE154" s="29">
        <v>44321</v>
      </c>
      <c r="AF154">
        <v>0</v>
      </c>
      <c r="AG154" t="s">
        <v>172</v>
      </c>
      <c r="AH154">
        <v>1</v>
      </c>
      <c r="AI154">
        <v>18</v>
      </c>
      <c r="AJ154">
        <v>1</v>
      </c>
      <c r="AK154" t="s">
        <v>171</v>
      </c>
      <c r="AL154" t="s">
        <v>77</v>
      </c>
      <c r="AM154">
        <f t="shared" si="10"/>
        <v>4</v>
      </c>
      <c r="AN154">
        <f t="shared" si="11"/>
        <v>12</v>
      </c>
      <c r="AO154">
        <f t="shared" si="12"/>
        <v>2</v>
      </c>
      <c r="AP154">
        <f t="shared" si="13"/>
        <v>5</v>
      </c>
      <c r="AQ154">
        <f t="shared" si="14"/>
        <v>2020</v>
      </c>
    </row>
    <row r="155" spans="1:43" x14ac:dyDescent="0.35">
      <c r="A155">
        <v>1279</v>
      </c>
      <c r="B155">
        <v>21</v>
      </c>
      <c r="C155" t="s">
        <v>144</v>
      </c>
      <c r="D155" t="s">
        <v>151</v>
      </c>
      <c r="E155" t="s">
        <v>4</v>
      </c>
      <c r="F155" t="s">
        <v>36</v>
      </c>
      <c r="G155" t="s">
        <v>41</v>
      </c>
      <c r="H155" t="s">
        <v>81</v>
      </c>
      <c r="I155" t="s">
        <v>42</v>
      </c>
      <c r="J155" t="s">
        <v>155</v>
      </c>
      <c r="K155" t="s">
        <v>43</v>
      </c>
      <c r="L155" t="s">
        <v>152</v>
      </c>
      <c r="M155" t="s">
        <v>47</v>
      </c>
      <c r="N155" t="s">
        <v>95</v>
      </c>
      <c r="P155" t="s">
        <v>148</v>
      </c>
      <c r="Q155">
        <v>20</v>
      </c>
      <c r="R155">
        <v>1</v>
      </c>
      <c r="S155">
        <v>2</v>
      </c>
      <c r="T155">
        <v>2</v>
      </c>
      <c r="U155">
        <v>2</v>
      </c>
      <c r="V155">
        <v>10</v>
      </c>
      <c r="W155">
        <v>45</v>
      </c>
      <c r="X155">
        <v>251</v>
      </c>
      <c r="Y155">
        <v>25308</v>
      </c>
      <c r="Z155">
        <v>2625</v>
      </c>
      <c r="AA155">
        <v>2</v>
      </c>
      <c r="AB155" s="29">
        <v>44773</v>
      </c>
      <c r="AC155" s="29">
        <v>37146</v>
      </c>
      <c r="AD155" s="29">
        <v>43755</v>
      </c>
      <c r="AE155" s="29">
        <v>44351</v>
      </c>
      <c r="AF155">
        <v>2</v>
      </c>
      <c r="AG155" t="s">
        <v>157</v>
      </c>
      <c r="AH155">
        <v>1</v>
      </c>
      <c r="AI155">
        <v>19</v>
      </c>
      <c r="AJ155">
        <v>1</v>
      </c>
      <c r="AK155" t="s">
        <v>170</v>
      </c>
      <c r="AL155" t="s">
        <v>77</v>
      </c>
      <c r="AM155">
        <f t="shared" si="10"/>
        <v>4</v>
      </c>
      <c r="AN155">
        <f t="shared" si="11"/>
        <v>10</v>
      </c>
      <c r="AO155">
        <f t="shared" si="12"/>
        <v>2</v>
      </c>
      <c r="AP155">
        <f t="shared" si="13"/>
        <v>6</v>
      </c>
      <c r="AQ155">
        <f t="shared" si="14"/>
        <v>2019</v>
      </c>
    </row>
    <row r="156" spans="1:43" x14ac:dyDescent="0.35">
      <c r="A156">
        <v>45</v>
      </c>
      <c r="B156">
        <v>24</v>
      </c>
      <c r="C156" t="s">
        <v>144</v>
      </c>
      <c r="D156" t="s">
        <v>145</v>
      </c>
      <c r="E156" t="s">
        <v>4</v>
      </c>
      <c r="F156" t="s">
        <v>38</v>
      </c>
      <c r="G156" t="s">
        <v>42</v>
      </c>
      <c r="H156" t="s">
        <v>82</v>
      </c>
      <c r="I156" t="s">
        <v>43</v>
      </c>
      <c r="J156" t="s">
        <v>146</v>
      </c>
      <c r="K156" t="s">
        <v>44</v>
      </c>
      <c r="L156" t="s">
        <v>147</v>
      </c>
      <c r="M156" t="s">
        <v>48</v>
      </c>
      <c r="N156" t="s">
        <v>160</v>
      </c>
      <c r="O156" t="s">
        <v>41</v>
      </c>
      <c r="P156" t="s">
        <v>144</v>
      </c>
      <c r="Q156">
        <v>16</v>
      </c>
      <c r="R156">
        <v>2</v>
      </c>
      <c r="S156">
        <v>6</v>
      </c>
      <c r="T156">
        <v>1</v>
      </c>
      <c r="U156">
        <v>0</v>
      </c>
      <c r="V156">
        <v>1</v>
      </c>
      <c r="W156">
        <v>61</v>
      </c>
      <c r="X156">
        <v>813</v>
      </c>
      <c r="Y156">
        <v>3020</v>
      </c>
      <c r="Z156">
        <v>2293</v>
      </c>
      <c r="AA156">
        <v>2</v>
      </c>
      <c r="AB156" s="29">
        <v>44773</v>
      </c>
      <c r="AC156" s="29">
        <v>36242</v>
      </c>
      <c r="AD156" s="29">
        <v>43843</v>
      </c>
      <c r="AE156" s="29">
        <v>44356</v>
      </c>
      <c r="AF156">
        <v>1</v>
      </c>
      <c r="AG156" t="s">
        <v>157</v>
      </c>
      <c r="AH156">
        <v>1</v>
      </c>
      <c r="AI156">
        <v>23</v>
      </c>
      <c r="AJ156">
        <v>2</v>
      </c>
      <c r="AK156" t="s">
        <v>170</v>
      </c>
      <c r="AL156" t="s">
        <v>77</v>
      </c>
      <c r="AM156">
        <f t="shared" si="10"/>
        <v>1</v>
      </c>
      <c r="AN156">
        <f t="shared" si="11"/>
        <v>1</v>
      </c>
      <c r="AO156">
        <f t="shared" si="12"/>
        <v>2</v>
      </c>
      <c r="AP156">
        <f t="shared" si="13"/>
        <v>6</v>
      </c>
      <c r="AQ156">
        <f t="shared" si="14"/>
        <v>2020</v>
      </c>
    </row>
    <row r="157" spans="1:43" x14ac:dyDescent="0.35">
      <c r="A157">
        <v>1203</v>
      </c>
      <c r="B157">
        <v>22</v>
      </c>
      <c r="C157" t="s">
        <v>144</v>
      </c>
      <c r="D157" t="s">
        <v>151</v>
      </c>
      <c r="E157" t="s">
        <v>4</v>
      </c>
      <c r="F157" t="s">
        <v>37</v>
      </c>
      <c r="G157" t="s">
        <v>43</v>
      </c>
      <c r="H157" t="s">
        <v>82</v>
      </c>
      <c r="I157" t="s">
        <v>42</v>
      </c>
      <c r="J157" t="s">
        <v>146</v>
      </c>
      <c r="K157" t="s">
        <v>44</v>
      </c>
      <c r="L157" t="s">
        <v>48</v>
      </c>
      <c r="M157" t="s">
        <v>49</v>
      </c>
      <c r="N157" t="s">
        <v>160</v>
      </c>
      <c r="O157" t="s">
        <v>41</v>
      </c>
      <c r="P157" t="s">
        <v>144</v>
      </c>
      <c r="Q157">
        <v>11</v>
      </c>
      <c r="R157">
        <v>0</v>
      </c>
      <c r="S157">
        <v>1</v>
      </c>
      <c r="T157">
        <v>0</v>
      </c>
      <c r="U157">
        <v>0</v>
      </c>
      <c r="V157">
        <v>3</v>
      </c>
      <c r="W157">
        <v>48</v>
      </c>
      <c r="X157">
        <v>1256</v>
      </c>
      <c r="Y157">
        <v>4223</v>
      </c>
      <c r="Z157">
        <v>2853</v>
      </c>
      <c r="AA157">
        <v>5</v>
      </c>
      <c r="AB157" s="29">
        <v>44773</v>
      </c>
      <c r="AC157" s="29">
        <v>36820</v>
      </c>
      <c r="AD157" s="29">
        <v>44248</v>
      </c>
      <c r="AE157" s="29">
        <v>44358</v>
      </c>
      <c r="AF157">
        <v>0</v>
      </c>
      <c r="AG157" t="s">
        <v>157</v>
      </c>
      <c r="AH157">
        <v>1</v>
      </c>
      <c r="AI157">
        <v>22</v>
      </c>
      <c r="AJ157">
        <v>1</v>
      </c>
      <c r="AK157" t="s">
        <v>171</v>
      </c>
      <c r="AL157" t="s">
        <v>77</v>
      </c>
      <c r="AM157">
        <f t="shared" si="10"/>
        <v>1</v>
      </c>
      <c r="AN157">
        <f t="shared" si="11"/>
        <v>2</v>
      </c>
      <c r="AO157">
        <f t="shared" si="12"/>
        <v>2</v>
      </c>
      <c r="AP157">
        <f t="shared" si="13"/>
        <v>6</v>
      </c>
      <c r="AQ157">
        <f t="shared" si="14"/>
        <v>2021</v>
      </c>
    </row>
    <row r="158" spans="1:43" x14ac:dyDescent="0.35">
      <c r="A158">
        <v>1113</v>
      </c>
      <c r="B158">
        <v>50</v>
      </c>
      <c r="C158" t="s">
        <v>144</v>
      </c>
      <c r="D158" t="s">
        <v>151</v>
      </c>
      <c r="E158" t="s">
        <v>158</v>
      </c>
      <c r="F158" t="s">
        <v>37</v>
      </c>
      <c r="G158" t="s">
        <v>44</v>
      </c>
      <c r="H158" t="s">
        <v>82</v>
      </c>
      <c r="I158" t="s">
        <v>43</v>
      </c>
      <c r="J158" t="s">
        <v>159</v>
      </c>
      <c r="K158" t="s">
        <v>43</v>
      </c>
      <c r="L158" t="s">
        <v>147</v>
      </c>
      <c r="M158" t="s">
        <v>49</v>
      </c>
      <c r="N158" t="s">
        <v>95</v>
      </c>
      <c r="P158" t="s">
        <v>144</v>
      </c>
      <c r="Q158">
        <v>14</v>
      </c>
      <c r="R158">
        <v>3</v>
      </c>
      <c r="S158">
        <v>5</v>
      </c>
      <c r="T158">
        <v>0</v>
      </c>
      <c r="U158">
        <v>0</v>
      </c>
      <c r="V158">
        <v>1</v>
      </c>
      <c r="W158">
        <v>81</v>
      </c>
      <c r="X158">
        <v>959</v>
      </c>
      <c r="Y158">
        <v>17251</v>
      </c>
      <c r="Z158">
        <v>4728</v>
      </c>
      <c r="AA158">
        <v>4</v>
      </c>
      <c r="AB158" s="29">
        <v>44773</v>
      </c>
      <c r="AC158" s="29">
        <v>26586</v>
      </c>
      <c r="AD158" s="29">
        <v>44229</v>
      </c>
      <c r="AE158" s="29">
        <v>44370</v>
      </c>
      <c r="AF158">
        <v>0</v>
      </c>
      <c r="AG158" t="s">
        <v>167</v>
      </c>
      <c r="AH158">
        <v>1</v>
      </c>
      <c r="AI158">
        <v>50</v>
      </c>
      <c r="AJ158">
        <v>1</v>
      </c>
      <c r="AK158" t="s">
        <v>171</v>
      </c>
      <c r="AL158" t="s">
        <v>78</v>
      </c>
      <c r="AM158">
        <f t="shared" si="10"/>
        <v>1</v>
      </c>
      <c r="AN158">
        <f t="shared" si="11"/>
        <v>2</v>
      </c>
      <c r="AO158">
        <f t="shared" si="12"/>
        <v>2</v>
      </c>
      <c r="AP158">
        <f t="shared" si="13"/>
        <v>6</v>
      </c>
      <c r="AQ158">
        <f t="shared" si="14"/>
        <v>2021</v>
      </c>
    </row>
    <row r="159" spans="1:43" x14ac:dyDescent="0.35">
      <c r="A159">
        <v>1219</v>
      </c>
      <c r="B159">
        <v>24</v>
      </c>
      <c r="C159" t="s">
        <v>144</v>
      </c>
      <c r="D159" t="s">
        <v>145</v>
      </c>
      <c r="E159" t="s">
        <v>4</v>
      </c>
      <c r="F159" t="s">
        <v>36</v>
      </c>
      <c r="G159" t="s">
        <v>44</v>
      </c>
      <c r="H159" t="s">
        <v>81</v>
      </c>
      <c r="I159" t="s">
        <v>43</v>
      </c>
      <c r="J159" t="s">
        <v>155</v>
      </c>
      <c r="K159" t="s">
        <v>42</v>
      </c>
      <c r="L159" t="s">
        <v>41</v>
      </c>
      <c r="M159" t="s">
        <v>47</v>
      </c>
      <c r="N159" t="s">
        <v>160</v>
      </c>
      <c r="O159" t="s">
        <v>41</v>
      </c>
      <c r="P159" t="s">
        <v>148</v>
      </c>
      <c r="Q159">
        <v>13</v>
      </c>
      <c r="R159">
        <v>1</v>
      </c>
      <c r="S159">
        <v>1</v>
      </c>
      <c r="T159">
        <v>0</v>
      </c>
      <c r="U159">
        <v>0</v>
      </c>
      <c r="V159">
        <v>17</v>
      </c>
      <c r="W159">
        <v>97</v>
      </c>
      <c r="X159">
        <v>984</v>
      </c>
      <c r="Y159">
        <v>3372</v>
      </c>
      <c r="Z159">
        <v>2210</v>
      </c>
      <c r="AA159">
        <v>3</v>
      </c>
      <c r="AB159" s="29">
        <v>44773</v>
      </c>
      <c r="AC159" s="29">
        <v>36195</v>
      </c>
      <c r="AD159" s="29">
        <v>44293</v>
      </c>
      <c r="AE159" s="29">
        <v>44388</v>
      </c>
      <c r="AF159">
        <v>0</v>
      </c>
      <c r="AG159" t="s">
        <v>157</v>
      </c>
      <c r="AH159">
        <v>2</v>
      </c>
      <c r="AI159">
        <v>24</v>
      </c>
      <c r="AJ159">
        <v>1</v>
      </c>
      <c r="AK159" t="s">
        <v>171</v>
      </c>
      <c r="AL159" t="s">
        <v>77</v>
      </c>
      <c r="AM159">
        <f t="shared" si="10"/>
        <v>2</v>
      </c>
      <c r="AN159">
        <f t="shared" si="11"/>
        <v>4</v>
      </c>
      <c r="AO159">
        <f t="shared" si="12"/>
        <v>3</v>
      </c>
      <c r="AP159">
        <f t="shared" si="13"/>
        <v>7</v>
      </c>
      <c r="AQ159">
        <f t="shared" si="14"/>
        <v>2021</v>
      </c>
    </row>
    <row r="160" spans="1:43" x14ac:dyDescent="0.35">
      <c r="A160">
        <v>175</v>
      </c>
      <c r="B160">
        <v>31</v>
      </c>
      <c r="C160" t="s">
        <v>144</v>
      </c>
      <c r="D160" t="s">
        <v>145</v>
      </c>
      <c r="E160" t="s">
        <v>158</v>
      </c>
      <c r="F160" t="s">
        <v>38</v>
      </c>
      <c r="G160" t="s">
        <v>42</v>
      </c>
      <c r="H160" t="s">
        <v>81</v>
      </c>
      <c r="I160" t="s">
        <v>41</v>
      </c>
      <c r="J160" t="s">
        <v>159</v>
      </c>
      <c r="K160" t="s">
        <v>43</v>
      </c>
      <c r="L160" t="s">
        <v>48</v>
      </c>
      <c r="M160" t="s">
        <v>49</v>
      </c>
      <c r="N160" t="s">
        <v>160</v>
      </c>
      <c r="O160" t="s">
        <v>41</v>
      </c>
      <c r="P160" t="s">
        <v>144</v>
      </c>
      <c r="Q160">
        <v>11</v>
      </c>
      <c r="R160">
        <v>3</v>
      </c>
      <c r="S160">
        <v>4</v>
      </c>
      <c r="T160">
        <v>2</v>
      </c>
      <c r="U160">
        <v>2</v>
      </c>
      <c r="V160">
        <v>20</v>
      </c>
      <c r="W160">
        <v>71</v>
      </c>
      <c r="X160">
        <v>542</v>
      </c>
      <c r="Y160">
        <v>24788</v>
      </c>
      <c r="Z160">
        <v>4559</v>
      </c>
      <c r="AA160">
        <v>2</v>
      </c>
      <c r="AB160" s="29">
        <v>44773</v>
      </c>
      <c r="AC160" s="29">
        <v>33467</v>
      </c>
      <c r="AD160" s="29">
        <v>43713</v>
      </c>
      <c r="AE160" s="29">
        <v>44389</v>
      </c>
      <c r="AF160">
        <v>2</v>
      </c>
      <c r="AG160" t="s">
        <v>149</v>
      </c>
      <c r="AH160">
        <v>1</v>
      </c>
      <c r="AI160">
        <v>29</v>
      </c>
      <c r="AJ160">
        <v>1</v>
      </c>
      <c r="AK160" t="s">
        <v>170</v>
      </c>
      <c r="AL160" t="s">
        <v>77</v>
      </c>
      <c r="AM160">
        <f t="shared" si="10"/>
        <v>3</v>
      </c>
      <c r="AN160">
        <f t="shared" si="11"/>
        <v>9</v>
      </c>
      <c r="AO160">
        <f t="shared" si="12"/>
        <v>3</v>
      </c>
      <c r="AP160">
        <f t="shared" si="13"/>
        <v>7</v>
      </c>
      <c r="AQ160">
        <f t="shared" si="14"/>
        <v>2019</v>
      </c>
    </row>
    <row r="161" spans="1:43" x14ac:dyDescent="0.35">
      <c r="A161">
        <v>538</v>
      </c>
      <c r="B161">
        <v>25</v>
      </c>
      <c r="C161" t="s">
        <v>144</v>
      </c>
      <c r="D161" t="s">
        <v>145</v>
      </c>
      <c r="E161" t="s">
        <v>4</v>
      </c>
      <c r="F161" t="s">
        <v>38</v>
      </c>
      <c r="G161" t="s">
        <v>41</v>
      </c>
      <c r="H161" t="s">
        <v>82</v>
      </c>
      <c r="I161" t="s">
        <v>43</v>
      </c>
      <c r="J161" t="s">
        <v>155</v>
      </c>
      <c r="K161" t="s">
        <v>41</v>
      </c>
      <c r="L161" t="s">
        <v>48</v>
      </c>
      <c r="M161" t="s">
        <v>49</v>
      </c>
      <c r="N161" t="s">
        <v>160</v>
      </c>
      <c r="O161" t="s">
        <v>41</v>
      </c>
      <c r="P161" t="s">
        <v>148</v>
      </c>
      <c r="Q161">
        <v>13</v>
      </c>
      <c r="R161">
        <v>5</v>
      </c>
      <c r="S161">
        <v>6</v>
      </c>
      <c r="T161">
        <v>0</v>
      </c>
      <c r="U161">
        <v>2</v>
      </c>
      <c r="V161">
        <v>3</v>
      </c>
      <c r="W161">
        <v>91</v>
      </c>
      <c r="X161">
        <v>688</v>
      </c>
      <c r="Y161">
        <v>9396</v>
      </c>
      <c r="Z161">
        <v>4031</v>
      </c>
      <c r="AA161">
        <v>5</v>
      </c>
      <c r="AB161" s="29">
        <v>44773</v>
      </c>
      <c r="AC161" s="29">
        <v>35660</v>
      </c>
      <c r="AD161" s="29">
        <v>43818</v>
      </c>
      <c r="AE161" s="29">
        <v>44391</v>
      </c>
      <c r="AF161">
        <v>2</v>
      </c>
      <c r="AG161" t="s">
        <v>157</v>
      </c>
      <c r="AH161">
        <v>1</v>
      </c>
      <c r="AI161">
        <v>23</v>
      </c>
      <c r="AJ161">
        <v>1</v>
      </c>
      <c r="AK161" t="s">
        <v>170</v>
      </c>
      <c r="AL161" t="s">
        <v>77</v>
      </c>
      <c r="AM161">
        <f t="shared" si="10"/>
        <v>4</v>
      </c>
      <c r="AN161">
        <f t="shared" si="11"/>
        <v>12</v>
      </c>
      <c r="AO161">
        <f t="shared" si="12"/>
        <v>3</v>
      </c>
      <c r="AP161">
        <f t="shared" si="13"/>
        <v>7</v>
      </c>
      <c r="AQ161">
        <f t="shared" si="14"/>
        <v>2019</v>
      </c>
    </row>
    <row r="162" spans="1:43" x14ac:dyDescent="0.35">
      <c r="A162">
        <v>1733</v>
      </c>
      <c r="B162">
        <v>36</v>
      </c>
      <c r="C162" t="s">
        <v>144</v>
      </c>
      <c r="D162" t="s">
        <v>145</v>
      </c>
      <c r="E162" t="s">
        <v>158</v>
      </c>
      <c r="F162" t="s">
        <v>34</v>
      </c>
      <c r="G162" t="s">
        <v>42</v>
      </c>
      <c r="H162" t="s">
        <v>82</v>
      </c>
      <c r="I162" t="s">
        <v>42</v>
      </c>
      <c r="J162" t="s">
        <v>159</v>
      </c>
      <c r="K162" t="s">
        <v>41</v>
      </c>
      <c r="L162" t="s">
        <v>147</v>
      </c>
      <c r="M162" t="s">
        <v>49</v>
      </c>
      <c r="N162" t="s">
        <v>96</v>
      </c>
      <c r="O162" t="s">
        <v>43</v>
      </c>
      <c r="P162" t="s">
        <v>144</v>
      </c>
      <c r="Q162">
        <v>13</v>
      </c>
      <c r="R162">
        <v>5</v>
      </c>
      <c r="S162">
        <v>16</v>
      </c>
      <c r="T162">
        <v>2</v>
      </c>
      <c r="U162">
        <v>2</v>
      </c>
      <c r="V162">
        <v>13</v>
      </c>
      <c r="W162">
        <v>96</v>
      </c>
      <c r="X162">
        <v>1456</v>
      </c>
      <c r="Y162">
        <v>8658</v>
      </c>
      <c r="Z162">
        <v>6134</v>
      </c>
      <c r="AA162">
        <v>3</v>
      </c>
      <c r="AB162" s="29">
        <v>44773</v>
      </c>
      <c r="AC162" s="29">
        <v>31799</v>
      </c>
      <c r="AD162" s="29">
        <v>43671</v>
      </c>
      <c r="AE162" s="29">
        <v>44395</v>
      </c>
      <c r="AF162">
        <v>2</v>
      </c>
      <c r="AG162" t="s">
        <v>149</v>
      </c>
      <c r="AH162">
        <v>1</v>
      </c>
      <c r="AI162">
        <v>34</v>
      </c>
      <c r="AJ162">
        <v>1</v>
      </c>
      <c r="AK162" t="s">
        <v>170</v>
      </c>
      <c r="AL162" t="s">
        <v>78</v>
      </c>
      <c r="AM162">
        <f t="shared" si="10"/>
        <v>3</v>
      </c>
      <c r="AN162">
        <f t="shared" si="11"/>
        <v>7</v>
      </c>
      <c r="AO162">
        <f t="shared" si="12"/>
        <v>3</v>
      </c>
      <c r="AP162">
        <f t="shared" si="13"/>
        <v>7</v>
      </c>
      <c r="AQ162">
        <f t="shared" si="14"/>
        <v>2019</v>
      </c>
    </row>
    <row r="163" spans="1:43" x14ac:dyDescent="0.35">
      <c r="A163">
        <v>1862</v>
      </c>
      <c r="B163">
        <v>32</v>
      </c>
      <c r="C163" t="s">
        <v>144</v>
      </c>
      <c r="D163" t="s">
        <v>145</v>
      </c>
      <c r="E163" t="s">
        <v>158</v>
      </c>
      <c r="F163" t="s">
        <v>37</v>
      </c>
      <c r="G163" t="s">
        <v>43</v>
      </c>
      <c r="H163" t="s">
        <v>82</v>
      </c>
      <c r="I163" t="s">
        <v>42</v>
      </c>
      <c r="J163" t="s">
        <v>159</v>
      </c>
      <c r="K163" t="s">
        <v>42</v>
      </c>
      <c r="L163" t="s">
        <v>147</v>
      </c>
      <c r="M163" t="s">
        <v>48</v>
      </c>
      <c r="N163" t="s">
        <v>95</v>
      </c>
      <c r="P163" t="s">
        <v>144</v>
      </c>
      <c r="Q163">
        <v>12</v>
      </c>
      <c r="R163">
        <v>7</v>
      </c>
      <c r="S163">
        <v>7</v>
      </c>
      <c r="T163">
        <v>2</v>
      </c>
      <c r="U163">
        <v>2</v>
      </c>
      <c r="V163">
        <v>2</v>
      </c>
      <c r="W163">
        <v>82</v>
      </c>
      <c r="X163">
        <v>414</v>
      </c>
      <c r="Y163">
        <v>26186</v>
      </c>
      <c r="Z163">
        <v>9907</v>
      </c>
      <c r="AA163">
        <v>3</v>
      </c>
      <c r="AB163" s="29">
        <v>44773</v>
      </c>
      <c r="AC163" s="29">
        <v>33430</v>
      </c>
      <c r="AD163" s="29">
        <v>43679</v>
      </c>
      <c r="AE163" s="29">
        <v>44395</v>
      </c>
      <c r="AF163">
        <v>2</v>
      </c>
      <c r="AG163" t="s">
        <v>149</v>
      </c>
      <c r="AH163">
        <v>1</v>
      </c>
      <c r="AI163">
        <v>30</v>
      </c>
      <c r="AJ163">
        <v>1</v>
      </c>
      <c r="AK163" t="s">
        <v>170</v>
      </c>
      <c r="AL163" t="s">
        <v>77</v>
      </c>
      <c r="AM163">
        <f t="shared" si="10"/>
        <v>3</v>
      </c>
      <c r="AN163">
        <f t="shared" si="11"/>
        <v>8</v>
      </c>
      <c r="AO163">
        <f t="shared" si="12"/>
        <v>3</v>
      </c>
      <c r="AP163">
        <f t="shared" si="13"/>
        <v>7</v>
      </c>
      <c r="AQ163">
        <f t="shared" si="14"/>
        <v>2019</v>
      </c>
    </row>
    <row r="164" spans="1:43" x14ac:dyDescent="0.35">
      <c r="A164">
        <v>1667</v>
      </c>
      <c r="B164">
        <v>35</v>
      </c>
      <c r="C164" t="s">
        <v>144</v>
      </c>
      <c r="D164" t="s">
        <v>151</v>
      </c>
      <c r="E164" t="s">
        <v>158</v>
      </c>
      <c r="F164" t="s">
        <v>37</v>
      </c>
      <c r="G164" t="s">
        <v>44</v>
      </c>
      <c r="H164" t="s">
        <v>82</v>
      </c>
      <c r="I164" t="s">
        <v>43</v>
      </c>
      <c r="J164" t="s">
        <v>159</v>
      </c>
      <c r="K164" t="s">
        <v>44</v>
      </c>
      <c r="L164" t="s">
        <v>152</v>
      </c>
      <c r="M164" t="s">
        <v>50</v>
      </c>
      <c r="N164" t="s">
        <v>95</v>
      </c>
      <c r="P164" t="s">
        <v>144</v>
      </c>
      <c r="Q164">
        <v>24</v>
      </c>
      <c r="R164">
        <v>3</v>
      </c>
      <c r="S164">
        <v>13</v>
      </c>
      <c r="T164">
        <v>6</v>
      </c>
      <c r="U164">
        <v>7</v>
      </c>
      <c r="V164">
        <v>12</v>
      </c>
      <c r="W164">
        <v>36</v>
      </c>
      <c r="X164">
        <v>880</v>
      </c>
      <c r="Y164">
        <v>10414</v>
      </c>
      <c r="Z164">
        <v>4581</v>
      </c>
      <c r="AA164">
        <v>2</v>
      </c>
      <c r="AB164" s="29">
        <v>44773</v>
      </c>
      <c r="AC164" s="29">
        <v>31993</v>
      </c>
      <c r="AD164" s="29">
        <v>40711</v>
      </c>
      <c r="AE164" s="29">
        <v>44399</v>
      </c>
      <c r="AF164">
        <v>10</v>
      </c>
      <c r="AG164" t="s">
        <v>149</v>
      </c>
      <c r="AH164">
        <v>1</v>
      </c>
      <c r="AI164">
        <v>25</v>
      </c>
      <c r="AJ164">
        <v>1</v>
      </c>
      <c r="AK164" t="s">
        <v>154</v>
      </c>
      <c r="AL164" t="s">
        <v>77</v>
      </c>
      <c r="AM164">
        <f t="shared" si="10"/>
        <v>2</v>
      </c>
      <c r="AN164">
        <f t="shared" si="11"/>
        <v>6</v>
      </c>
      <c r="AO164">
        <f t="shared" si="12"/>
        <v>3</v>
      </c>
      <c r="AP164">
        <f t="shared" si="13"/>
        <v>7</v>
      </c>
      <c r="AQ164">
        <f t="shared" si="14"/>
        <v>2011</v>
      </c>
    </row>
    <row r="165" spans="1:43" x14ac:dyDescent="0.35">
      <c r="A165">
        <v>1944</v>
      </c>
      <c r="B165">
        <v>27</v>
      </c>
      <c r="C165" t="s">
        <v>144</v>
      </c>
      <c r="D165" t="s">
        <v>151</v>
      </c>
      <c r="E165" t="s">
        <v>168</v>
      </c>
      <c r="F165" t="s">
        <v>38</v>
      </c>
      <c r="G165" t="s">
        <v>41</v>
      </c>
      <c r="H165" t="s">
        <v>81</v>
      </c>
      <c r="I165" t="s">
        <v>42</v>
      </c>
      <c r="J165" t="s">
        <v>168</v>
      </c>
      <c r="K165" t="s">
        <v>42</v>
      </c>
      <c r="L165" t="s">
        <v>41</v>
      </c>
      <c r="M165" t="s">
        <v>49</v>
      </c>
      <c r="N165" t="s">
        <v>160</v>
      </c>
      <c r="P165" t="s">
        <v>148</v>
      </c>
      <c r="Q165">
        <v>12</v>
      </c>
      <c r="R165">
        <v>1</v>
      </c>
      <c r="S165">
        <v>1</v>
      </c>
      <c r="T165">
        <v>0</v>
      </c>
      <c r="U165">
        <v>0</v>
      </c>
      <c r="V165">
        <v>22</v>
      </c>
      <c r="W165">
        <v>58</v>
      </c>
      <c r="X165">
        <v>1337</v>
      </c>
      <c r="Y165">
        <v>19555</v>
      </c>
      <c r="Z165">
        <v>2863</v>
      </c>
      <c r="AA165">
        <v>2</v>
      </c>
      <c r="AB165" s="29">
        <v>44773</v>
      </c>
      <c r="AC165" s="29">
        <v>35196</v>
      </c>
      <c r="AD165" s="29">
        <v>44272</v>
      </c>
      <c r="AE165" s="29">
        <v>44400</v>
      </c>
      <c r="AF165">
        <v>0</v>
      </c>
      <c r="AG165" t="s">
        <v>157</v>
      </c>
      <c r="AH165">
        <v>2</v>
      </c>
      <c r="AI165">
        <v>27</v>
      </c>
      <c r="AJ165">
        <v>1</v>
      </c>
      <c r="AK165" t="s">
        <v>171</v>
      </c>
      <c r="AL165" t="s">
        <v>77</v>
      </c>
      <c r="AM165">
        <f t="shared" si="10"/>
        <v>1</v>
      </c>
      <c r="AN165">
        <f t="shared" si="11"/>
        <v>3</v>
      </c>
      <c r="AO165">
        <f t="shared" si="12"/>
        <v>3</v>
      </c>
      <c r="AP165">
        <f t="shared" si="13"/>
        <v>7</v>
      </c>
      <c r="AQ165">
        <f t="shared" si="14"/>
        <v>2021</v>
      </c>
    </row>
    <row r="166" spans="1:43" x14ac:dyDescent="0.35">
      <c r="A166">
        <v>331</v>
      </c>
      <c r="B166">
        <v>32</v>
      </c>
      <c r="C166" t="s">
        <v>144</v>
      </c>
      <c r="D166" t="s">
        <v>145</v>
      </c>
      <c r="E166" t="s">
        <v>4</v>
      </c>
      <c r="F166" t="s">
        <v>38</v>
      </c>
      <c r="G166" t="s">
        <v>44</v>
      </c>
      <c r="H166" t="s">
        <v>82</v>
      </c>
      <c r="I166" t="s">
        <v>42</v>
      </c>
      <c r="J166" t="s">
        <v>155</v>
      </c>
      <c r="K166" t="s">
        <v>43</v>
      </c>
      <c r="L166" t="s">
        <v>147</v>
      </c>
      <c r="M166" t="s">
        <v>47</v>
      </c>
      <c r="N166" t="s">
        <v>95</v>
      </c>
      <c r="P166" t="s">
        <v>144</v>
      </c>
      <c r="Q166">
        <v>14</v>
      </c>
      <c r="R166">
        <v>0</v>
      </c>
      <c r="S166">
        <v>4</v>
      </c>
      <c r="T166">
        <v>1</v>
      </c>
      <c r="U166">
        <v>2</v>
      </c>
      <c r="V166">
        <v>1</v>
      </c>
      <c r="W166">
        <v>62</v>
      </c>
      <c r="X166">
        <v>515</v>
      </c>
      <c r="Y166">
        <v>9571</v>
      </c>
      <c r="Z166">
        <v>3730</v>
      </c>
      <c r="AA166">
        <v>2</v>
      </c>
      <c r="AB166" s="29">
        <v>44773</v>
      </c>
      <c r="AC166" s="29">
        <v>33223</v>
      </c>
      <c r="AD166" s="29">
        <v>43371</v>
      </c>
      <c r="AE166" s="29">
        <v>44411</v>
      </c>
      <c r="AF166">
        <v>3</v>
      </c>
      <c r="AG166" t="s">
        <v>149</v>
      </c>
      <c r="AH166">
        <v>1</v>
      </c>
      <c r="AI166">
        <v>29</v>
      </c>
      <c r="AJ166">
        <v>1</v>
      </c>
      <c r="AK166" t="s">
        <v>170</v>
      </c>
      <c r="AL166" t="s">
        <v>77</v>
      </c>
      <c r="AM166">
        <f t="shared" si="10"/>
        <v>3</v>
      </c>
      <c r="AN166">
        <f t="shared" si="11"/>
        <v>9</v>
      </c>
      <c r="AO166">
        <f t="shared" si="12"/>
        <v>3</v>
      </c>
      <c r="AP166">
        <f t="shared" si="13"/>
        <v>8</v>
      </c>
      <c r="AQ166">
        <f t="shared" si="14"/>
        <v>2018</v>
      </c>
    </row>
    <row r="167" spans="1:43" x14ac:dyDescent="0.35">
      <c r="A167">
        <v>1604</v>
      </c>
      <c r="B167">
        <v>28</v>
      </c>
      <c r="C167" t="s">
        <v>144</v>
      </c>
      <c r="D167" t="s">
        <v>145</v>
      </c>
      <c r="E167" t="s">
        <v>4</v>
      </c>
      <c r="F167" t="s">
        <v>38</v>
      </c>
      <c r="G167" t="s">
        <v>43</v>
      </c>
      <c r="H167" t="s">
        <v>82</v>
      </c>
      <c r="I167" t="s">
        <v>43</v>
      </c>
      <c r="J167" t="s">
        <v>155</v>
      </c>
      <c r="K167" t="s">
        <v>42</v>
      </c>
      <c r="L167" t="s">
        <v>48</v>
      </c>
      <c r="M167" t="s">
        <v>49</v>
      </c>
      <c r="N167" t="s">
        <v>160</v>
      </c>
      <c r="O167" t="s">
        <v>43</v>
      </c>
      <c r="P167" t="s">
        <v>144</v>
      </c>
      <c r="Q167">
        <v>17</v>
      </c>
      <c r="R167">
        <v>1</v>
      </c>
      <c r="S167">
        <v>1</v>
      </c>
      <c r="T167">
        <v>0</v>
      </c>
      <c r="U167">
        <v>0</v>
      </c>
      <c r="V167">
        <v>24</v>
      </c>
      <c r="W167">
        <v>51</v>
      </c>
      <c r="X167">
        <v>329</v>
      </c>
      <c r="Y167">
        <v>7324</v>
      </c>
      <c r="Z167">
        <v>2408</v>
      </c>
      <c r="AA167">
        <v>3</v>
      </c>
      <c r="AB167" s="29">
        <v>44773</v>
      </c>
      <c r="AC167" s="29">
        <v>34758</v>
      </c>
      <c r="AD167" s="29">
        <v>44101</v>
      </c>
      <c r="AE167" s="29">
        <v>44411</v>
      </c>
      <c r="AF167">
        <v>1</v>
      </c>
      <c r="AG167" t="s">
        <v>157</v>
      </c>
      <c r="AH167">
        <v>1</v>
      </c>
      <c r="AI167">
        <v>27</v>
      </c>
      <c r="AJ167">
        <v>1</v>
      </c>
      <c r="AK167" t="s">
        <v>170</v>
      </c>
      <c r="AL167" t="s">
        <v>78</v>
      </c>
      <c r="AM167">
        <f t="shared" si="10"/>
        <v>3</v>
      </c>
      <c r="AN167">
        <f t="shared" si="11"/>
        <v>9</v>
      </c>
      <c r="AO167">
        <f t="shared" si="12"/>
        <v>3</v>
      </c>
      <c r="AP167">
        <f t="shared" si="13"/>
        <v>8</v>
      </c>
      <c r="AQ167">
        <f t="shared" si="14"/>
        <v>2020</v>
      </c>
    </row>
    <row r="168" spans="1:43" x14ac:dyDescent="0.35">
      <c r="A168">
        <v>1098</v>
      </c>
      <c r="B168">
        <v>44</v>
      </c>
      <c r="C168" t="s">
        <v>144</v>
      </c>
      <c r="D168" t="s">
        <v>145</v>
      </c>
      <c r="E168" t="s">
        <v>168</v>
      </c>
      <c r="F168" t="s">
        <v>36</v>
      </c>
      <c r="G168" t="s">
        <v>42</v>
      </c>
      <c r="H168" t="s">
        <v>82</v>
      </c>
      <c r="I168" t="s">
        <v>42</v>
      </c>
      <c r="J168" t="s">
        <v>168</v>
      </c>
      <c r="K168" t="s">
        <v>41</v>
      </c>
      <c r="L168" t="s">
        <v>147</v>
      </c>
      <c r="M168" t="s">
        <v>49</v>
      </c>
      <c r="N168" t="s">
        <v>160</v>
      </c>
      <c r="O168" t="s">
        <v>41</v>
      </c>
      <c r="P168" t="s">
        <v>148</v>
      </c>
      <c r="Q168">
        <v>14</v>
      </c>
      <c r="R168">
        <v>9</v>
      </c>
      <c r="S168">
        <v>24</v>
      </c>
      <c r="T168">
        <v>3</v>
      </c>
      <c r="U168">
        <v>6</v>
      </c>
      <c r="V168">
        <v>1</v>
      </c>
      <c r="W168">
        <v>91</v>
      </c>
      <c r="X168">
        <v>1376</v>
      </c>
      <c r="Y168">
        <v>2326</v>
      </c>
      <c r="Z168">
        <v>10482</v>
      </c>
      <c r="AA168">
        <v>1</v>
      </c>
      <c r="AB168" s="29">
        <v>44773</v>
      </c>
      <c r="AC168" s="29">
        <v>28728</v>
      </c>
      <c r="AD168" s="29">
        <v>37457</v>
      </c>
      <c r="AE168" s="29">
        <v>44412</v>
      </c>
      <c r="AF168">
        <v>19</v>
      </c>
      <c r="AG168" t="s">
        <v>153</v>
      </c>
      <c r="AH168">
        <v>1</v>
      </c>
      <c r="AI168">
        <v>25</v>
      </c>
      <c r="AJ168">
        <v>1</v>
      </c>
      <c r="AK168" t="s">
        <v>163</v>
      </c>
      <c r="AL168" t="s">
        <v>77</v>
      </c>
      <c r="AM168">
        <f t="shared" si="10"/>
        <v>3</v>
      </c>
      <c r="AN168">
        <f t="shared" si="11"/>
        <v>7</v>
      </c>
      <c r="AO168">
        <f t="shared" si="12"/>
        <v>3</v>
      </c>
      <c r="AP168">
        <f t="shared" si="13"/>
        <v>8</v>
      </c>
      <c r="AQ168">
        <f t="shared" si="14"/>
        <v>2002</v>
      </c>
    </row>
    <row r="169" spans="1:43" x14ac:dyDescent="0.35">
      <c r="A169">
        <v>977</v>
      </c>
      <c r="B169">
        <v>58</v>
      </c>
      <c r="C169" t="s">
        <v>144</v>
      </c>
      <c r="D169" t="s">
        <v>145</v>
      </c>
      <c r="E169" t="s">
        <v>4</v>
      </c>
      <c r="F169" t="s">
        <v>38</v>
      </c>
      <c r="G169" t="s">
        <v>44</v>
      </c>
      <c r="H169" t="s">
        <v>82</v>
      </c>
      <c r="I169" t="s">
        <v>43</v>
      </c>
      <c r="J169" t="s">
        <v>146</v>
      </c>
      <c r="K169" t="s">
        <v>43</v>
      </c>
      <c r="L169" t="s">
        <v>152</v>
      </c>
      <c r="M169" t="s">
        <v>49</v>
      </c>
      <c r="N169" t="s">
        <v>95</v>
      </c>
      <c r="P169" t="s">
        <v>148</v>
      </c>
      <c r="Q169">
        <v>24</v>
      </c>
      <c r="R169">
        <v>4</v>
      </c>
      <c r="S169">
        <v>7</v>
      </c>
      <c r="T169">
        <v>0</v>
      </c>
      <c r="U169">
        <v>0</v>
      </c>
      <c r="V169">
        <v>2</v>
      </c>
      <c r="W169">
        <v>51</v>
      </c>
      <c r="X169">
        <v>289</v>
      </c>
      <c r="Y169">
        <v>26227</v>
      </c>
      <c r="Z169">
        <v>2479</v>
      </c>
      <c r="AA169">
        <v>4</v>
      </c>
      <c r="AB169" s="29">
        <v>44773</v>
      </c>
      <c r="AC169" s="29">
        <v>23887</v>
      </c>
      <c r="AD169" s="29">
        <v>44311</v>
      </c>
      <c r="AE169" s="29">
        <v>44420</v>
      </c>
      <c r="AF169">
        <v>0</v>
      </c>
      <c r="AG169" t="s">
        <v>167</v>
      </c>
      <c r="AH169">
        <v>2</v>
      </c>
      <c r="AI169">
        <v>58</v>
      </c>
      <c r="AJ169">
        <v>2</v>
      </c>
      <c r="AK169" t="s">
        <v>171</v>
      </c>
      <c r="AL169" t="s">
        <v>77</v>
      </c>
      <c r="AM169">
        <f t="shared" si="10"/>
        <v>2</v>
      </c>
      <c r="AN169">
        <f t="shared" si="11"/>
        <v>4</v>
      </c>
      <c r="AO169">
        <f t="shared" si="12"/>
        <v>3</v>
      </c>
      <c r="AP169">
        <f t="shared" si="13"/>
        <v>8</v>
      </c>
      <c r="AQ169">
        <f t="shared" si="14"/>
        <v>2021</v>
      </c>
    </row>
    <row r="170" spans="1:43" x14ac:dyDescent="0.35">
      <c r="A170">
        <v>1052</v>
      </c>
      <c r="B170">
        <v>36</v>
      </c>
      <c r="C170" t="s">
        <v>144</v>
      </c>
      <c r="D170" t="s">
        <v>145</v>
      </c>
      <c r="E170" t="s">
        <v>4</v>
      </c>
      <c r="F170" t="s">
        <v>38</v>
      </c>
      <c r="G170" t="s">
        <v>41</v>
      </c>
      <c r="H170" t="s">
        <v>82</v>
      </c>
      <c r="I170" t="s">
        <v>43</v>
      </c>
      <c r="J170" t="s">
        <v>155</v>
      </c>
      <c r="K170" t="s">
        <v>43</v>
      </c>
      <c r="L170" t="s">
        <v>147</v>
      </c>
      <c r="M170" t="s">
        <v>48</v>
      </c>
      <c r="N170" t="s">
        <v>96</v>
      </c>
      <c r="O170" t="s">
        <v>41</v>
      </c>
      <c r="P170" t="s">
        <v>148</v>
      </c>
      <c r="Q170">
        <v>14</v>
      </c>
      <c r="R170">
        <v>7</v>
      </c>
      <c r="S170">
        <v>9</v>
      </c>
      <c r="T170">
        <v>0</v>
      </c>
      <c r="U170">
        <v>0</v>
      </c>
      <c r="V170">
        <v>15</v>
      </c>
      <c r="W170">
        <v>81</v>
      </c>
      <c r="X170">
        <v>660</v>
      </c>
      <c r="Y170">
        <v>7858</v>
      </c>
      <c r="Z170">
        <v>4834</v>
      </c>
      <c r="AA170">
        <v>3</v>
      </c>
      <c r="AB170" s="29">
        <v>44773</v>
      </c>
      <c r="AC170" s="29">
        <v>31753</v>
      </c>
      <c r="AD170" s="29">
        <v>44209</v>
      </c>
      <c r="AE170" s="29">
        <v>44425</v>
      </c>
      <c r="AF170">
        <v>1</v>
      </c>
      <c r="AG170" t="s">
        <v>149</v>
      </c>
      <c r="AH170">
        <v>1</v>
      </c>
      <c r="AI170">
        <v>35</v>
      </c>
      <c r="AJ170">
        <v>2</v>
      </c>
      <c r="AK170" t="s">
        <v>170</v>
      </c>
      <c r="AL170" t="s">
        <v>77</v>
      </c>
      <c r="AM170">
        <f t="shared" si="10"/>
        <v>1</v>
      </c>
      <c r="AN170">
        <f t="shared" si="11"/>
        <v>1</v>
      </c>
      <c r="AO170">
        <f t="shared" si="12"/>
        <v>3</v>
      </c>
      <c r="AP170">
        <f t="shared" si="13"/>
        <v>8</v>
      </c>
      <c r="AQ170">
        <f t="shared" si="14"/>
        <v>2021</v>
      </c>
    </row>
    <row r="171" spans="1:43" x14ac:dyDescent="0.35">
      <c r="A171">
        <v>1427</v>
      </c>
      <c r="B171">
        <v>31</v>
      </c>
      <c r="C171" t="s">
        <v>144</v>
      </c>
      <c r="D171" t="s">
        <v>151</v>
      </c>
      <c r="E171" t="s">
        <v>158</v>
      </c>
      <c r="F171" t="s">
        <v>37</v>
      </c>
      <c r="G171" t="s">
        <v>42</v>
      </c>
      <c r="H171" t="s">
        <v>81</v>
      </c>
      <c r="I171" t="s">
        <v>41</v>
      </c>
      <c r="J171" t="s">
        <v>166</v>
      </c>
      <c r="K171" t="s">
        <v>43</v>
      </c>
      <c r="L171" t="s">
        <v>48</v>
      </c>
      <c r="M171" t="s">
        <v>49</v>
      </c>
      <c r="N171" t="s">
        <v>95</v>
      </c>
      <c r="P171" t="s">
        <v>148</v>
      </c>
      <c r="Q171">
        <v>12</v>
      </c>
      <c r="R171">
        <v>1</v>
      </c>
      <c r="S171">
        <v>1</v>
      </c>
      <c r="T171">
        <v>0</v>
      </c>
      <c r="U171">
        <v>0</v>
      </c>
      <c r="V171">
        <v>1</v>
      </c>
      <c r="W171">
        <v>50</v>
      </c>
      <c r="X171">
        <v>667</v>
      </c>
      <c r="Y171">
        <v>16154</v>
      </c>
      <c r="Z171">
        <v>1359</v>
      </c>
      <c r="AA171">
        <v>3</v>
      </c>
      <c r="AB171" s="29">
        <v>44773</v>
      </c>
      <c r="AC171" s="29">
        <v>33808</v>
      </c>
      <c r="AD171" s="29">
        <v>44289</v>
      </c>
      <c r="AE171" s="29">
        <v>44435</v>
      </c>
      <c r="AF171">
        <v>0</v>
      </c>
      <c r="AG171" t="s">
        <v>149</v>
      </c>
      <c r="AH171">
        <v>1</v>
      </c>
      <c r="AI171">
        <v>31</v>
      </c>
      <c r="AJ171">
        <v>1</v>
      </c>
      <c r="AK171" t="s">
        <v>171</v>
      </c>
      <c r="AL171" t="s">
        <v>78</v>
      </c>
      <c r="AM171">
        <f t="shared" si="10"/>
        <v>2</v>
      </c>
      <c r="AN171">
        <f t="shared" si="11"/>
        <v>4</v>
      </c>
      <c r="AO171">
        <f t="shared" si="12"/>
        <v>3</v>
      </c>
      <c r="AP171">
        <f t="shared" si="13"/>
        <v>8</v>
      </c>
      <c r="AQ171">
        <f t="shared" si="14"/>
        <v>2021</v>
      </c>
    </row>
    <row r="172" spans="1:43" x14ac:dyDescent="0.35">
      <c r="A172">
        <v>723</v>
      </c>
      <c r="B172">
        <v>50</v>
      </c>
      <c r="C172" t="s">
        <v>144</v>
      </c>
      <c r="D172" t="s">
        <v>151</v>
      </c>
      <c r="E172" t="s">
        <v>158</v>
      </c>
      <c r="F172" t="s">
        <v>36</v>
      </c>
      <c r="G172" t="s">
        <v>42</v>
      </c>
      <c r="H172" t="s">
        <v>82</v>
      </c>
      <c r="I172" t="s">
        <v>43</v>
      </c>
      <c r="J172" t="s">
        <v>159</v>
      </c>
      <c r="K172" t="s">
        <v>43</v>
      </c>
      <c r="L172" t="s">
        <v>48</v>
      </c>
      <c r="M172" t="s">
        <v>49</v>
      </c>
      <c r="N172" t="s">
        <v>160</v>
      </c>
      <c r="O172" t="s">
        <v>41</v>
      </c>
      <c r="P172" t="s">
        <v>144</v>
      </c>
      <c r="Q172">
        <v>14</v>
      </c>
      <c r="R172">
        <v>3</v>
      </c>
      <c r="S172">
        <v>18</v>
      </c>
      <c r="T172">
        <v>1</v>
      </c>
      <c r="U172">
        <v>3</v>
      </c>
      <c r="V172">
        <v>8</v>
      </c>
      <c r="W172">
        <v>50</v>
      </c>
      <c r="X172">
        <v>562</v>
      </c>
      <c r="Y172">
        <v>23452</v>
      </c>
      <c r="Z172">
        <v>6796</v>
      </c>
      <c r="AA172">
        <v>4</v>
      </c>
      <c r="AB172" s="29">
        <v>44773</v>
      </c>
      <c r="AC172" s="29">
        <v>26806</v>
      </c>
      <c r="AD172" s="29">
        <v>43338</v>
      </c>
      <c r="AE172" s="29">
        <v>44436</v>
      </c>
      <c r="AF172">
        <v>3</v>
      </c>
      <c r="AG172" t="s">
        <v>167</v>
      </c>
      <c r="AH172">
        <v>1</v>
      </c>
      <c r="AI172">
        <v>47</v>
      </c>
      <c r="AJ172">
        <v>1</v>
      </c>
      <c r="AK172" t="s">
        <v>170</v>
      </c>
      <c r="AL172" t="s">
        <v>78</v>
      </c>
      <c r="AM172">
        <f t="shared" si="10"/>
        <v>3</v>
      </c>
      <c r="AN172">
        <f t="shared" si="11"/>
        <v>8</v>
      </c>
      <c r="AO172">
        <f t="shared" si="12"/>
        <v>3</v>
      </c>
      <c r="AP172">
        <f t="shared" si="13"/>
        <v>8</v>
      </c>
      <c r="AQ172">
        <f t="shared" si="14"/>
        <v>2018</v>
      </c>
    </row>
    <row r="173" spans="1:43" x14ac:dyDescent="0.35">
      <c r="A173">
        <v>701</v>
      </c>
      <c r="B173">
        <v>20</v>
      </c>
      <c r="C173" t="s">
        <v>144</v>
      </c>
      <c r="D173" t="s">
        <v>145</v>
      </c>
      <c r="E173" t="s">
        <v>4</v>
      </c>
      <c r="F173" t="s">
        <v>35</v>
      </c>
      <c r="G173" t="s">
        <v>44</v>
      </c>
      <c r="H173" t="s">
        <v>82</v>
      </c>
      <c r="I173" t="s">
        <v>43</v>
      </c>
      <c r="J173" t="s">
        <v>146</v>
      </c>
      <c r="K173" t="s">
        <v>43</v>
      </c>
      <c r="L173" t="s">
        <v>147</v>
      </c>
      <c r="M173" t="s">
        <v>49</v>
      </c>
      <c r="N173" t="s">
        <v>95</v>
      </c>
      <c r="P173" t="s">
        <v>144</v>
      </c>
      <c r="Q173">
        <v>11</v>
      </c>
      <c r="R173">
        <v>1</v>
      </c>
      <c r="S173">
        <v>1</v>
      </c>
      <c r="T173">
        <v>0</v>
      </c>
      <c r="U173">
        <v>0</v>
      </c>
      <c r="V173">
        <v>10</v>
      </c>
      <c r="W173">
        <v>32</v>
      </c>
      <c r="X173">
        <v>1362</v>
      </c>
      <c r="Y173">
        <v>26999</v>
      </c>
      <c r="Z173">
        <v>1009</v>
      </c>
      <c r="AA173">
        <v>5</v>
      </c>
      <c r="AB173" s="29">
        <v>44773</v>
      </c>
      <c r="AC173" s="29">
        <v>37694</v>
      </c>
      <c r="AD173" s="29">
        <v>44319</v>
      </c>
      <c r="AE173" s="29">
        <v>44442</v>
      </c>
      <c r="AF173">
        <v>0</v>
      </c>
      <c r="AG173" t="s">
        <v>157</v>
      </c>
      <c r="AH173">
        <v>2</v>
      </c>
      <c r="AI173">
        <v>20</v>
      </c>
      <c r="AJ173">
        <v>1</v>
      </c>
      <c r="AK173" t="s">
        <v>171</v>
      </c>
      <c r="AL173" t="s">
        <v>78</v>
      </c>
      <c r="AM173">
        <f t="shared" si="10"/>
        <v>2</v>
      </c>
      <c r="AN173">
        <f t="shared" si="11"/>
        <v>5</v>
      </c>
      <c r="AO173">
        <f t="shared" si="12"/>
        <v>3</v>
      </c>
      <c r="AP173">
        <f t="shared" si="13"/>
        <v>9</v>
      </c>
      <c r="AQ173">
        <f t="shared" si="14"/>
        <v>2021</v>
      </c>
    </row>
    <row r="174" spans="1:43" x14ac:dyDescent="0.35">
      <c r="A174">
        <v>923</v>
      </c>
      <c r="B174">
        <v>21</v>
      </c>
      <c r="C174" t="s">
        <v>144</v>
      </c>
      <c r="D174" t="s">
        <v>145</v>
      </c>
      <c r="E174" t="s">
        <v>4</v>
      </c>
      <c r="F174" t="s">
        <v>35</v>
      </c>
      <c r="G174" t="s">
        <v>44</v>
      </c>
      <c r="H174" t="s">
        <v>81</v>
      </c>
      <c r="I174" t="s">
        <v>43</v>
      </c>
      <c r="J174" t="s">
        <v>146</v>
      </c>
      <c r="K174" t="s">
        <v>44</v>
      </c>
      <c r="L174" t="s">
        <v>147</v>
      </c>
      <c r="M174" t="s">
        <v>48</v>
      </c>
      <c r="N174" t="s">
        <v>95</v>
      </c>
      <c r="P174" t="s">
        <v>148</v>
      </c>
      <c r="Q174">
        <v>19</v>
      </c>
      <c r="R174">
        <v>1</v>
      </c>
      <c r="S174">
        <v>1</v>
      </c>
      <c r="T174">
        <v>0</v>
      </c>
      <c r="U174">
        <v>0</v>
      </c>
      <c r="V174">
        <v>18</v>
      </c>
      <c r="W174">
        <v>65</v>
      </c>
      <c r="X174">
        <v>1427</v>
      </c>
      <c r="Y174">
        <v>8870</v>
      </c>
      <c r="Z174">
        <v>2693</v>
      </c>
      <c r="AA174">
        <v>3</v>
      </c>
      <c r="AB174" s="29">
        <v>44773</v>
      </c>
      <c r="AC174" s="29">
        <v>37400</v>
      </c>
      <c r="AD174" s="29">
        <v>44339</v>
      </c>
      <c r="AE174" s="29">
        <v>44449</v>
      </c>
      <c r="AF174">
        <v>0</v>
      </c>
      <c r="AG174" t="s">
        <v>157</v>
      </c>
      <c r="AH174">
        <v>1</v>
      </c>
      <c r="AI174">
        <v>21</v>
      </c>
      <c r="AJ174">
        <v>2</v>
      </c>
      <c r="AK174" t="s">
        <v>171</v>
      </c>
      <c r="AL174" t="s">
        <v>77</v>
      </c>
      <c r="AM174">
        <f t="shared" si="10"/>
        <v>2</v>
      </c>
      <c r="AN174">
        <f t="shared" si="11"/>
        <v>5</v>
      </c>
      <c r="AO174">
        <f t="shared" si="12"/>
        <v>3</v>
      </c>
      <c r="AP174">
        <f t="shared" si="13"/>
        <v>9</v>
      </c>
      <c r="AQ174">
        <f t="shared" si="14"/>
        <v>2021</v>
      </c>
    </row>
    <row r="175" spans="1:43" x14ac:dyDescent="0.35">
      <c r="A175">
        <v>1458</v>
      </c>
      <c r="B175">
        <v>39</v>
      </c>
      <c r="C175" t="s">
        <v>144</v>
      </c>
      <c r="D175" t="s">
        <v>164</v>
      </c>
      <c r="E175" t="s">
        <v>4</v>
      </c>
      <c r="F175" t="s">
        <v>38</v>
      </c>
      <c r="G175" t="s">
        <v>41</v>
      </c>
      <c r="H175" t="s">
        <v>81</v>
      </c>
      <c r="I175" t="s">
        <v>42</v>
      </c>
      <c r="J175" t="s">
        <v>155</v>
      </c>
      <c r="K175" t="s">
        <v>41</v>
      </c>
      <c r="L175" t="s">
        <v>152</v>
      </c>
      <c r="M175" t="s">
        <v>50</v>
      </c>
      <c r="N175" t="s">
        <v>95</v>
      </c>
      <c r="P175" t="s">
        <v>144</v>
      </c>
      <c r="Q175">
        <v>23</v>
      </c>
      <c r="R175">
        <v>2</v>
      </c>
      <c r="S175">
        <v>11</v>
      </c>
      <c r="T175">
        <v>0</v>
      </c>
      <c r="U175">
        <v>0</v>
      </c>
      <c r="V175">
        <v>2</v>
      </c>
      <c r="W175">
        <v>54</v>
      </c>
      <c r="X175">
        <v>592</v>
      </c>
      <c r="Y175">
        <v>17181</v>
      </c>
      <c r="Z175">
        <v>3646</v>
      </c>
      <c r="AA175">
        <v>2</v>
      </c>
      <c r="AB175" s="29">
        <v>44773</v>
      </c>
      <c r="AC175" s="29">
        <v>30691</v>
      </c>
      <c r="AD175" s="29">
        <v>44118</v>
      </c>
      <c r="AE175" s="29">
        <v>44451</v>
      </c>
      <c r="AF175">
        <v>1</v>
      </c>
      <c r="AG175" t="s">
        <v>149</v>
      </c>
      <c r="AH175">
        <v>1</v>
      </c>
      <c r="AI175">
        <v>38</v>
      </c>
      <c r="AJ175">
        <v>1</v>
      </c>
      <c r="AK175" t="s">
        <v>170</v>
      </c>
      <c r="AL175" t="s">
        <v>78</v>
      </c>
      <c r="AM175">
        <f t="shared" si="10"/>
        <v>4</v>
      </c>
      <c r="AN175">
        <f t="shared" si="11"/>
        <v>10</v>
      </c>
      <c r="AO175">
        <f t="shared" si="12"/>
        <v>3</v>
      </c>
      <c r="AP175">
        <f t="shared" si="13"/>
        <v>9</v>
      </c>
      <c r="AQ175">
        <f t="shared" si="14"/>
        <v>2020</v>
      </c>
    </row>
    <row r="176" spans="1:43" x14ac:dyDescent="0.35">
      <c r="A176">
        <v>1494</v>
      </c>
      <c r="B176">
        <v>24</v>
      </c>
      <c r="C176" t="s">
        <v>144</v>
      </c>
      <c r="D176" t="s">
        <v>151</v>
      </c>
      <c r="E176" t="s">
        <v>4</v>
      </c>
      <c r="F176" t="s">
        <v>38</v>
      </c>
      <c r="G176" t="s">
        <v>42</v>
      </c>
      <c r="H176" t="s">
        <v>82</v>
      </c>
      <c r="I176" t="s">
        <v>43</v>
      </c>
      <c r="J176" t="s">
        <v>155</v>
      </c>
      <c r="K176" t="s">
        <v>41</v>
      </c>
      <c r="L176" t="s">
        <v>41</v>
      </c>
      <c r="M176" t="s">
        <v>48</v>
      </c>
      <c r="N176" t="s">
        <v>95</v>
      </c>
      <c r="P176" t="s">
        <v>144</v>
      </c>
      <c r="Q176">
        <v>11</v>
      </c>
      <c r="R176">
        <v>2</v>
      </c>
      <c r="S176">
        <v>4</v>
      </c>
      <c r="T176">
        <v>0</v>
      </c>
      <c r="U176">
        <v>0</v>
      </c>
      <c r="V176">
        <v>9</v>
      </c>
      <c r="W176">
        <v>89</v>
      </c>
      <c r="X176">
        <v>381</v>
      </c>
      <c r="Y176">
        <v>16998</v>
      </c>
      <c r="Z176">
        <v>3172</v>
      </c>
      <c r="AA176">
        <v>2</v>
      </c>
      <c r="AB176" s="29">
        <v>44773</v>
      </c>
      <c r="AC176" s="29">
        <v>36104</v>
      </c>
      <c r="AD176" s="29">
        <v>44303</v>
      </c>
      <c r="AE176" s="29">
        <v>44458</v>
      </c>
      <c r="AF176">
        <v>0</v>
      </c>
      <c r="AG176" t="s">
        <v>157</v>
      </c>
      <c r="AH176">
        <v>1</v>
      </c>
      <c r="AI176">
        <v>24</v>
      </c>
      <c r="AJ176">
        <v>1</v>
      </c>
      <c r="AK176" t="s">
        <v>171</v>
      </c>
      <c r="AL176" t="s">
        <v>78</v>
      </c>
      <c r="AM176">
        <f t="shared" si="10"/>
        <v>2</v>
      </c>
      <c r="AN176">
        <f t="shared" si="11"/>
        <v>4</v>
      </c>
      <c r="AO176">
        <f t="shared" si="12"/>
        <v>3</v>
      </c>
      <c r="AP176">
        <f t="shared" si="13"/>
        <v>9</v>
      </c>
      <c r="AQ176">
        <f t="shared" si="14"/>
        <v>2021</v>
      </c>
    </row>
    <row r="177" spans="1:43" x14ac:dyDescent="0.35">
      <c r="A177">
        <v>42</v>
      </c>
      <c r="B177">
        <v>39</v>
      </c>
      <c r="C177" t="s">
        <v>144</v>
      </c>
      <c r="D177" t="s">
        <v>145</v>
      </c>
      <c r="E177" t="s">
        <v>158</v>
      </c>
      <c r="F177" t="s">
        <v>38</v>
      </c>
      <c r="G177" t="s">
        <v>44</v>
      </c>
      <c r="H177" t="s">
        <v>82</v>
      </c>
      <c r="I177" t="s">
        <v>43</v>
      </c>
      <c r="J177" t="s">
        <v>166</v>
      </c>
      <c r="K177" t="s">
        <v>44</v>
      </c>
      <c r="L177" t="s">
        <v>147</v>
      </c>
      <c r="M177" t="s">
        <v>50</v>
      </c>
      <c r="N177" t="s">
        <v>160</v>
      </c>
      <c r="O177" t="s">
        <v>41</v>
      </c>
      <c r="P177" t="s">
        <v>148</v>
      </c>
      <c r="Q177">
        <v>14</v>
      </c>
      <c r="R177">
        <v>3</v>
      </c>
      <c r="S177">
        <v>19</v>
      </c>
      <c r="T177">
        <v>0</v>
      </c>
      <c r="U177">
        <v>0</v>
      </c>
      <c r="V177">
        <v>5</v>
      </c>
      <c r="W177">
        <v>56</v>
      </c>
      <c r="X177">
        <v>895</v>
      </c>
      <c r="Y177">
        <v>3335</v>
      </c>
      <c r="Z177">
        <v>2086</v>
      </c>
      <c r="AA177">
        <v>6</v>
      </c>
      <c r="AB177" s="29">
        <v>44773</v>
      </c>
      <c r="AC177" s="29">
        <v>30862</v>
      </c>
      <c r="AD177" s="29">
        <v>44123</v>
      </c>
      <c r="AE177" s="29">
        <v>44465</v>
      </c>
      <c r="AF177">
        <v>1</v>
      </c>
      <c r="AG177" t="s">
        <v>149</v>
      </c>
      <c r="AH177">
        <v>1</v>
      </c>
      <c r="AI177">
        <v>38</v>
      </c>
      <c r="AJ177">
        <v>2</v>
      </c>
      <c r="AK177" t="s">
        <v>170</v>
      </c>
      <c r="AL177" t="s">
        <v>77</v>
      </c>
      <c r="AM177">
        <f t="shared" si="10"/>
        <v>4</v>
      </c>
      <c r="AN177">
        <f t="shared" si="11"/>
        <v>10</v>
      </c>
      <c r="AO177">
        <f t="shared" si="12"/>
        <v>3</v>
      </c>
      <c r="AP177">
        <f t="shared" si="13"/>
        <v>9</v>
      </c>
      <c r="AQ177">
        <f t="shared" si="14"/>
        <v>2020</v>
      </c>
    </row>
    <row r="178" spans="1:43" x14ac:dyDescent="0.35">
      <c r="A178">
        <v>1716</v>
      </c>
      <c r="B178">
        <v>47</v>
      </c>
      <c r="C178" t="s">
        <v>144</v>
      </c>
      <c r="D178" t="s">
        <v>151</v>
      </c>
      <c r="E178" t="s">
        <v>158</v>
      </c>
      <c r="F178" t="s">
        <v>38</v>
      </c>
      <c r="G178" t="s">
        <v>43</v>
      </c>
      <c r="H178" t="s">
        <v>82</v>
      </c>
      <c r="I178" t="s">
        <v>41</v>
      </c>
      <c r="J178" t="s">
        <v>159</v>
      </c>
      <c r="K178" t="s">
        <v>43</v>
      </c>
      <c r="L178" t="s">
        <v>147</v>
      </c>
      <c r="M178" t="s">
        <v>47</v>
      </c>
      <c r="N178" t="s">
        <v>160</v>
      </c>
      <c r="P178" t="s">
        <v>148</v>
      </c>
      <c r="Q178">
        <v>11</v>
      </c>
      <c r="R178">
        <v>7</v>
      </c>
      <c r="S178">
        <v>25</v>
      </c>
      <c r="T178">
        <v>14</v>
      </c>
      <c r="U178">
        <v>10</v>
      </c>
      <c r="V178">
        <v>9</v>
      </c>
      <c r="W178">
        <v>82</v>
      </c>
      <c r="X178">
        <v>1093</v>
      </c>
      <c r="Y178">
        <v>24164</v>
      </c>
      <c r="Z178">
        <v>12936</v>
      </c>
      <c r="AA178">
        <v>3</v>
      </c>
      <c r="AB178" s="29">
        <v>44773</v>
      </c>
      <c r="AC178" s="29">
        <v>27766</v>
      </c>
      <c r="AD178" s="29">
        <v>36431</v>
      </c>
      <c r="AE178" s="29">
        <v>44467</v>
      </c>
      <c r="AF178">
        <v>22</v>
      </c>
      <c r="AG178" t="s">
        <v>153</v>
      </c>
      <c r="AH178">
        <v>2</v>
      </c>
      <c r="AI178">
        <v>25</v>
      </c>
      <c r="AJ178">
        <v>1</v>
      </c>
      <c r="AK178" t="s">
        <v>163</v>
      </c>
      <c r="AL178" t="s">
        <v>77</v>
      </c>
      <c r="AM178">
        <f t="shared" si="10"/>
        <v>3</v>
      </c>
      <c r="AN178">
        <f t="shared" si="11"/>
        <v>9</v>
      </c>
      <c r="AO178">
        <f t="shared" si="12"/>
        <v>3</v>
      </c>
      <c r="AP178">
        <f t="shared" si="13"/>
        <v>9</v>
      </c>
      <c r="AQ178">
        <f t="shared" si="14"/>
        <v>1999</v>
      </c>
    </row>
    <row r="179" spans="1:43" x14ac:dyDescent="0.35">
      <c r="A179">
        <v>2023</v>
      </c>
      <c r="B179">
        <v>23</v>
      </c>
      <c r="C179" t="s">
        <v>144</v>
      </c>
      <c r="D179" t="s">
        <v>151</v>
      </c>
      <c r="E179" t="s">
        <v>158</v>
      </c>
      <c r="F179" t="s">
        <v>38</v>
      </c>
      <c r="G179" t="s">
        <v>44</v>
      </c>
      <c r="H179" t="s">
        <v>82</v>
      </c>
      <c r="I179" t="s">
        <v>43</v>
      </c>
      <c r="J179" t="s">
        <v>166</v>
      </c>
      <c r="K179" t="s">
        <v>41</v>
      </c>
      <c r="L179" t="s">
        <v>48</v>
      </c>
      <c r="M179" t="s">
        <v>48</v>
      </c>
      <c r="N179" t="s">
        <v>160</v>
      </c>
      <c r="O179" t="s">
        <v>41</v>
      </c>
      <c r="P179" t="s">
        <v>148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9</v>
      </c>
      <c r="W179">
        <v>33</v>
      </c>
      <c r="X179">
        <v>638</v>
      </c>
      <c r="Y179">
        <v>26956</v>
      </c>
      <c r="Z179">
        <v>1790</v>
      </c>
      <c r="AA179">
        <v>3</v>
      </c>
      <c r="AB179" s="29">
        <v>44773</v>
      </c>
      <c r="AC179" s="29">
        <v>36674</v>
      </c>
      <c r="AD179" s="29">
        <v>44121</v>
      </c>
      <c r="AE179" s="29">
        <v>44469</v>
      </c>
      <c r="AF179">
        <v>1</v>
      </c>
      <c r="AG179" t="s">
        <v>157</v>
      </c>
      <c r="AH179">
        <v>2</v>
      </c>
      <c r="AI179">
        <v>22</v>
      </c>
      <c r="AJ179">
        <v>1</v>
      </c>
      <c r="AK179" t="s">
        <v>170</v>
      </c>
      <c r="AL179" t="s">
        <v>78</v>
      </c>
      <c r="AM179">
        <f t="shared" si="10"/>
        <v>4</v>
      </c>
      <c r="AN179">
        <f t="shared" si="11"/>
        <v>10</v>
      </c>
      <c r="AO179">
        <f t="shared" si="12"/>
        <v>3</v>
      </c>
      <c r="AP179">
        <f t="shared" si="13"/>
        <v>9</v>
      </c>
      <c r="AQ179">
        <f t="shared" si="14"/>
        <v>2020</v>
      </c>
    </row>
    <row r="180" spans="1:43" x14ac:dyDescent="0.35">
      <c r="A180">
        <v>986</v>
      </c>
      <c r="B180">
        <v>40</v>
      </c>
      <c r="C180" t="s">
        <v>144</v>
      </c>
      <c r="D180" t="s">
        <v>164</v>
      </c>
      <c r="E180" t="s">
        <v>158</v>
      </c>
      <c r="F180" t="s">
        <v>38</v>
      </c>
      <c r="G180" t="s">
        <v>42</v>
      </c>
      <c r="H180" t="s">
        <v>81</v>
      </c>
      <c r="I180" t="s">
        <v>44</v>
      </c>
      <c r="J180" t="s">
        <v>159</v>
      </c>
      <c r="K180" t="s">
        <v>42</v>
      </c>
      <c r="L180" t="s">
        <v>48</v>
      </c>
      <c r="M180" t="s">
        <v>48</v>
      </c>
      <c r="N180" t="s">
        <v>95</v>
      </c>
      <c r="P180" t="s">
        <v>144</v>
      </c>
      <c r="Q180">
        <v>16</v>
      </c>
      <c r="R180">
        <v>4</v>
      </c>
      <c r="S180">
        <v>22</v>
      </c>
      <c r="T180">
        <v>0</v>
      </c>
      <c r="U180">
        <v>0</v>
      </c>
      <c r="V180">
        <v>24</v>
      </c>
      <c r="W180">
        <v>100</v>
      </c>
      <c r="X180">
        <v>1479</v>
      </c>
      <c r="Y180">
        <v>17071</v>
      </c>
      <c r="Z180">
        <v>13194</v>
      </c>
      <c r="AA180">
        <v>2</v>
      </c>
      <c r="AB180" s="29">
        <v>44773</v>
      </c>
      <c r="AC180" s="29">
        <v>30380</v>
      </c>
      <c r="AD180" s="29">
        <v>44246</v>
      </c>
      <c r="AE180" s="29">
        <v>44469</v>
      </c>
      <c r="AF180">
        <v>1</v>
      </c>
      <c r="AG180" t="s">
        <v>153</v>
      </c>
      <c r="AH180">
        <v>1</v>
      </c>
      <c r="AI180">
        <v>39</v>
      </c>
      <c r="AJ180">
        <v>2</v>
      </c>
      <c r="AK180" t="s">
        <v>170</v>
      </c>
      <c r="AL180" t="s">
        <v>78</v>
      </c>
      <c r="AM180">
        <f t="shared" si="10"/>
        <v>1</v>
      </c>
      <c r="AN180">
        <f t="shared" si="11"/>
        <v>2</v>
      </c>
      <c r="AO180">
        <f t="shared" si="12"/>
        <v>3</v>
      </c>
      <c r="AP180">
        <f t="shared" si="13"/>
        <v>9</v>
      </c>
      <c r="AQ180">
        <f t="shared" si="14"/>
        <v>2021</v>
      </c>
    </row>
    <row r="181" spans="1:43" x14ac:dyDescent="0.35">
      <c r="A181">
        <v>1761</v>
      </c>
      <c r="B181">
        <v>31</v>
      </c>
      <c r="C181" t="s">
        <v>144</v>
      </c>
      <c r="D181" t="s">
        <v>145</v>
      </c>
      <c r="E181" t="s">
        <v>158</v>
      </c>
      <c r="F181" t="s">
        <v>37</v>
      </c>
      <c r="G181" t="s">
        <v>41</v>
      </c>
      <c r="H181" t="s">
        <v>82</v>
      </c>
      <c r="I181" t="s">
        <v>43</v>
      </c>
      <c r="J181" t="s">
        <v>159</v>
      </c>
      <c r="K181" t="s">
        <v>43</v>
      </c>
      <c r="L181" t="s">
        <v>41</v>
      </c>
      <c r="M181" t="s">
        <v>49</v>
      </c>
      <c r="N181" t="s">
        <v>160</v>
      </c>
      <c r="O181" t="s">
        <v>43</v>
      </c>
      <c r="P181" t="s">
        <v>148</v>
      </c>
      <c r="Q181">
        <v>13</v>
      </c>
      <c r="R181">
        <v>2</v>
      </c>
      <c r="S181">
        <v>10</v>
      </c>
      <c r="T181">
        <v>0</v>
      </c>
      <c r="U181">
        <v>0</v>
      </c>
      <c r="V181">
        <v>16</v>
      </c>
      <c r="W181">
        <v>70</v>
      </c>
      <c r="X181">
        <v>1079</v>
      </c>
      <c r="Y181">
        <v>19002</v>
      </c>
      <c r="Z181">
        <v>8161</v>
      </c>
      <c r="AA181">
        <v>2</v>
      </c>
      <c r="AB181" s="29">
        <v>44773</v>
      </c>
      <c r="AC181" s="29">
        <v>33615</v>
      </c>
      <c r="AD181" s="29">
        <v>44119</v>
      </c>
      <c r="AE181" s="29">
        <v>44474</v>
      </c>
      <c r="AF181">
        <v>1</v>
      </c>
      <c r="AG181" t="s">
        <v>149</v>
      </c>
      <c r="AH181">
        <v>2</v>
      </c>
      <c r="AI181">
        <v>30</v>
      </c>
      <c r="AJ181">
        <v>1</v>
      </c>
      <c r="AK181" t="s">
        <v>170</v>
      </c>
      <c r="AL181" t="s">
        <v>77</v>
      </c>
      <c r="AM181">
        <f t="shared" si="10"/>
        <v>4</v>
      </c>
      <c r="AN181">
        <f t="shared" si="11"/>
        <v>10</v>
      </c>
      <c r="AO181">
        <f t="shared" si="12"/>
        <v>4</v>
      </c>
      <c r="AP181">
        <f t="shared" si="13"/>
        <v>10</v>
      </c>
      <c r="AQ181">
        <f t="shared" si="14"/>
        <v>2020</v>
      </c>
    </row>
    <row r="182" spans="1:43" x14ac:dyDescent="0.35">
      <c r="A182">
        <v>1360</v>
      </c>
      <c r="B182">
        <v>58</v>
      </c>
      <c r="C182" t="s">
        <v>144</v>
      </c>
      <c r="D182" t="s">
        <v>145</v>
      </c>
      <c r="E182" t="s">
        <v>4</v>
      </c>
      <c r="F182" t="s">
        <v>37</v>
      </c>
      <c r="G182" t="s">
        <v>43</v>
      </c>
      <c r="H182" t="s">
        <v>81</v>
      </c>
      <c r="I182" t="s">
        <v>42</v>
      </c>
      <c r="J182" t="s">
        <v>165</v>
      </c>
      <c r="K182" t="s">
        <v>41</v>
      </c>
      <c r="L182" t="s">
        <v>147</v>
      </c>
      <c r="M182" t="s">
        <v>48</v>
      </c>
      <c r="N182" t="s">
        <v>160</v>
      </c>
      <c r="P182" t="s">
        <v>144</v>
      </c>
      <c r="Q182">
        <v>14</v>
      </c>
      <c r="R182">
        <v>7</v>
      </c>
      <c r="S182">
        <v>31</v>
      </c>
      <c r="T182">
        <v>5</v>
      </c>
      <c r="U182">
        <v>9</v>
      </c>
      <c r="V182">
        <v>7</v>
      </c>
      <c r="W182">
        <v>53</v>
      </c>
      <c r="X182">
        <v>601</v>
      </c>
      <c r="Y182">
        <v>12023</v>
      </c>
      <c r="Z182">
        <v>10008</v>
      </c>
      <c r="AA182">
        <v>0</v>
      </c>
      <c r="AB182" s="29">
        <v>44773</v>
      </c>
      <c r="AC182" s="29">
        <v>23811</v>
      </c>
      <c r="AD182" s="29">
        <v>41030</v>
      </c>
      <c r="AE182" s="29">
        <v>44477</v>
      </c>
      <c r="AF182">
        <v>9</v>
      </c>
      <c r="AG182" t="s">
        <v>167</v>
      </c>
      <c r="AH182">
        <v>1</v>
      </c>
      <c r="AI182">
        <v>49</v>
      </c>
      <c r="AJ182">
        <v>1</v>
      </c>
      <c r="AK182" t="s">
        <v>150</v>
      </c>
      <c r="AL182" t="s">
        <v>77</v>
      </c>
      <c r="AM182">
        <f t="shared" si="10"/>
        <v>2</v>
      </c>
      <c r="AN182">
        <f t="shared" si="11"/>
        <v>5</v>
      </c>
      <c r="AO182">
        <f t="shared" si="12"/>
        <v>4</v>
      </c>
      <c r="AP182">
        <f t="shared" si="13"/>
        <v>10</v>
      </c>
      <c r="AQ182">
        <f t="shared" si="14"/>
        <v>2012</v>
      </c>
    </row>
    <row r="183" spans="1:43" x14ac:dyDescent="0.35">
      <c r="A183">
        <v>684</v>
      </c>
      <c r="B183">
        <v>45</v>
      </c>
      <c r="C183" t="s">
        <v>144</v>
      </c>
      <c r="D183" t="s">
        <v>151</v>
      </c>
      <c r="E183" t="s">
        <v>158</v>
      </c>
      <c r="F183" t="s">
        <v>37</v>
      </c>
      <c r="G183" t="s">
        <v>41</v>
      </c>
      <c r="H183" t="s">
        <v>81</v>
      </c>
      <c r="I183" t="s">
        <v>43</v>
      </c>
      <c r="J183" t="s">
        <v>159</v>
      </c>
      <c r="K183" t="s">
        <v>41</v>
      </c>
      <c r="L183" t="s">
        <v>147</v>
      </c>
      <c r="M183" t="s">
        <v>49</v>
      </c>
      <c r="N183" t="s">
        <v>160</v>
      </c>
      <c r="O183" t="s">
        <v>156</v>
      </c>
      <c r="P183" t="s">
        <v>148</v>
      </c>
      <c r="Q183">
        <v>14</v>
      </c>
      <c r="R183">
        <v>2</v>
      </c>
      <c r="S183">
        <v>5</v>
      </c>
      <c r="T183">
        <v>0</v>
      </c>
      <c r="U183">
        <v>0</v>
      </c>
      <c r="V183">
        <v>26</v>
      </c>
      <c r="W183">
        <v>100</v>
      </c>
      <c r="X183">
        <v>306</v>
      </c>
      <c r="Y183">
        <v>5630</v>
      </c>
      <c r="Z183">
        <v>4286</v>
      </c>
      <c r="AA183">
        <v>4</v>
      </c>
      <c r="AB183" s="29">
        <v>44773</v>
      </c>
      <c r="AC183" s="29">
        <v>28388</v>
      </c>
      <c r="AD183" s="29">
        <v>44435</v>
      </c>
      <c r="AE183" s="29">
        <v>44488</v>
      </c>
      <c r="AF183">
        <v>0</v>
      </c>
      <c r="AG183" t="s">
        <v>153</v>
      </c>
      <c r="AH183">
        <v>1</v>
      </c>
      <c r="AI183">
        <v>45</v>
      </c>
      <c r="AJ183">
        <v>2</v>
      </c>
      <c r="AK183" t="s">
        <v>171</v>
      </c>
      <c r="AL183" t="s">
        <v>77</v>
      </c>
      <c r="AM183">
        <f t="shared" si="10"/>
        <v>3</v>
      </c>
      <c r="AN183">
        <f t="shared" si="11"/>
        <v>8</v>
      </c>
      <c r="AO183">
        <f t="shared" si="12"/>
        <v>4</v>
      </c>
      <c r="AP183">
        <f t="shared" si="13"/>
        <v>10</v>
      </c>
      <c r="AQ183">
        <f t="shared" si="14"/>
        <v>2021</v>
      </c>
    </row>
    <row r="184" spans="1:43" x14ac:dyDescent="0.35">
      <c r="A184">
        <v>1572</v>
      </c>
      <c r="B184">
        <v>53</v>
      </c>
      <c r="C184" t="s">
        <v>144</v>
      </c>
      <c r="D184" t="s">
        <v>145</v>
      </c>
      <c r="E184" t="s">
        <v>4</v>
      </c>
      <c r="F184" t="s">
        <v>34</v>
      </c>
      <c r="G184" t="s">
        <v>43</v>
      </c>
      <c r="H184" t="s">
        <v>81</v>
      </c>
      <c r="I184" t="s">
        <v>42</v>
      </c>
      <c r="J184" t="s">
        <v>165</v>
      </c>
      <c r="K184" t="s">
        <v>44</v>
      </c>
      <c r="L184" t="s">
        <v>147</v>
      </c>
      <c r="M184" t="s">
        <v>49</v>
      </c>
      <c r="N184" t="s">
        <v>160</v>
      </c>
      <c r="O184" t="s">
        <v>41</v>
      </c>
      <c r="P184" t="s">
        <v>148</v>
      </c>
      <c r="Q184">
        <v>16</v>
      </c>
      <c r="R184">
        <v>0</v>
      </c>
      <c r="S184">
        <v>8</v>
      </c>
      <c r="T184">
        <v>1</v>
      </c>
      <c r="U184">
        <v>1</v>
      </c>
      <c r="V184">
        <v>2</v>
      </c>
      <c r="W184">
        <v>78</v>
      </c>
      <c r="X184">
        <v>607</v>
      </c>
      <c r="Y184">
        <v>14618</v>
      </c>
      <c r="Z184">
        <v>10169</v>
      </c>
      <c r="AA184">
        <v>4</v>
      </c>
      <c r="AB184" s="29">
        <v>44773</v>
      </c>
      <c r="AC184" s="29">
        <v>25587</v>
      </c>
      <c r="AD184" s="29">
        <v>44120</v>
      </c>
      <c r="AE184" s="29">
        <v>44493</v>
      </c>
      <c r="AF184">
        <v>1</v>
      </c>
      <c r="AG184" t="s">
        <v>167</v>
      </c>
      <c r="AH184">
        <v>1</v>
      </c>
      <c r="AI184">
        <v>52</v>
      </c>
      <c r="AJ184">
        <v>1</v>
      </c>
      <c r="AK184" t="s">
        <v>170</v>
      </c>
      <c r="AL184" t="s">
        <v>77</v>
      </c>
      <c r="AM184">
        <f t="shared" si="10"/>
        <v>4</v>
      </c>
      <c r="AN184">
        <f t="shared" si="11"/>
        <v>10</v>
      </c>
      <c r="AO184">
        <f t="shared" si="12"/>
        <v>4</v>
      </c>
      <c r="AP184">
        <f t="shared" si="13"/>
        <v>10</v>
      </c>
      <c r="AQ184">
        <f t="shared" si="14"/>
        <v>2020</v>
      </c>
    </row>
    <row r="185" spans="1:43" x14ac:dyDescent="0.35">
      <c r="A185">
        <v>1273</v>
      </c>
      <c r="B185">
        <v>25</v>
      </c>
      <c r="C185" t="s">
        <v>144</v>
      </c>
      <c r="D185" t="s">
        <v>151</v>
      </c>
      <c r="E185" t="s">
        <v>158</v>
      </c>
      <c r="F185" t="s">
        <v>35</v>
      </c>
      <c r="G185" t="s">
        <v>43</v>
      </c>
      <c r="H185" t="s">
        <v>82</v>
      </c>
      <c r="I185" t="s">
        <v>41</v>
      </c>
      <c r="J185" t="s">
        <v>166</v>
      </c>
      <c r="K185" t="s">
        <v>44</v>
      </c>
      <c r="L185" t="s">
        <v>147</v>
      </c>
      <c r="M185" t="s">
        <v>49</v>
      </c>
      <c r="N185" t="s">
        <v>95</v>
      </c>
      <c r="P185" t="s">
        <v>144</v>
      </c>
      <c r="Q185">
        <v>14</v>
      </c>
      <c r="R185">
        <v>1</v>
      </c>
      <c r="S185">
        <v>1</v>
      </c>
      <c r="T185">
        <v>1</v>
      </c>
      <c r="U185">
        <v>0</v>
      </c>
      <c r="V185">
        <v>24</v>
      </c>
      <c r="W185">
        <v>73</v>
      </c>
      <c r="X185">
        <v>599</v>
      </c>
      <c r="Y185">
        <v>8040</v>
      </c>
      <c r="Z185">
        <v>1118</v>
      </c>
      <c r="AA185">
        <v>4</v>
      </c>
      <c r="AB185" s="29">
        <v>44773</v>
      </c>
      <c r="AC185" s="29">
        <v>35684</v>
      </c>
      <c r="AD185" s="29">
        <v>44257</v>
      </c>
      <c r="AE185" s="29">
        <v>44493</v>
      </c>
      <c r="AF185">
        <v>1</v>
      </c>
      <c r="AG185" t="s">
        <v>157</v>
      </c>
      <c r="AH185">
        <v>1</v>
      </c>
      <c r="AI185">
        <v>24</v>
      </c>
      <c r="AJ185">
        <v>1</v>
      </c>
      <c r="AK185" t="s">
        <v>170</v>
      </c>
      <c r="AL185" t="s">
        <v>78</v>
      </c>
      <c r="AM185">
        <f t="shared" si="10"/>
        <v>1</v>
      </c>
      <c r="AN185">
        <f t="shared" si="11"/>
        <v>3</v>
      </c>
      <c r="AO185">
        <f t="shared" si="12"/>
        <v>4</v>
      </c>
      <c r="AP185">
        <f t="shared" si="13"/>
        <v>10</v>
      </c>
      <c r="AQ185">
        <f t="shared" si="14"/>
        <v>2021</v>
      </c>
    </row>
    <row r="186" spans="1:43" x14ac:dyDescent="0.35">
      <c r="A186">
        <v>587</v>
      </c>
      <c r="B186">
        <v>31</v>
      </c>
      <c r="C186" t="s">
        <v>144</v>
      </c>
      <c r="D186" t="s">
        <v>151</v>
      </c>
      <c r="E186" t="s">
        <v>4</v>
      </c>
      <c r="F186" t="s">
        <v>38</v>
      </c>
      <c r="G186" t="s">
        <v>41</v>
      </c>
      <c r="H186" t="s">
        <v>82</v>
      </c>
      <c r="I186" t="s">
        <v>43</v>
      </c>
      <c r="J186" t="s">
        <v>161</v>
      </c>
      <c r="K186" t="s">
        <v>43</v>
      </c>
      <c r="L186" t="s">
        <v>147</v>
      </c>
      <c r="M186" t="s">
        <v>49</v>
      </c>
      <c r="N186" t="s">
        <v>160</v>
      </c>
      <c r="P186" t="s">
        <v>148</v>
      </c>
      <c r="Q186">
        <v>12</v>
      </c>
      <c r="R186">
        <v>3</v>
      </c>
      <c r="S186">
        <v>12</v>
      </c>
      <c r="T186">
        <v>0</v>
      </c>
      <c r="U186">
        <v>0</v>
      </c>
      <c r="V186">
        <v>20</v>
      </c>
      <c r="W186">
        <v>66</v>
      </c>
      <c r="X186">
        <v>534</v>
      </c>
      <c r="Y186">
        <v>22908</v>
      </c>
      <c r="Z186">
        <v>9824</v>
      </c>
      <c r="AA186">
        <v>2</v>
      </c>
      <c r="AB186" s="29">
        <v>44773</v>
      </c>
      <c r="AC186" s="29">
        <v>33601</v>
      </c>
      <c r="AD186" s="29">
        <v>44424</v>
      </c>
      <c r="AE186" s="29">
        <v>44495</v>
      </c>
      <c r="AF186">
        <v>0</v>
      </c>
      <c r="AG186" t="s">
        <v>149</v>
      </c>
      <c r="AH186">
        <v>2</v>
      </c>
      <c r="AI186">
        <v>31</v>
      </c>
      <c r="AJ186">
        <v>2</v>
      </c>
      <c r="AK186" t="s">
        <v>171</v>
      </c>
      <c r="AL186" t="s">
        <v>78</v>
      </c>
      <c r="AM186">
        <f t="shared" si="10"/>
        <v>3</v>
      </c>
      <c r="AN186">
        <f t="shared" si="11"/>
        <v>8</v>
      </c>
      <c r="AO186">
        <f t="shared" si="12"/>
        <v>4</v>
      </c>
      <c r="AP186">
        <f t="shared" si="13"/>
        <v>10</v>
      </c>
      <c r="AQ186">
        <f t="shared" si="14"/>
        <v>2021</v>
      </c>
    </row>
    <row r="187" spans="1:43" x14ac:dyDescent="0.35">
      <c r="A187">
        <v>494</v>
      </c>
      <c r="B187">
        <v>21</v>
      </c>
      <c r="C187" t="s">
        <v>144</v>
      </c>
      <c r="D187" t="s">
        <v>145</v>
      </c>
      <c r="E187" t="s">
        <v>158</v>
      </c>
      <c r="F187" t="s">
        <v>38</v>
      </c>
      <c r="G187" t="s">
        <v>43</v>
      </c>
      <c r="H187" t="s">
        <v>81</v>
      </c>
      <c r="I187" t="s">
        <v>44</v>
      </c>
      <c r="J187" t="s">
        <v>166</v>
      </c>
      <c r="K187" t="s">
        <v>42</v>
      </c>
      <c r="L187" t="s">
        <v>48</v>
      </c>
      <c r="M187" t="s">
        <v>49</v>
      </c>
      <c r="N187" t="s">
        <v>95</v>
      </c>
      <c r="P187" t="s">
        <v>148</v>
      </c>
      <c r="Q187">
        <v>15</v>
      </c>
      <c r="R187">
        <v>1</v>
      </c>
      <c r="S187">
        <v>1</v>
      </c>
      <c r="T187">
        <v>0</v>
      </c>
      <c r="U187">
        <v>0</v>
      </c>
      <c r="V187">
        <v>12</v>
      </c>
      <c r="W187">
        <v>90</v>
      </c>
      <c r="X187">
        <v>156</v>
      </c>
      <c r="Y187">
        <v>25422</v>
      </c>
      <c r="Z187">
        <v>2716</v>
      </c>
      <c r="AA187">
        <v>0</v>
      </c>
      <c r="AB187" s="29">
        <v>44773</v>
      </c>
      <c r="AC187" s="29">
        <v>37336</v>
      </c>
      <c r="AD187" s="29">
        <v>44269</v>
      </c>
      <c r="AE187" s="29">
        <v>44498</v>
      </c>
      <c r="AF187">
        <v>1</v>
      </c>
      <c r="AG187" t="s">
        <v>157</v>
      </c>
      <c r="AH187">
        <v>1</v>
      </c>
      <c r="AI187">
        <v>20</v>
      </c>
      <c r="AJ187">
        <v>1</v>
      </c>
      <c r="AK187" t="s">
        <v>170</v>
      </c>
      <c r="AL187" t="s">
        <v>77</v>
      </c>
      <c r="AM187">
        <f t="shared" si="10"/>
        <v>1</v>
      </c>
      <c r="AN187">
        <f t="shared" si="11"/>
        <v>3</v>
      </c>
      <c r="AO187">
        <f t="shared" si="12"/>
        <v>4</v>
      </c>
      <c r="AP187">
        <f t="shared" si="13"/>
        <v>10</v>
      </c>
      <c r="AQ187">
        <f t="shared" si="14"/>
        <v>2021</v>
      </c>
    </row>
    <row r="188" spans="1:43" x14ac:dyDescent="0.35">
      <c r="A188">
        <v>952</v>
      </c>
      <c r="B188">
        <v>25</v>
      </c>
      <c r="C188" t="s">
        <v>144</v>
      </c>
      <c r="D188" t="s">
        <v>145</v>
      </c>
      <c r="E188" t="s">
        <v>158</v>
      </c>
      <c r="F188" t="s">
        <v>36</v>
      </c>
      <c r="G188" t="s">
        <v>43</v>
      </c>
      <c r="H188" t="s">
        <v>82</v>
      </c>
      <c r="I188" t="s">
        <v>42</v>
      </c>
      <c r="J188" t="s">
        <v>166</v>
      </c>
      <c r="K188" t="s">
        <v>42</v>
      </c>
      <c r="L188" t="s">
        <v>147</v>
      </c>
      <c r="M188" t="s">
        <v>49</v>
      </c>
      <c r="N188" t="s">
        <v>160</v>
      </c>
      <c r="O188" t="s">
        <v>43</v>
      </c>
      <c r="P188" t="s">
        <v>144</v>
      </c>
      <c r="Q188">
        <v>18</v>
      </c>
      <c r="R188">
        <v>1</v>
      </c>
      <c r="S188">
        <v>1</v>
      </c>
      <c r="T188">
        <v>0</v>
      </c>
      <c r="U188">
        <v>0</v>
      </c>
      <c r="V188">
        <v>19</v>
      </c>
      <c r="W188">
        <v>36</v>
      </c>
      <c r="X188">
        <v>867</v>
      </c>
      <c r="Y188">
        <v>18798</v>
      </c>
      <c r="Z188">
        <v>2413</v>
      </c>
      <c r="AA188">
        <v>2</v>
      </c>
      <c r="AB188" s="29">
        <v>44773</v>
      </c>
      <c r="AC188" s="29">
        <v>35786</v>
      </c>
      <c r="AD188" s="29">
        <v>44370</v>
      </c>
      <c r="AE188" s="29">
        <v>44501</v>
      </c>
      <c r="AF188">
        <v>0</v>
      </c>
      <c r="AG188" t="s">
        <v>157</v>
      </c>
      <c r="AH188">
        <v>1</v>
      </c>
      <c r="AI188">
        <v>25</v>
      </c>
      <c r="AJ188">
        <v>2</v>
      </c>
      <c r="AK188" t="s">
        <v>171</v>
      </c>
      <c r="AL188" t="s">
        <v>78</v>
      </c>
      <c r="AM188">
        <f t="shared" si="10"/>
        <v>2</v>
      </c>
      <c r="AN188">
        <f t="shared" si="11"/>
        <v>6</v>
      </c>
      <c r="AO188">
        <f t="shared" si="12"/>
        <v>4</v>
      </c>
      <c r="AP188">
        <f t="shared" si="13"/>
        <v>11</v>
      </c>
      <c r="AQ188">
        <f t="shared" si="14"/>
        <v>2021</v>
      </c>
    </row>
    <row r="189" spans="1:43" x14ac:dyDescent="0.35">
      <c r="A189">
        <v>1165</v>
      </c>
      <c r="B189">
        <v>29</v>
      </c>
      <c r="C189" t="s">
        <v>144</v>
      </c>
      <c r="D189" t="s">
        <v>145</v>
      </c>
      <c r="E189" t="s">
        <v>158</v>
      </c>
      <c r="F189" t="s">
        <v>35</v>
      </c>
      <c r="G189" t="s">
        <v>44</v>
      </c>
      <c r="H189" t="s">
        <v>81</v>
      </c>
      <c r="I189" t="s">
        <v>42</v>
      </c>
      <c r="J189" t="s">
        <v>159</v>
      </c>
      <c r="K189" t="s">
        <v>41</v>
      </c>
      <c r="L189" t="s">
        <v>48</v>
      </c>
      <c r="M189" t="s">
        <v>47</v>
      </c>
      <c r="N189" t="s">
        <v>160</v>
      </c>
      <c r="O189" t="s">
        <v>41</v>
      </c>
      <c r="P189" t="s">
        <v>148</v>
      </c>
      <c r="Q189">
        <v>13</v>
      </c>
      <c r="R189">
        <v>1</v>
      </c>
      <c r="S189">
        <v>11</v>
      </c>
      <c r="T189">
        <v>3</v>
      </c>
      <c r="U189">
        <v>10</v>
      </c>
      <c r="V189">
        <v>23</v>
      </c>
      <c r="W189">
        <v>45</v>
      </c>
      <c r="X189">
        <v>408</v>
      </c>
      <c r="Y189">
        <v>11162</v>
      </c>
      <c r="Z189">
        <v>7336</v>
      </c>
      <c r="AA189">
        <v>3</v>
      </c>
      <c r="AB189" s="29">
        <v>44773</v>
      </c>
      <c r="AC189" s="29">
        <v>34287</v>
      </c>
      <c r="AD189" s="29">
        <v>40655</v>
      </c>
      <c r="AE189" s="29">
        <v>44503</v>
      </c>
      <c r="AF189">
        <v>11</v>
      </c>
      <c r="AG189" t="s">
        <v>157</v>
      </c>
      <c r="AH189">
        <v>1</v>
      </c>
      <c r="AI189">
        <v>18</v>
      </c>
      <c r="AJ189">
        <v>1</v>
      </c>
      <c r="AK189" t="s">
        <v>154</v>
      </c>
      <c r="AL189" t="s">
        <v>77</v>
      </c>
      <c r="AM189">
        <f t="shared" si="10"/>
        <v>2</v>
      </c>
      <c r="AN189">
        <f t="shared" si="11"/>
        <v>4</v>
      </c>
      <c r="AO189">
        <f t="shared" si="12"/>
        <v>4</v>
      </c>
      <c r="AP189">
        <f t="shared" si="13"/>
        <v>11</v>
      </c>
      <c r="AQ189">
        <f t="shared" si="14"/>
        <v>2011</v>
      </c>
    </row>
    <row r="190" spans="1:43" x14ac:dyDescent="0.35">
      <c r="A190">
        <v>1079</v>
      </c>
      <c r="B190">
        <v>21</v>
      </c>
      <c r="C190" t="s">
        <v>144</v>
      </c>
      <c r="D190" t="s">
        <v>145</v>
      </c>
      <c r="E190" t="s">
        <v>4</v>
      </c>
      <c r="F190" t="s">
        <v>38</v>
      </c>
      <c r="G190" t="s">
        <v>43</v>
      </c>
      <c r="H190" t="s">
        <v>81</v>
      </c>
      <c r="I190" t="s">
        <v>42</v>
      </c>
      <c r="J190" t="s">
        <v>155</v>
      </c>
      <c r="K190" t="s">
        <v>41</v>
      </c>
      <c r="L190" t="s">
        <v>41</v>
      </c>
      <c r="M190" t="s">
        <v>48</v>
      </c>
      <c r="N190" t="s">
        <v>95</v>
      </c>
      <c r="P190" t="s">
        <v>148</v>
      </c>
      <c r="Q190">
        <v>13</v>
      </c>
      <c r="R190">
        <v>1</v>
      </c>
      <c r="S190">
        <v>1</v>
      </c>
      <c r="T190">
        <v>0</v>
      </c>
      <c r="U190">
        <v>0</v>
      </c>
      <c r="V190">
        <v>10</v>
      </c>
      <c r="W190">
        <v>36</v>
      </c>
      <c r="X190">
        <v>1334</v>
      </c>
      <c r="Y190">
        <v>17258</v>
      </c>
      <c r="Z190">
        <v>1416</v>
      </c>
      <c r="AA190">
        <v>6</v>
      </c>
      <c r="AB190" s="29">
        <v>44773</v>
      </c>
      <c r="AC190" s="29">
        <v>37380</v>
      </c>
      <c r="AD190" s="29">
        <v>44455</v>
      </c>
      <c r="AE190" s="29">
        <v>44505</v>
      </c>
      <c r="AF190">
        <v>0</v>
      </c>
      <c r="AG190" t="s">
        <v>157</v>
      </c>
      <c r="AH190">
        <v>2</v>
      </c>
      <c r="AI190">
        <v>21</v>
      </c>
      <c r="AJ190">
        <v>2</v>
      </c>
      <c r="AK190" t="s">
        <v>171</v>
      </c>
      <c r="AL190" t="s">
        <v>77</v>
      </c>
      <c r="AM190">
        <f t="shared" si="10"/>
        <v>3</v>
      </c>
      <c r="AN190">
        <f t="shared" si="11"/>
        <v>9</v>
      </c>
      <c r="AO190">
        <f t="shared" si="12"/>
        <v>4</v>
      </c>
      <c r="AP190">
        <f t="shared" si="13"/>
        <v>11</v>
      </c>
      <c r="AQ190">
        <f t="shared" si="14"/>
        <v>2021</v>
      </c>
    </row>
    <row r="191" spans="1:43" x14ac:dyDescent="0.35">
      <c r="A191">
        <v>1107</v>
      </c>
      <c r="B191">
        <v>26</v>
      </c>
      <c r="C191" t="s">
        <v>144</v>
      </c>
      <c r="D191" t="s">
        <v>145</v>
      </c>
      <c r="E191" t="s">
        <v>4</v>
      </c>
      <c r="F191" t="s">
        <v>38</v>
      </c>
      <c r="G191" t="s">
        <v>41</v>
      </c>
      <c r="H191" t="s">
        <v>82</v>
      </c>
      <c r="I191" t="s">
        <v>43</v>
      </c>
      <c r="J191" t="s">
        <v>155</v>
      </c>
      <c r="K191" t="s">
        <v>43</v>
      </c>
      <c r="L191" t="s">
        <v>152</v>
      </c>
      <c r="M191" t="s">
        <v>48</v>
      </c>
      <c r="N191" t="s">
        <v>96</v>
      </c>
      <c r="O191" t="s">
        <v>41</v>
      </c>
      <c r="P191" t="s">
        <v>148</v>
      </c>
      <c r="Q191">
        <v>20</v>
      </c>
      <c r="R191">
        <v>1</v>
      </c>
      <c r="S191">
        <v>1</v>
      </c>
      <c r="T191">
        <v>0</v>
      </c>
      <c r="U191">
        <v>0</v>
      </c>
      <c r="V191">
        <v>21</v>
      </c>
      <c r="W191">
        <v>37</v>
      </c>
      <c r="X191">
        <v>1330</v>
      </c>
      <c r="Y191">
        <v>19373</v>
      </c>
      <c r="Z191">
        <v>2377</v>
      </c>
      <c r="AA191">
        <v>0</v>
      </c>
      <c r="AB191" s="29">
        <v>44773</v>
      </c>
      <c r="AC191" s="29">
        <v>35389</v>
      </c>
      <c r="AD191" s="29">
        <v>44428</v>
      </c>
      <c r="AE191" s="29">
        <v>44505</v>
      </c>
      <c r="AF191">
        <v>0</v>
      </c>
      <c r="AG191" t="s">
        <v>157</v>
      </c>
      <c r="AH191">
        <v>1</v>
      </c>
      <c r="AI191">
        <v>26</v>
      </c>
      <c r="AJ191">
        <v>1</v>
      </c>
      <c r="AK191" t="s">
        <v>171</v>
      </c>
      <c r="AL191" t="s">
        <v>77</v>
      </c>
      <c r="AM191">
        <f t="shared" si="10"/>
        <v>3</v>
      </c>
      <c r="AN191">
        <f t="shared" si="11"/>
        <v>8</v>
      </c>
      <c r="AO191">
        <f t="shared" si="12"/>
        <v>4</v>
      </c>
      <c r="AP191">
        <f t="shared" si="13"/>
        <v>11</v>
      </c>
      <c r="AQ191">
        <f t="shared" si="14"/>
        <v>2021</v>
      </c>
    </row>
    <row r="192" spans="1:43" x14ac:dyDescent="0.35">
      <c r="A192">
        <v>959</v>
      </c>
      <c r="B192">
        <v>19</v>
      </c>
      <c r="C192" t="s">
        <v>144</v>
      </c>
      <c r="D192" t="s">
        <v>145</v>
      </c>
      <c r="E192" t="s">
        <v>158</v>
      </c>
      <c r="F192" t="s">
        <v>38</v>
      </c>
      <c r="G192" t="s">
        <v>44</v>
      </c>
      <c r="H192" t="s">
        <v>82</v>
      </c>
      <c r="I192" t="s">
        <v>42</v>
      </c>
      <c r="J192" t="s">
        <v>166</v>
      </c>
      <c r="K192" t="s">
        <v>42</v>
      </c>
      <c r="L192" t="s">
        <v>147</v>
      </c>
      <c r="M192" t="s">
        <v>50</v>
      </c>
      <c r="N192" t="s">
        <v>95</v>
      </c>
      <c r="P192" t="s">
        <v>144</v>
      </c>
      <c r="Q192">
        <v>13</v>
      </c>
      <c r="R192">
        <v>1</v>
      </c>
      <c r="S192">
        <v>1</v>
      </c>
      <c r="T192">
        <v>0</v>
      </c>
      <c r="U192">
        <v>0</v>
      </c>
      <c r="V192">
        <v>21</v>
      </c>
      <c r="W192">
        <v>37</v>
      </c>
      <c r="X192">
        <v>419</v>
      </c>
      <c r="Y192">
        <v>9947</v>
      </c>
      <c r="Z192">
        <v>2121</v>
      </c>
      <c r="AA192">
        <v>3</v>
      </c>
      <c r="AB192" s="29">
        <v>44773</v>
      </c>
      <c r="AC192" s="29">
        <v>37926</v>
      </c>
      <c r="AD192" s="29">
        <v>44500</v>
      </c>
      <c r="AE192" s="29">
        <v>44524</v>
      </c>
      <c r="AF192">
        <v>0</v>
      </c>
      <c r="AG192" t="s">
        <v>172</v>
      </c>
      <c r="AH192">
        <v>1</v>
      </c>
      <c r="AI192">
        <v>19</v>
      </c>
      <c r="AJ192">
        <v>1</v>
      </c>
      <c r="AK192" t="s">
        <v>171</v>
      </c>
      <c r="AL192" t="s">
        <v>77</v>
      </c>
      <c r="AM192">
        <f t="shared" si="10"/>
        <v>4</v>
      </c>
      <c r="AN192">
        <f t="shared" si="11"/>
        <v>10</v>
      </c>
      <c r="AO192">
        <f t="shared" si="12"/>
        <v>4</v>
      </c>
      <c r="AP192">
        <f t="shared" si="13"/>
        <v>11</v>
      </c>
      <c r="AQ192">
        <f t="shared" si="14"/>
        <v>2021</v>
      </c>
    </row>
    <row r="193" spans="1:43" x14ac:dyDescent="0.35">
      <c r="A193">
        <v>702</v>
      </c>
      <c r="B193">
        <v>33</v>
      </c>
      <c r="C193" t="s">
        <v>144</v>
      </c>
      <c r="D193" t="s">
        <v>151</v>
      </c>
      <c r="E193" t="s">
        <v>4</v>
      </c>
      <c r="F193" t="s">
        <v>38</v>
      </c>
      <c r="G193" t="s">
        <v>41</v>
      </c>
      <c r="H193" t="s">
        <v>82</v>
      </c>
      <c r="I193" t="s">
        <v>43</v>
      </c>
      <c r="J193" t="s">
        <v>146</v>
      </c>
      <c r="K193" t="s">
        <v>41</v>
      </c>
      <c r="L193" t="s">
        <v>48</v>
      </c>
      <c r="M193" t="s">
        <v>49</v>
      </c>
      <c r="N193" t="s">
        <v>95</v>
      </c>
      <c r="P193" t="s">
        <v>144</v>
      </c>
      <c r="Q193">
        <v>11</v>
      </c>
      <c r="R193">
        <v>1</v>
      </c>
      <c r="S193">
        <v>10</v>
      </c>
      <c r="T193">
        <v>9</v>
      </c>
      <c r="U193">
        <v>7</v>
      </c>
      <c r="V193">
        <v>3</v>
      </c>
      <c r="W193">
        <v>70</v>
      </c>
      <c r="X193">
        <v>1076</v>
      </c>
      <c r="Y193">
        <v>3164</v>
      </c>
      <c r="Z193">
        <v>3348</v>
      </c>
      <c r="AA193">
        <v>3</v>
      </c>
      <c r="AB193" s="29">
        <v>44773</v>
      </c>
      <c r="AC193" s="29">
        <v>32892</v>
      </c>
      <c r="AD193" s="29">
        <v>40923</v>
      </c>
      <c r="AE193" s="29">
        <v>44525</v>
      </c>
      <c r="AF193">
        <v>10</v>
      </c>
      <c r="AG193" t="s">
        <v>149</v>
      </c>
      <c r="AH193">
        <v>1</v>
      </c>
      <c r="AI193">
        <v>23</v>
      </c>
      <c r="AJ193">
        <v>1</v>
      </c>
      <c r="AK193" t="s">
        <v>154</v>
      </c>
      <c r="AL193" t="s">
        <v>78</v>
      </c>
      <c r="AM193">
        <f t="shared" si="10"/>
        <v>1</v>
      </c>
      <c r="AN193">
        <f t="shared" si="11"/>
        <v>1</v>
      </c>
      <c r="AO193">
        <f t="shared" si="12"/>
        <v>4</v>
      </c>
      <c r="AP193">
        <f t="shared" si="13"/>
        <v>11</v>
      </c>
      <c r="AQ193">
        <f t="shared" si="14"/>
        <v>2012</v>
      </c>
    </row>
    <row r="194" spans="1:43" x14ac:dyDescent="0.35">
      <c r="A194">
        <v>445</v>
      </c>
      <c r="B194">
        <v>39</v>
      </c>
      <c r="C194" t="s">
        <v>144</v>
      </c>
      <c r="D194" t="s">
        <v>145</v>
      </c>
      <c r="E194" t="s">
        <v>158</v>
      </c>
      <c r="F194" t="s">
        <v>36</v>
      </c>
      <c r="G194" t="s">
        <v>44</v>
      </c>
      <c r="H194" t="s">
        <v>81</v>
      </c>
      <c r="I194" t="s">
        <v>43</v>
      </c>
      <c r="J194" t="s">
        <v>159</v>
      </c>
      <c r="K194" t="s">
        <v>43</v>
      </c>
      <c r="L194" t="s">
        <v>41</v>
      </c>
      <c r="M194" t="s">
        <v>48</v>
      </c>
      <c r="N194" t="s">
        <v>160</v>
      </c>
      <c r="P194" t="s">
        <v>144</v>
      </c>
      <c r="Q194">
        <v>18</v>
      </c>
      <c r="R194">
        <v>4</v>
      </c>
      <c r="S194">
        <v>12</v>
      </c>
      <c r="T194">
        <v>0</v>
      </c>
      <c r="U194">
        <v>0</v>
      </c>
      <c r="V194">
        <v>3</v>
      </c>
      <c r="W194">
        <v>41</v>
      </c>
      <c r="X194">
        <v>1162</v>
      </c>
      <c r="Y194">
        <v>17778</v>
      </c>
      <c r="Z194">
        <v>5238</v>
      </c>
      <c r="AA194">
        <v>3</v>
      </c>
      <c r="AB194" s="29">
        <v>44773</v>
      </c>
      <c r="AC194" s="29">
        <v>30833</v>
      </c>
      <c r="AD194" s="29">
        <v>44308</v>
      </c>
      <c r="AE194" s="29">
        <v>44526</v>
      </c>
      <c r="AF194">
        <v>1</v>
      </c>
      <c r="AG194" t="s">
        <v>149</v>
      </c>
      <c r="AH194">
        <v>1</v>
      </c>
      <c r="AI194">
        <v>38</v>
      </c>
      <c r="AJ194">
        <v>1</v>
      </c>
      <c r="AK194" t="s">
        <v>170</v>
      </c>
      <c r="AL194" t="s">
        <v>77</v>
      </c>
      <c r="AM194">
        <f t="shared" ref="AM194:AM257" si="15">ROUNDUP(MONTH(AD194)/3,0)</f>
        <v>2</v>
      </c>
      <c r="AN194">
        <f t="shared" ref="AN194:AN257" si="16">MONTH(AD194)</f>
        <v>4</v>
      </c>
      <c r="AO194">
        <f t="shared" ref="AO194:AO257" si="17">IF(C194="Yes",ROUNDUP(MONTH(AE194)/3,0),"")</f>
        <v>4</v>
      </c>
      <c r="AP194">
        <f t="shared" ref="AP194:AP257" si="18">IF(C194="Yes",MONTH(AE194),"")</f>
        <v>11</v>
      </c>
      <c r="AQ194">
        <f t="shared" ref="AQ194:AQ257" si="19">YEAR(AD194)</f>
        <v>2021</v>
      </c>
    </row>
    <row r="195" spans="1:43" x14ac:dyDescent="0.35">
      <c r="A195">
        <v>1928</v>
      </c>
      <c r="B195">
        <v>29</v>
      </c>
      <c r="C195" t="s">
        <v>144</v>
      </c>
      <c r="D195" t="s">
        <v>151</v>
      </c>
      <c r="E195" t="s">
        <v>158</v>
      </c>
      <c r="F195" t="s">
        <v>38</v>
      </c>
      <c r="G195" t="s">
        <v>43</v>
      </c>
      <c r="H195" t="s">
        <v>82</v>
      </c>
      <c r="I195" t="s">
        <v>44</v>
      </c>
      <c r="J195" t="s">
        <v>166</v>
      </c>
      <c r="K195" t="s">
        <v>41</v>
      </c>
      <c r="L195" t="s">
        <v>48</v>
      </c>
      <c r="M195" t="s">
        <v>49</v>
      </c>
      <c r="N195" t="s">
        <v>95</v>
      </c>
      <c r="P195" t="s">
        <v>148</v>
      </c>
      <c r="Q195">
        <v>17</v>
      </c>
      <c r="R195">
        <v>1</v>
      </c>
      <c r="S195">
        <v>1</v>
      </c>
      <c r="T195">
        <v>0</v>
      </c>
      <c r="U195">
        <v>0</v>
      </c>
      <c r="V195">
        <v>24</v>
      </c>
      <c r="W195">
        <v>45</v>
      </c>
      <c r="X195">
        <v>746</v>
      </c>
      <c r="Y195">
        <v>10642</v>
      </c>
      <c r="Z195">
        <v>1091</v>
      </c>
      <c r="AA195">
        <v>3</v>
      </c>
      <c r="AB195" s="29">
        <v>44773</v>
      </c>
      <c r="AC195" s="29">
        <v>34336</v>
      </c>
      <c r="AD195" s="29">
        <v>44387</v>
      </c>
      <c r="AE195" s="29">
        <v>44527</v>
      </c>
      <c r="AF195">
        <v>0</v>
      </c>
      <c r="AG195" t="s">
        <v>157</v>
      </c>
      <c r="AH195">
        <v>2</v>
      </c>
      <c r="AI195">
        <v>29</v>
      </c>
      <c r="AJ195">
        <v>2</v>
      </c>
      <c r="AK195" t="s">
        <v>171</v>
      </c>
      <c r="AL195" t="s">
        <v>77</v>
      </c>
      <c r="AM195">
        <f t="shared" si="15"/>
        <v>3</v>
      </c>
      <c r="AN195">
        <f t="shared" si="16"/>
        <v>7</v>
      </c>
      <c r="AO195">
        <f t="shared" si="17"/>
        <v>4</v>
      </c>
      <c r="AP195">
        <f t="shared" si="18"/>
        <v>11</v>
      </c>
      <c r="AQ195">
        <f t="shared" si="19"/>
        <v>2021</v>
      </c>
    </row>
    <row r="196" spans="1:43" x14ac:dyDescent="0.35">
      <c r="A196">
        <v>282</v>
      </c>
      <c r="B196">
        <v>38</v>
      </c>
      <c r="C196" t="s">
        <v>144</v>
      </c>
      <c r="D196" t="s">
        <v>145</v>
      </c>
      <c r="E196" t="s">
        <v>4</v>
      </c>
      <c r="F196" t="s">
        <v>35</v>
      </c>
      <c r="G196" t="s">
        <v>42</v>
      </c>
      <c r="H196" t="s">
        <v>82</v>
      </c>
      <c r="I196" t="s">
        <v>43</v>
      </c>
      <c r="J196" t="s">
        <v>161</v>
      </c>
      <c r="K196" t="s">
        <v>41</v>
      </c>
      <c r="L196" t="s">
        <v>147</v>
      </c>
      <c r="M196" t="s">
        <v>49</v>
      </c>
      <c r="N196" t="s">
        <v>160</v>
      </c>
      <c r="P196" t="s">
        <v>144</v>
      </c>
      <c r="Q196">
        <v>19</v>
      </c>
      <c r="R196">
        <v>7</v>
      </c>
      <c r="S196">
        <v>17</v>
      </c>
      <c r="T196">
        <v>0</v>
      </c>
      <c r="U196">
        <v>0</v>
      </c>
      <c r="V196">
        <v>29</v>
      </c>
      <c r="W196">
        <v>70</v>
      </c>
      <c r="X196">
        <v>1180</v>
      </c>
      <c r="Y196">
        <v>11354</v>
      </c>
      <c r="Z196">
        <v>6673</v>
      </c>
      <c r="AA196">
        <v>2</v>
      </c>
      <c r="AB196" s="29">
        <v>44773</v>
      </c>
      <c r="AC196" s="29">
        <v>31196</v>
      </c>
      <c r="AD196" s="29">
        <v>44409</v>
      </c>
      <c r="AE196" s="29">
        <v>44531</v>
      </c>
      <c r="AF196">
        <v>0</v>
      </c>
      <c r="AG196" t="s">
        <v>149</v>
      </c>
      <c r="AH196">
        <v>1</v>
      </c>
      <c r="AI196">
        <v>38</v>
      </c>
      <c r="AJ196">
        <v>2</v>
      </c>
      <c r="AK196" t="s">
        <v>171</v>
      </c>
      <c r="AL196" t="s">
        <v>77</v>
      </c>
      <c r="AM196">
        <f t="shared" si="15"/>
        <v>3</v>
      </c>
      <c r="AN196">
        <f t="shared" si="16"/>
        <v>8</v>
      </c>
      <c r="AO196">
        <f t="shared" si="17"/>
        <v>4</v>
      </c>
      <c r="AP196">
        <f t="shared" si="18"/>
        <v>12</v>
      </c>
      <c r="AQ196">
        <f t="shared" si="19"/>
        <v>2021</v>
      </c>
    </row>
    <row r="197" spans="1:43" x14ac:dyDescent="0.35">
      <c r="A197">
        <v>137</v>
      </c>
      <c r="B197">
        <v>20</v>
      </c>
      <c r="C197" t="s">
        <v>144</v>
      </c>
      <c r="D197" t="s">
        <v>151</v>
      </c>
      <c r="E197" t="s">
        <v>4</v>
      </c>
      <c r="F197" t="s">
        <v>38</v>
      </c>
      <c r="G197" t="s">
        <v>44</v>
      </c>
      <c r="H197" t="s">
        <v>81</v>
      </c>
      <c r="I197" t="s">
        <v>42</v>
      </c>
      <c r="J197" t="s">
        <v>155</v>
      </c>
      <c r="K197" t="s">
        <v>44</v>
      </c>
      <c r="L197" t="s">
        <v>147</v>
      </c>
      <c r="M197" t="s">
        <v>49</v>
      </c>
      <c r="N197" t="s">
        <v>95</v>
      </c>
      <c r="P197" t="s">
        <v>144</v>
      </c>
      <c r="Q197">
        <v>18</v>
      </c>
      <c r="R197">
        <v>1</v>
      </c>
      <c r="S197">
        <v>1</v>
      </c>
      <c r="T197">
        <v>0</v>
      </c>
      <c r="U197">
        <v>0</v>
      </c>
      <c r="V197">
        <v>6</v>
      </c>
      <c r="W197">
        <v>66</v>
      </c>
      <c r="X197">
        <v>871</v>
      </c>
      <c r="Y197">
        <v>19783</v>
      </c>
      <c r="Z197">
        <v>2926</v>
      </c>
      <c r="AA197">
        <v>5</v>
      </c>
      <c r="AB197" s="29">
        <v>44773</v>
      </c>
      <c r="AC197" s="29">
        <v>37678</v>
      </c>
      <c r="AD197" s="29">
        <v>44474</v>
      </c>
      <c r="AE197" s="29">
        <v>44533</v>
      </c>
      <c r="AF197">
        <v>0</v>
      </c>
      <c r="AG197" t="s">
        <v>157</v>
      </c>
      <c r="AH197">
        <v>2</v>
      </c>
      <c r="AI197">
        <v>20</v>
      </c>
      <c r="AJ197">
        <v>1</v>
      </c>
      <c r="AK197" t="s">
        <v>171</v>
      </c>
      <c r="AL197" t="s">
        <v>77</v>
      </c>
      <c r="AM197">
        <f t="shared" si="15"/>
        <v>4</v>
      </c>
      <c r="AN197">
        <f t="shared" si="16"/>
        <v>10</v>
      </c>
      <c r="AO197">
        <f t="shared" si="17"/>
        <v>4</v>
      </c>
      <c r="AP197">
        <f t="shared" si="18"/>
        <v>12</v>
      </c>
      <c r="AQ197">
        <f t="shared" si="19"/>
        <v>2021</v>
      </c>
    </row>
    <row r="198" spans="1:43" x14ac:dyDescent="0.35">
      <c r="A198">
        <v>780</v>
      </c>
      <c r="B198">
        <v>33</v>
      </c>
      <c r="C198" t="s">
        <v>144</v>
      </c>
      <c r="D198" t="s">
        <v>145</v>
      </c>
      <c r="E198" t="s">
        <v>4</v>
      </c>
      <c r="F198" t="s">
        <v>37</v>
      </c>
      <c r="G198" t="s">
        <v>44</v>
      </c>
      <c r="H198" t="s">
        <v>82</v>
      </c>
      <c r="I198" t="s">
        <v>43</v>
      </c>
      <c r="J198" t="s">
        <v>146</v>
      </c>
      <c r="K198" t="s">
        <v>44</v>
      </c>
      <c r="L198" t="s">
        <v>147</v>
      </c>
      <c r="M198" t="s">
        <v>48</v>
      </c>
      <c r="N198" t="s">
        <v>95</v>
      </c>
      <c r="P198" t="s">
        <v>144</v>
      </c>
      <c r="Q198">
        <v>13</v>
      </c>
      <c r="R198">
        <v>1</v>
      </c>
      <c r="S198">
        <v>10</v>
      </c>
      <c r="T198">
        <v>7</v>
      </c>
      <c r="U198">
        <v>8</v>
      </c>
      <c r="V198">
        <v>1</v>
      </c>
      <c r="W198">
        <v>63</v>
      </c>
      <c r="X198">
        <v>527</v>
      </c>
      <c r="Y198">
        <v>5207</v>
      </c>
      <c r="Z198">
        <v>2686</v>
      </c>
      <c r="AA198">
        <v>2</v>
      </c>
      <c r="AB198" s="29">
        <v>44773</v>
      </c>
      <c r="AC198" s="29">
        <v>33001</v>
      </c>
      <c r="AD198" s="29">
        <v>41244</v>
      </c>
      <c r="AE198" s="29">
        <v>44548</v>
      </c>
      <c r="AF198">
        <v>9</v>
      </c>
      <c r="AG198" t="s">
        <v>149</v>
      </c>
      <c r="AH198">
        <v>1</v>
      </c>
      <c r="AI198">
        <v>24</v>
      </c>
      <c r="AJ198">
        <v>1</v>
      </c>
      <c r="AK198" t="s">
        <v>150</v>
      </c>
      <c r="AL198" t="s">
        <v>78</v>
      </c>
      <c r="AM198">
        <f t="shared" si="15"/>
        <v>4</v>
      </c>
      <c r="AN198">
        <f t="shared" si="16"/>
        <v>12</v>
      </c>
      <c r="AO198">
        <f t="shared" si="17"/>
        <v>4</v>
      </c>
      <c r="AP198">
        <f t="shared" si="18"/>
        <v>12</v>
      </c>
      <c r="AQ198">
        <f t="shared" si="19"/>
        <v>2012</v>
      </c>
    </row>
    <row r="199" spans="1:43" x14ac:dyDescent="0.35">
      <c r="A199">
        <v>1780</v>
      </c>
      <c r="B199">
        <v>21</v>
      </c>
      <c r="C199" t="s">
        <v>144</v>
      </c>
      <c r="D199" t="s">
        <v>145</v>
      </c>
      <c r="E199" t="s">
        <v>158</v>
      </c>
      <c r="F199" t="s">
        <v>35</v>
      </c>
      <c r="G199" t="s">
        <v>42</v>
      </c>
      <c r="H199" t="s">
        <v>82</v>
      </c>
      <c r="I199" t="s">
        <v>43</v>
      </c>
      <c r="J199" t="s">
        <v>166</v>
      </c>
      <c r="K199" t="s">
        <v>42</v>
      </c>
      <c r="L199" t="s">
        <v>48</v>
      </c>
      <c r="M199" t="s">
        <v>49</v>
      </c>
      <c r="N199" t="s">
        <v>95</v>
      </c>
      <c r="P199" t="s">
        <v>148</v>
      </c>
      <c r="Q199">
        <v>13</v>
      </c>
      <c r="R199">
        <v>1</v>
      </c>
      <c r="S199">
        <v>1</v>
      </c>
      <c r="T199">
        <v>0</v>
      </c>
      <c r="U199">
        <v>0</v>
      </c>
      <c r="V199">
        <v>7</v>
      </c>
      <c r="W199">
        <v>31</v>
      </c>
      <c r="X199">
        <v>337</v>
      </c>
      <c r="Y199">
        <v>4567</v>
      </c>
      <c r="Z199">
        <v>2679</v>
      </c>
      <c r="AA199">
        <v>3</v>
      </c>
      <c r="AB199" s="29">
        <v>44773</v>
      </c>
      <c r="AC199" s="29">
        <v>37287</v>
      </c>
      <c r="AD199" s="29">
        <v>44520</v>
      </c>
      <c r="AE199" s="29">
        <v>44554</v>
      </c>
      <c r="AF199">
        <v>0</v>
      </c>
      <c r="AG199" t="s">
        <v>157</v>
      </c>
      <c r="AH199">
        <v>2</v>
      </c>
      <c r="AI199">
        <v>21</v>
      </c>
      <c r="AJ199">
        <v>1</v>
      </c>
      <c r="AK199" t="s">
        <v>171</v>
      </c>
      <c r="AL199" t="s">
        <v>77</v>
      </c>
      <c r="AM199">
        <f t="shared" si="15"/>
        <v>4</v>
      </c>
      <c r="AN199">
        <f t="shared" si="16"/>
        <v>11</v>
      </c>
      <c r="AO199">
        <f t="shared" si="17"/>
        <v>4</v>
      </c>
      <c r="AP199">
        <f t="shared" si="18"/>
        <v>12</v>
      </c>
      <c r="AQ199">
        <f t="shared" si="19"/>
        <v>2021</v>
      </c>
    </row>
    <row r="200" spans="1:43" x14ac:dyDescent="0.35">
      <c r="A200">
        <v>1210</v>
      </c>
      <c r="B200">
        <v>41</v>
      </c>
      <c r="C200" t="s">
        <v>144</v>
      </c>
      <c r="D200" t="s">
        <v>164</v>
      </c>
      <c r="E200" t="s">
        <v>4</v>
      </c>
      <c r="F200" t="s">
        <v>36</v>
      </c>
      <c r="G200" t="s">
        <v>41</v>
      </c>
      <c r="H200" t="s">
        <v>82</v>
      </c>
      <c r="I200" t="s">
        <v>42</v>
      </c>
      <c r="J200" t="s">
        <v>146</v>
      </c>
      <c r="K200" t="s">
        <v>41</v>
      </c>
      <c r="L200" t="s">
        <v>147</v>
      </c>
      <c r="M200" t="s">
        <v>47</v>
      </c>
      <c r="N200" t="s">
        <v>96</v>
      </c>
      <c r="O200" t="s">
        <v>41</v>
      </c>
      <c r="P200" t="s">
        <v>148</v>
      </c>
      <c r="Q200">
        <v>17</v>
      </c>
      <c r="R200">
        <v>6</v>
      </c>
      <c r="S200">
        <v>5</v>
      </c>
      <c r="T200">
        <v>0</v>
      </c>
      <c r="U200">
        <v>0</v>
      </c>
      <c r="V200">
        <v>5</v>
      </c>
      <c r="W200">
        <v>95</v>
      </c>
      <c r="X200">
        <v>906</v>
      </c>
      <c r="Y200">
        <v>20293</v>
      </c>
      <c r="Z200">
        <v>2107</v>
      </c>
      <c r="AA200">
        <v>2</v>
      </c>
      <c r="AB200" s="29">
        <v>44773</v>
      </c>
      <c r="AC200" s="29">
        <v>30028</v>
      </c>
      <c r="AD200" s="29">
        <v>44405</v>
      </c>
      <c r="AE200" s="29">
        <v>44559</v>
      </c>
      <c r="AF200">
        <v>0</v>
      </c>
      <c r="AG200" t="s">
        <v>153</v>
      </c>
      <c r="AH200">
        <v>1</v>
      </c>
      <c r="AI200">
        <v>41</v>
      </c>
      <c r="AJ200">
        <v>2</v>
      </c>
      <c r="AK200" t="s">
        <v>171</v>
      </c>
      <c r="AL200" t="s">
        <v>77</v>
      </c>
      <c r="AM200">
        <f t="shared" si="15"/>
        <v>3</v>
      </c>
      <c r="AN200">
        <f t="shared" si="16"/>
        <v>7</v>
      </c>
      <c r="AO200">
        <f t="shared" si="17"/>
        <v>4</v>
      </c>
      <c r="AP200">
        <f t="shared" si="18"/>
        <v>12</v>
      </c>
      <c r="AQ200">
        <f t="shared" si="19"/>
        <v>2021</v>
      </c>
    </row>
    <row r="201" spans="1:43" x14ac:dyDescent="0.35">
      <c r="A201">
        <v>364</v>
      </c>
      <c r="B201">
        <v>28</v>
      </c>
      <c r="C201" t="s">
        <v>144</v>
      </c>
      <c r="D201" t="s">
        <v>145</v>
      </c>
      <c r="E201" t="s">
        <v>4</v>
      </c>
      <c r="F201" t="s">
        <v>37</v>
      </c>
      <c r="G201" t="s">
        <v>41</v>
      </c>
      <c r="H201" t="s">
        <v>82</v>
      </c>
      <c r="I201" t="s">
        <v>43</v>
      </c>
      <c r="J201" t="s">
        <v>155</v>
      </c>
      <c r="K201" t="s">
        <v>43</v>
      </c>
      <c r="L201" t="s">
        <v>41</v>
      </c>
      <c r="M201" t="s">
        <v>47</v>
      </c>
      <c r="N201" t="s">
        <v>95</v>
      </c>
      <c r="P201" t="s">
        <v>148</v>
      </c>
      <c r="Q201">
        <v>11</v>
      </c>
      <c r="R201">
        <v>2</v>
      </c>
      <c r="S201">
        <v>5</v>
      </c>
      <c r="T201">
        <v>0</v>
      </c>
      <c r="U201">
        <v>0</v>
      </c>
      <c r="V201">
        <v>2</v>
      </c>
      <c r="W201">
        <v>79</v>
      </c>
      <c r="X201">
        <v>529</v>
      </c>
      <c r="Y201">
        <v>14935</v>
      </c>
      <c r="Z201">
        <v>3485</v>
      </c>
      <c r="AA201">
        <v>5</v>
      </c>
      <c r="AB201" s="29">
        <v>44773</v>
      </c>
      <c r="AC201" s="29">
        <v>34609</v>
      </c>
      <c r="AD201" s="29">
        <v>44538</v>
      </c>
      <c r="AE201" s="29">
        <v>44561</v>
      </c>
      <c r="AF201">
        <v>0</v>
      </c>
      <c r="AG201" t="s">
        <v>157</v>
      </c>
      <c r="AH201">
        <v>1</v>
      </c>
      <c r="AI201">
        <v>28</v>
      </c>
      <c r="AJ201">
        <v>2</v>
      </c>
      <c r="AK201" t="s">
        <v>171</v>
      </c>
      <c r="AL201" t="s">
        <v>77</v>
      </c>
      <c r="AM201">
        <f t="shared" si="15"/>
        <v>4</v>
      </c>
      <c r="AN201">
        <f t="shared" si="16"/>
        <v>12</v>
      </c>
      <c r="AO201">
        <f t="shared" si="17"/>
        <v>4</v>
      </c>
      <c r="AP201">
        <f t="shared" si="18"/>
        <v>12</v>
      </c>
      <c r="AQ201">
        <f t="shared" si="19"/>
        <v>2021</v>
      </c>
    </row>
    <row r="202" spans="1:43" x14ac:dyDescent="0.35">
      <c r="A202">
        <v>918</v>
      </c>
      <c r="B202">
        <v>58</v>
      </c>
      <c r="C202" t="s">
        <v>144</v>
      </c>
      <c r="D202" t="s">
        <v>151</v>
      </c>
      <c r="E202" t="s">
        <v>4</v>
      </c>
      <c r="F202" t="s">
        <v>35</v>
      </c>
      <c r="G202" t="s">
        <v>44</v>
      </c>
      <c r="H202" t="s">
        <v>82</v>
      </c>
      <c r="I202" t="s">
        <v>42</v>
      </c>
      <c r="J202" t="s">
        <v>155</v>
      </c>
      <c r="K202" t="s">
        <v>44</v>
      </c>
      <c r="L202" t="s">
        <v>147</v>
      </c>
      <c r="M202" t="s">
        <v>48</v>
      </c>
      <c r="N202" t="s">
        <v>96</v>
      </c>
      <c r="O202" t="s">
        <v>41</v>
      </c>
      <c r="P202" t="s">
        <v>144</v>
      </c>
      <c r="Q202">
        <v>14</v>
      </c>
      <c r="R202">
        <v>9</v>
      </c>
      <c r="S202">
        <v>3</v>
      </c>
      <c r="T202">
        <v>0</v>
      </c>
      <c r="U202">
        <v>0</v>
      </c>
      <c r="V202">
        <v>2</v>
      </c>
      <c r="W202">
        <v>57</v>
      </c>
      <c r="X202">
        <v>781</v>
      </c>
      <c r="Y202">
        <v>13384</v>
      </c>
      <c r="Z202">
        <v>2380</v>
      </c>
      <c r="AA202">
        <v>3</v>
      </c>
      <c r="AB202" s="29">
        <v>44773</v>
      </c>
      <c r="AC202" s="29">
        <v>23615</v>
      </c>
      <c r="AD202" s="29">
        <v>44223</v>
      </c>
      <c r="AE202" s="29">
        <v>44562</v>
      </c>
      <c r="AF202">
        <v>1</v>
      </c>
      <c r="AG202" t="s">
        <v>167</v>
      </c>
      <c r="AH202">
        <v>1</v>
      </c>
      <c r="AI202">
        <v>57</v>
      </c>
      <c r="AJ202">
        <v>1</v>
      </c>
      <c r="AK202" t="s">
        <v>170</v>
      </c>
      <c r="AL202" t="s">
        <v>77</v>
      </c>
      <c r="AM202">
        <f t="shared" si="15"/>
        <v>1</v>
      </c>
      <c r="AN202">
        <f t="shared" si="16"/>
        <v>1</v>
      </c>
      <c r="AO202">
        <f t="shared" si="17"/>
        <v>1</v>
      </c>
      <c r="AP202">
        <f t="shared" si="18"/>
        <v>1</v>
      </c>
      <c r="AQ202">
        <f t="shared" si="19"/>
        <v>2021</v>
      </c>
    </row>
    <row r="203" spans="1:43" x14ac:dyDescent="0.35">
      <c r="A203">
        <v>614</v>
      </c>
      <c r="B203">
        <v>18</v>
      </c>
      <c r="C203" t="s">
        <v>144</v>
      </c>
      <c r="D203" t="s">
        <v>151</v>
      </c>
      <c r="E203" t="s">
        <v>158</v>
      </c>
      <c r="F203" t="s">
        <v>38</v>
      </c>
      <c r="G203" t="s">
        <v>42</v>
      </c>
      <c r="H203" t="s">
        <v>82</v>
      </c>
      <c r="I203" t="s">
        <v>43</v>
      </c>
      <c r="J203" t="s">
        <v>166</v>
      </c>
      <c r="K203" t="s">
        <v>42</v>
      </c>
      <c r="L203" t="s">
        <v>147</v>
      </c>
      <c r="M203" t="s">
        <v>49</v>
      </c>
      <c r="N203" t="s">
        <v>95</v>
      </c>
      <c r="P203" t="s">
        <v>144</v>
      </c>
      <c r="Q203">
        <v>14</v>
      </c>
      <c r="R203">
        <v>1</v>
      </c>
      <c r="S203">
        <v>2</v>
      </c>
      <c r="T203">
        <v>0</v>
      </c>
      <c r="U203">
        <v>0</v>
      </c>
      <c r="V203">
        <v>5</v>
      </c>
      <c r="W203">
        <v>69</v>
      </c>
      <c r="X203">
        <v>1306</v>
      </c>
      <c r="Y203">
        <v>8059</v>
      </c>
      <c r="Z203">
        <v>1878</v>
      </c>
      <c r="AA203">
        <v>3</v>
      </c>
      <c r="AB203" s="29">
        <v>44773</v>
      </c>
      <c r="AC203" s="29">
        <v>38414</v>
      </c>
      <c r="AD203" s="29">
        <v>44233</v>
      </c>
      <c r="AE203" s="29">
        <v>44565</v>
      </c>
      <c r="AF203">
        <v>1</v>
      </c>
      <c r="AG203" t="s">
        <v>172</v>
      </c>
      <c r="AH203">
        <v>1</v>
      </c>
      <c r="AI203">
        <v>17</v>
      </c>
      <c r="AJ203">
        <v>1</v>
      </c>
      <c r="AK203" t="s">
        <v>170</v>
      </c>
      <c r="AL203" t="s">
        <v>77</v>
      </c>
      <c r="AM203">
        <f t="shared" si="15"/>
        <v>1</v>
      </c>
      <c r="AN203">
        <f t="shared" si="16"/>
        <v>2</v>
      </c>
      <c r="AO203">
        <f t="shared" si="17"/>
        <v>1</v>
      </c>
      <c r="AP203">
        <f t="shared" si="18"/>
        <v>1</v>
      </c>
      <c r="AQ203">
        <f t="shared" si="19"/>
        <v>2021</v>
      </c>
    </row>
    <row r="204" spans="1:43" x14ac:dyDescent="0.35">
      <c r="A204">
        <v>4</v>
      </c>
      <c r="B204">
        <v>37</v>
      </c>
      <c r="C204" t="s">
        <v>144</v>
      </c>
      <c r="D204" t="s">
        <v>145</v>
      </c>
      <c r="E204" t="s">
        <v>4</v>
      </c>
      <c r="F204" t="s">
        <v>36</v>
      </c>
      <c r="G204" t="s">
        <v>44</v>
      </c>
      <c r="H204" t="s">
        <v>82</v>
      </c>
      <c r="I204" t="s">
        <v>42</v>
      </c>
      <c r="J204" t="s">
        <v>155</v>
      </c>
      <c r="K204" t="s">
        <v>43</v>
      </c>
      <c r="L204" t="s">
        <v>41</v>
      </c>
      <c r="M204" t="s">
        <v>49</v>
      </c>
      <c r="N204" t="s">
        <v>95</v>
      </c>
      <c r="P204" t="s">
        <v>144</v>
      </c>
      <c r="Q204">
        <v>15</v>
      </c>
      <c r="R204">
        <v>6</v>
      </c>
      <c r="S204">
        <v>7</v>
      </c>
      <c r="T204">
        <v>0</v>
      </c>
      <c r="U204">
        <v>0</v>
      </c>
      <c r="V204">
        <v>2</v>
      </c>
      <c r="W204">
        <v>92</v>
      </c>
      <c r="X204">
        <v>1373</v>
      </c>
      <c r="Y204">
        <v>2396</v>
      </c>
      <c r="Z204">
        <v>2090</v>
      </c>
      <c r="AA204">
        <v>3</v>
      </c>
      <c r="AB204" s="29">
        <v>44773</v>
      </c>
      <c r="AC204" s="29">
        <v>31334</v>
      </c>
      <c r="AD204" s="29">
        <v>44287</v>
      </c>
      <c r="AE204" s="29">
        <v>44566</v>
      </c>
      <c r="AF204">
        <v>1</v>
      </c>
      <c r="AG204" t="s">
        <v>149</v>
      </c>
      <c r="AH204">
        <v>2</v>
      </c>
      <c r="AI204">
        <v>36</v>
      </c>
      <c r="AJ204">
        <v>1</v>
      </c>
      <c r="AK204" t="s">
        <v>170</v>
      </c>
      <c r="AL204" t="s">
        <v>78</v>
      </c>
      <c r="AM204">
        <f t="shared" si="15"/>
        <v>2</v>
      </c>
      <c r="AN204">
        <f t="shared" si="16"/>
        <v>4</v>
      </c>
      <c r="AO204">
        <f t="shared" si="17"/>
        <v>1</v>
      </c>
      <c r="AP204">
        <f t="shared" si="18"/>
        <v>1</v>
      </c>
      <c r="AQ204">
        <f t="shared" si="19"/>
        <v>2021</v>
      </c>
    </row>
    <row r="205" spans="1:43" x14ac:dyDescent="0.35">
      <c r="A205">
        <v>90</v>
      </c>
      <c r="B205">
        <v>36</v>
      </c>
      <c r="C205" t="s">
        <v>144</v>
      </c>
      <c r="D205" t="s">
        <v>145</v>
      </c>
      <c r="E205" t="s">
        <v>4</v>
      </c>
      <c r="F205" t="s">
        <v>38</v>
      </c>
      <c r="G205" t="s">
        <v>44</v>
      </c>
      <c r="H205" t="s">
        <v>82</v>
      </c>
      <c r="I205" t="s">
        <v>42</v>
      </c>
      <c r="J205" t="s">
        <v>146</v>
      </c>
      <c r="K205" t="s">
        <v>43</v>
      </c>
      <c r="L205" t="s">
        <v>48</v>
      </c>
      <c r="M205" t="s">
        <v>48</v>
      </c>
      <c r="N205" t="s">
        <v>160</v>
      </c>
      <c r="O205" t="s">
        <v>41</v>
      </c>
      <c r="P205" t="s">
        <v>144</v>
      </c>
      <c r="Q205">
        <v>17</v>
      </c>
      <c r="R205">
        <v>0</v>
      </c>
      <c r="S205">
        <v>2</v>
      </c>
      <c r="T205">
        <v>0</v>
      </c>
      <c r="U205">
        <v>0</v>
      </c>
      <c r="V205">
        <v>9</v>
      </c>
      <c r="W205">
        <v>79</v>
      </c>
      <c r="X205">
        <v>318</v>
      </c>
      <c r="Y205">
        <v>21777</v>
      </c>
      <c r="Z205">
        <v>3388</v>
      </c>
      <c r="AA205">
        <v>0</v>
      </c>
      <c r="AB205" s="29">
        <v>44773</v>
      </c>
      <c r="AC205" s="29">
        <v>31869</v>
      </c>
      <c r="AD205" s="29">
        <v>44468</v>
      </c>
      <c r="AE205" s="29">
        <v>44566</v>
      </c>
      <c r="AF205">
        <v>0</v>
      </c>
      <c r="AG205" t="s">
        <v>149</v>
      </c>
      <c r="AH205">
        <v>2</v>
      </c>
      <c r="AI205">
        <v>36</v>
      </c>
      <c r="AJ205">
        <v>2</v>
      </c>
      <c r="AK205" t="s">
        <v>171</v>
      </c>
      <c r="AL205" t="s">
        <v>77</v>
      </c>
      <c r="AM205">
        <f t="shared" si="15"/>
        <v>3</v>
      </c>
      <c r="AN205">
        <f t="shared" si="16"/>
        <v>9</v>
      </c>
      <c r="AO205">
        <f t="shared" si="17"/>
        <v>1</v>
      </c>
      <c r="AP205">
        <f t="shared" si="18"/>
        <v>1</v>
      </c>
      <c r="AQ205">
        <f t="shared" si="19"/>
        <v>2021</v>
      </c>
    </row>
    <row r="206" spans="1:43" x14ac:dyDescent="0.35">
      <c r="A206">
        <v>960</v>
      </c>
      <c r="B206">
        <v>20</v>
      </c>
      <c r="C206" t="s">
        <v>144</v>
      </c>
      <c r="D206" t="s">
        <v>145</v>
      </c>
      <c r="E206" t="s">
        <v>4</v>
      </c>
      <c r="F206" t="s">
        <v>38</v>
      </c>
      <c r="G206" t="s">
        <v>41</v>
      </c>
      <c r="H206" t="s">
        <v>82</v>
      </c>
      <c r="I206" t="s">
        <v>43</v>
      </c>
      <c r="J206" t="s">
        <v>155</v>
      </c>
      <c r="K206" t="s">
        <v>41</v>
      </c>
      <c r="L206" t="s">
        <v>147</v>
      </c>
      <c r="M206" t="s">
        <v>49</v>
      </c>
      <c r="N206" t="s">
        <v>95</v>
      </c>
      <c r="P206" t="s">
        <v>148</v>
      </c>
      <c r="Q206">
        <v>19</v>
      </c>
      <c r="R206">
        <v>1</v>
      </c>
      <c r="S206">
        <v>1</v>
      </c>
      <c r="T206">
        <v>0</v>
      </c>
      <c r="U206">
        <v>0</v>
      </c>
      <c r="V206">
        <v>4</v>
      </c>
      <c r="W206">
        <v>84</v>
      </c>
      <c r="X206">
        <v>129</v>
      </c>
      <c r="Y206">
        <v>13008</v>
      </c>
      <c r="Z206">
        <v>2973</v>
      </c>
      <c r="AA206">
        <v>2</v>
      </c>
      <c r="AB206" s="29">
        <v>44773</v>
      </c>
      <c r="AC206" s="29">
        <v>37542</v>
      </c>
      <c r="AD206" s="29">
        <v>44300</v>
      </c>
      <c r="AE206" s="29">
        <v>44573</v>
      </c>
      <c r="AF206">
        <v>1</v>
      </c>
      <c r="AG206" t="s">
        <v>157</v>
      </c>
      <c r="AH206">
        <v>2</v>
      </c>
      <c r="AI206">
        <v>19</v>
      </c>
      <c r="AJ206">
        <v>1</v>
      </c>
      <c r="AK206" t="s">
        <v>170</v>
      </c>
      <c r="AL206" t="s">
        <v>77</v>
      </c>
      <c r="AM206">
        <f t="shared" si="15"/>
        <v>2</v>
      </c>
      <c r="AN206">
        <f t="shared" si="16"/>
        <v>4</v>
      </c>
      <c r="AO206">
        <f t="shared" si="17"/>
        <v>1</v>
      </c>
      <c r="AP206">
        <f t="shared" si="18"/>
        <v>1</v>
      </c>
      <c r="AQ206">
        <f t="shared" si="19"/>
        <v>2021</v>
      </c>
    </row>
    <row r="207" spans="1:43" x14ac:dyDescent="0.35">
      <c r="A207">
        <v>1783</v>
      </c>
      <c r="B207">
        <v>22</v>
      </c>
      <c r="C207" t="s">
        <v>144</v>
      </c>
      <c r="D207" t="s">
        <v>145</v>
      </c>
      <c r="E207" t="s">
        <v>4</v>
      </c>
      <c r="F207" t="s">
        <v>35</v>
      </c>
      <c r="G207" t="s">
        <v>43</v>
      </c>
      <c r="H207" t="s">
        <v>81</v>
      </c>
      <c r="I207" t="s">
        <v>43</v>
      </c>
      <c r="J207" t="s">
        <v>155</v>
      </c>
      <c r="K207" t="s">
        <v>41</v>
      </c>
      <c r="L207" t="s">
        <v>147</v>
      </c>
      <c r="M207" t="s">
        <v>49</v>
      </c>
      <c r="N207" t="s">
        <v>160</v>
      </c>
      <c r="P207" t="s">
        <v>144</v>
      </c>
      <c r="Q207">
        <v>17</v>
      </c>
      <c r="R207">
        <v>1</v>
      </c>
      <c r="S207">
        <v>1</v>
      </c>
      <c r="T207">
        <v>0</v>
      </c>
      <c r="U207">
        <v>0</v>
      </c>
      <c r="V207">
        <v>8</v>
      </c>
      <c r="W207">
        <v>79</v>
      </c>
      <c r="X207">
        <v>1294</v>
      </c>
      <c r="Y207">
        <v>15999</v>
      </c>
      <c r="Z207">
        <v>2398</v>
      </c>
      <c r="AA207">
        <v>6</v>
      </c>
      <c r="AB207" s="29">
        <v>44773</v>
      </c>
      <c r="AC207" s="29">
        <v>37012</v>
      </c>
      <c r="AD207" s="29">
        <v>44256</v>
      </c>
      <c r="AE207" s="29">
        <v>44575</v>
      </c>
      <c r="AF207">
        <v>1</v>
      </c>
      <c r="AG207" t="s">
        <v>157</v>
      </c>
      <c r="AH207">
        <v>1</v>
      </c>
      <c r="AI207">
        <v>21</v>
      </c>
      <c r="AJ207">
        <v>1</v>
      </c>
      <c r="AK207" t="s">
        <v>170</v>
      </c>
      <c r="AL207" t="s">
        <v>77</v>
      </c>
      <c r="AM207">
        <f t="shared" si="15"/>
        <v>1</v>
      </c>
      <c r="AN207">
        <f t="shared" si="16"/>
        <v>3</v>
      </c>
      <c r="AO207">
        <f t="shared" si="17"/>
        <v>1</v>
      </c>
      <c r="AP207">
        <f t="shared" si="18"/>
        <v>1</v>
      </c>
      <c r="AQ207">
        <f t="shared" si="19"/>
        <v>2021</v>
      </c>
    </row>
    <row r="208" spans="1:43" x14ac:dyDescent="0.35">
      <c r="A208">
        <v>64</v>
      </c>
      <c r="B208">
        <v>48</v>
      </c>
      <c r="C208" t="s">
        <v>144</v>
      </c>
      <c r="D208" t="s">
        <v>145</v>
      </c>
      <c r="E208" t="s">
        <v>4</v>
      </c>
      <c r="F208" t="s">
        <v>36</v>
      </c>
      <c r="G208" t="s">
        <v>41</v>
      </c>
      <c r="H208" t="s">
        <v>82</v>
      </c>
      <c r="I208" t="s">
        <v>42</v>
      </c>
      <c r="J208" t="s">
        <v>155</v>
      </c>
      <c r="K208" t="s">
        <v>43</v>
      </c>
      <c r="L208" t="s">
        <v>147</v>
      </c>
      <c r="M208" t="s">
        <v>49</v>
      </c>
      <c r="N208" t="s">
        <v>95</v>
      </c>
      <c r="P208" t="s">
        <v>144</v>
      </c>
      <c r="Q208">
        <v>13</v>
      </c>
      <c r="R208">
        <v>9</v>
      </c>
      <c r="S208">
        <v>23</v>
      </c>
      <c r="T208">
        <v>0</v>
      </c>
      <c r="U208">
        <v>0</v>
      </c>
      <c r="V208">
        <v>1</v>
      </c>
      <c r="W208">
        <v>98</v>
      </c>
      <c r="X208">
        <v>626</v>
      </c>
      <c r="Y208">
        <v>19294</v>
      </c>
      <c r="Z208">
        <v>5381</v>
      </c>
      <c r="AA208">
        <v>2</v>
      </c>
      <c r="AB208" s="29">
        <v>44773</v>
      </c>
      <c r="AC208" s="29">
        <v>27512</v>
      </c>
      <c r="AD208" s="29">
        <v>44450</v>
      </c>
      <c r="AE208" s="29">
        <v>44575</v>
      </c>
      <c r="AF208">
        <v>0</v>
      </c>
      <c r="AG208" t="s">
        <v>153</v>
      </c>
      <c r="AH208">
        <v>1</v>
      </c>
      <c r="AI208">
        <v>48</v>
      </c>
      <c r="AJ208">
        <v>1</v>
      </c>
      <c r="AK208" t="s">
        <v>171</v>
      </c>
      <c r="AL208" t="s">
        <v>77</v>
      </c>
      <c r="AM208">
        <f t="shared" si="15"/>
        <v>3</v>
      </c>
      <c r="AN208">
        <f t="shared" si="16"/>
        <v>9</v>
      </c>
      <c r="AO208">
        <f t="shared" si="17"/>
        <v>1</v>
      </c>
      <c r="AP208">
        <f t="shared" si="18"/>
        <v>1</v>
      </c>
      <c r="AQ208">
        <f t="shared" si="19"/>
        <v>2021</v>
      </c>
    </row>
    <row r="209" spans="1:43" x14ac:dyDescent="0.35">
      <c r="A209">
        <v>1876</v>
      </c>
      <c r="B209">
        <v>30</v>
      </c>
      <c r="C209" t="s">
        <v>144</v>
      </c>
      <c r="D209" t="s">
        <v>145</v>
      </c>
      <c r="E209" t="s">
        <v>158</v>
      </c>
      <c r="F209" t="s">
        <v>38</v>
      </c>
      <c r="G209" t="s">
        <v>42</v>
      </c>
      <c r="H209" t="s">
        <v>82</v>
      </c>
      <c r="I209" t="s">
        <v>43</v>
      </c>
      <c r="J209" t="s">
        <v>166</v>
      </c>
      <c r="K209" t="s">
        <v>44</v>
      </c>
      <c r="L209" t="s">
        <v>147</v>
      </c>
      <c r="M209" t="s">
        <v>48</v>
      </c>
      <c r="N209" t="s">
        <v>95</v>
      </c>
      <c r="P209" t="s">
        <v>148</v>
      </c>
      <c r="Q209">
        <v>13</v>
      </c>
      <c r="R209">
        <v>1</v>
      </c>
      <c r="S209">
        <v>1</v>
      </c>
      <c r="T209">
        <v>0</v>
      </c>
      <c r="U209">
        <v>0</v>
      </c>
      <c r="V209">
        <v>9</v>
      </c>
      <c r="W209">
        <v>89</v>
      </c>
      <c r="X209">
        <v>945</v>
      </c>
      <c r="Y209">
        <v>16019</v>
      </c>
      <c r="Z209">
        <v>1081</v>
      </c>
      <c r="AA209">
        <v>3</v>
      </c>
      <c r="AB209" s="29">
        <v>44773</v>
      </c>
      <c r="AC209" s="29">
        <v>34070</v>
      </c>
      <c r="AD209" s="29">
        <v>44557</v>
      </c>
      <c r="AE209" s="29">
        <v>44576</v>
      </c>
      <c r="AF209">
        <v>0</v>
      </c>
      <c r="AG209" t="s">
        <v>149</v>
      </c>
      <c r="AH209">
        <v>1</v>
      </c>
      <c r="AI209">
        <v>30</v>
      </c>
      <c r="AJ209">
        <v>2</v>
      </c>
      <c r="AK209" t="s">
        <v>171</v>
      </c>
      <c r="AL209" t="s">
        <v>77</v>
      </c>
      <c r="AM209">
        <f t="shared" si="15"/>
        <v>4</v>
      </c>
      <c r="AN209">
        <f t="shared" si="16"/>
        <v>12</v>
      </c>
      <c r="AO209">
        <f t="shared" si="17"/>
        <v>1</v>
      </c>
      <c r="AP209">
        <f t="shared" si="18"/>
        <v>1</v>
      </c>
      <c r="AQ209">
        <f t="shared" si="19"/>
        <v>2021</v>
      </c>
    </row>
    <row r="210" spans="1:43" x14ac:dyDescent="0.35">
      <c r="A210">
        <v>167</v>
      </c>
      <c r="B210">
        <v>19</v>
      </c>
      <c r="C210" t="s">
        <v>144</v>
      </c>
      <c r="D210" t="s">
        <v>145</v>
      </c>
      <c r="E210" t="s">
        <v>158</v>
      </c>
      <c r="F210" t="s">
        <v>35</v>
      </c>
      <c r="G210" t="s">
        <v>44</v>
      </c>
      <c r="H210" t="s">
        <v>82</v>
      </c>
      <c r="I210" t="s">
        <v>43</v>
      </c>
      <c r="J210" t="s">
        <v>166</v>
      </c>
      <c r="K210" t="s">
        <v>43</v>
      </c>
      <c r="L210" t="s">
        <v>48</v>
      </c>
      <c r="M210" t="s">
        <v>48</v>
      </c>
      <c r="N210" t="s">
        <v>95</v>
      </c>
      <c r="P210" t="s">
        <v>144</v>
      </c>
      <c r="Q210">
        <v>19</v>
      </c>
      <c r="R210">
        <v>1</v>
      </c>
      <c r="S210">
        <v>2</v>
      </c>
      <c r="T210">
        <v>0</v>
      </c>
      <c r="U210">
        <v>0</v>
      </c>
      <c r="V210">
        <v>22</v>
      </c>
      <c r="W210">
        <v>50</v>
      </c>
      <c r="X210">
        <v>528</v>
      </c>
      <c r="Y210">
        <v>26820</v>
      </c>
      <c r="Z210">
        <v>1675</v>
      </c>
      <c r="AA210">
        <v>2</v>
      </c>
      <c r="AB210" s="29">
        <v>44773</v>
      </c>
      <c r="AC210" s="29">
        <v>37849</v>
      </c>
      <c r="AD210" s="29">
        <v>44561</v>
      </c>
      <c r="AE210" s="29">
        <v>44576</v>
      </c>
      <c r="AF210">
        <v>0</v>
      </c>
      <c r="AG210" t="s">
        <v>172</v>
      </c>
      <c r="AH210">
        <v>1</v>
      </c>
      <c r="AI210">
        <v>19</v>
      </c>
      <c r="AJ210">
        <v>1</v>
      </c>
      <c r="AK210" t="s">
        <v>171</v>
      </c>
      <c r="AL210" t="s">
        <v>77</v>
      </c>
      <c r="AM210">
        <f t="shared" si="15"/>
        <v>4</v>
      </c>
      <c r="AN210">
        <f t="shared" si="16"/>
        <v>12</v>
      </c>
      <c r="AO210">
        <f t="shared" si="17"/>
        <v>1</v>
      </c>
      <c r="AP210">
        <f t="shared" si="18"/>
        <v>1</v>
      </c>
      <c r="AQ210">
        <f t="shared" si="19"/>
        <v>2021</v>
      </c>
    </row>
    <row r="211" spans="1:43" x14ac:dyDescent="0.35">
      <c r="A211">
        <v>1379</v>
      </c>
      <c r="B211">
        <v>31</v>
      </c>
      <c r="C211" t="s">
        <v>144</v>
      </c>
      <c r="D211" t="s">
        <v>151</v>
      </c>
      <c r="E211" t="s">
        <v>158</v>
      </c>
      <c r="F211" t="s">
        <v>38</v>
      </c>
      <c r="G211" t="s">
        <v>43</v>
      </c>
      <c r="H211" t="s">
        <v>81</v>
      </c>
      <c r="I211" t="s">
        <v>42</v>
      </c>
      <c r="J211" t="s">
        <v>166</v>
      </c>
      <c r="K211" t="s">
        <v>44</v>
      </c>
      <c r="L211" t="s">
        <v>147</v>
      </c>
      <c r="M211" t="s">
        <v>50</v>
      </c>
      <c r="N211" t="s">
        <v>95</v>
      </c>
      <c r="P211" t="s">
        <v>148</v>
      </c>
      <c r="Q211">
        <v>14</v>
      </c>
      <c r="R211">
        <v>7</v>
      </c>
      <c r="S211">
        <v>3</v>
      </c>
      <c r="T211">
        <v>0</v>
      </c>
      <c r="U211">
        <v>0</v>
      </c>
      <c r="V211">
        <v>2</v>
      </c>
      <c r="W211">
        <v>90</v>
      </c>
      <c r="X211">
        <v>703</v>
      </c>
      <c r="Y211">
        <v>11882</v>
      </c>
      <c r="Z211">
        <v>2785</v>
      </c>
      <c r="AA211">
        <v>3</v>
      </c>
      <c r="AB211" s="29">
        <v>44773</v>
      </c>
      <c r="AC211" s="29">
        <v>33667</v>
      </c>
      <c r="AD211" s="29">
        <v>44574</v>
      </c>
      <c r="AE211" s="29">
        <v>44581</v>
      </c>
      <c r="AF211">
        <v>0</v>
      </c>
      <c r="AG211" t="s">
        <v>149</v>
      </c>
      <c r="AH211">
        <v>2</v>
      </c>
      <c r="AI211">
        <v>31</v>
      </c>
      <c r="AJ211">
        <v>2</v>
      </c>
      <c r="AK211" t="s">
        <v>171</v>
      </c>
      <c r="AL211" t="s">
        <v>77</v>
      </c>
      <c r="AM211">
        <f t="shared" si="15"/>
        <v>1</v>
      </c>
      <c r="AN211">
        <f t="shared" si="16"/>
        <v>1</v>
      </c>
      <c r="AO211">
        <f t="shared" si="17"/>
        <v>1</v>
      </c>
      <c r="AP211">
        <f t="shared" si="18"/>
        <v>1</v>
      </c>
      <c r="AQ211">
        <f t="shared" si="19"/>
        <v>2022</v>
      </c>
    </row>
    <row r="212" spans="1:43" x14ac:dyDescent="0.35">
      <c r="A212">
        <v>648</v>
      </c>
      <c r="B212">
        <v>30</v>
      </c>
      <c r="C212" t="s">
        <v>144</v>
      </c>
      <c r="D212" t="s">
        <v>151</v>
      </c>
      <c r="E212" t="s">
        <v>158</v>
      </c>
      <c r="F212" t="s">
        <v>37</v>
      </c>
      <c r="G212" t="s">
        <v>42</v>
      </c>
      <c r="H212" t="s">
        <v>82</v>
      </c>
      <c r="I212" t="s">
        <v>42</v>
      </c>
      <c r="J212" t="s">
        <v>166</v>
      </c>
      <c r="K212" t="s">
        <v>41</v>
      </c>
      <c r="L212" t="s">
        <v>147</v>
      </c>
      <c r="M212" t="s">
        <v>50</v>
      </c>
      <c r="N212" t="s">
        <v>160</v>
      </c>
      <c r="O212" t="s">
        <v>41</v>
      </c>
      <c r="P212" t="s">
        <v>148</v>
      </c>
      <c r="Q212">
        <v>18</v>
      </c>
      <c r="R212">
        <v>1</v>
      </c>
      <c r="S212">
        <v>1</v>
      </c>
      <c r="T212">
        <v>0</v>
      </c>
      <c r="U212">
        <v>0</v>
      </c>
      <c r="V212">
        <v>12</v>
      </c>
      <c r="W212">
        <v>74</v>
      </c>
      <c r="X212">
        <v>448</v>
      </c>
      <c r="Y212">
        <v>14470</v>
      </c>
      <c r="Z212">
        <v>2033</v>
      </c>
      <c r="AA212">
        <v>2</v>
      </c>
      <c r="AB212" s="29">
        <v>44773</v>
      </c>
      <c r="AC212" s="29">
        <v>34022</v>
      </c>
      <c r="AD212" s="29">
        <v>44355</v>
      </c>
      <c r="AE212" s="29">
        <v>44582</v>
      </c>
      <c r="AF212">
        <v>1</v>
      </c>
      <c r="AG212" t="s">
        <v>149</v>
      </c>
      <c r="AH212">
        <v>1</v>
      </c>
      <c r="AI212">
        <v>29</v>
      </c>
      <c r="AJ212">
        <v>1</v>
      </c>
      <c r="AK212" t="s">
        <v>170</v>
      </c>
      <c r="AL212" t="s">
        <v>78</v>
      </c>
      <c r="AM212">
        <f t="shared" si="15"/>
        <v>2</v>
      </c>
      <c r="AN212">
        <f t="shared" si="16"/>
        <v>6</v>
      </c>
      <c r="AO212">
        <f t="shared" si="17"/>
        <v>1</v>
      </c>
      <c r="AP212">
        <f t="shared" si="18"/>
        <v>1</v>
      </c>
      <c r="AQ212">
        <f t="shared" si="19"/>
        <v>2021</v>
      </c>
    </row>
    <row r="213" spans="1:43" x14ac:dyDescent="0.35">
      <c r="A213">
        <v>243</v>
      </c>
      <c r="B213">
        <v>19</v>
      </c>
      <c r="C213" t="s">
        <v>144</v>
      </c>
      <c r="D213" t="s">
        <v>145</v>
      </c>
      <c r="E213" t="s">
        <v>4</v>
      </c>
      <c r="F213" t="s">
        <v>38</v>
      </c>
      <c r="G213" t="s">
        <v>42</v>
      </c>
      <c r="H213" t="s">
        <v>82</v>
      </c>
      <c r="I213" t="s">
        <v>42</v>
      </c>
      <c r="J213" t="s">
        <v>155</v>
      </c>
      <c r="K213" t="s">
        <v>44</v>
      </c>
      <c r="L213" t="s">
        <v>152</v>
      </c>
      <c r="M213" t="s">
        <v>48</v>
      </c>
      <c r="N213" t="s">
        <v>95</v>
      </c>
      <c r="P213" t="s">
        <v>148</v>
      </c>
      <c r="Q213">
        <v>22</v>
      </c>
      <c r="R213">
        <v>1</v>
      </c>
      <c r="S213">
        <v>1</v>
      </c>
      <c r="T213">
        <v>1</v>
      </c>
      <c r="U213">
        <v>0</v>
      </c>
      <c r="V213">
        <v>2</v>
      </c>
      <c r="W213">
        <v>47</v>
      </c>
      <c r="X213">
        <v>303</v>
      </c>
      <c r="Y213">
        <v>9241</v>
      </c>
      <c r="Z213">
        <v>1102</v>
      </c>
      <c r="AA213">
        <v>3</v>
      </c>
      <c r="AB213" s="29">
        <v>44773</v>
      </c>
      <c r="AC213" s="29">
        <v>38180</v>
      </c>
      <c r="AD213" s="29">
        <v>44379</v>
      </c>
      <c r="AE213" s="29">
        <v>44598</v>
      </c>
      <c r="AF213">
        <v>1</v>
      </c>
      <c r="AG213" t="s">
        <v>172</v>
      </c>
      <c r="AH213">
        <v>1</v>
      </c>
      <c r="AI213">
        <v>18</v>
      </c>
      <c r="AJ213">
        <v>2</v>
      </c>
      <c r="AK213" t="s">
        <v>170</v>
      </c>
      <c r="AL213" t="s">
        <v>77</v>
      </c>
      <c r="AM213">
        <f t="shared" si="15"/>
        <v>3</v>
      </c>
      <c r="AN213">
        <f t="shared" si="16"/>
        <v>7</v>
      </c>
      <c r="AO213">
        <f t="shared" si="17"/>
        <v>1</v>
      </c>
      <c r="AP213">
        <f t="shared" si="18"/>
        <v>2</v>
      </c>
      <c r="AQ213">
        <f t="shared" si="19"/>
        <v>2021</v>
      </c>
    </row>
    <row r="214" spans="1:43" x14ac:dyDescent="0.35">
      <c r="A214">
        <v>811</v>
      </c>
      <c r="B214">
        <v>23</v>
      </c>
      <c r="C214" t="s">
        <v>144</v>
      </c>
      <c r="D214" t="s">
        <v>145</v>
      </c>
      <c r="E214" t="s">
        <v>4</v>
      </c>
      <c r="F214" t="s">
        <v>38</v>
      </c>
      <c r="G214" t="s">
        <v>43</v>
      </c>
      <c r="H214" t="s">
        <v>82</v>
      </c>
      <c r="I214" t="s">
        <v>44</v>
      </c>
      <c r="J214" t="s">
        <v>155</v>
      </c>
      <c r="K214" t="s">
        <v>41</v>
      </c>
      <c r="L214" t="s">
        <v>152</v>
      </c>
      <c r="M214" t="s">
        <v>49</v>
      </c>
      <c r="N214" t="s">
        <v>160</v>
      </c>
      <c r="O214" t="s">
        <v>156</v>
      </c>
      <c r="P214" t="s">
        <v>144</v>
      </c>
      <c r="Q214">
        <v>21</v>
      </c>
      <c r="R214">
        <v>1</v>
      </c>
      <c r="S214">
        <v>2</v>
      </c>
      <c r="T214">
        <v>0</v>
      </c>
      <c r="U214">
        <v>0</v>
      </c>
      <c r="V214">
        <v>6</v>
      </c>
      <c r="W214">
        <v>63</v>
      </c>
      <c r="X214">
        <v>1243</v>
      </c>
      <c r="Y214">
        <v>3445</v>
      </c>
      <c r="Z214">
        <v>1601</v>
      </c>
      <c r="AA214">
        <v>2</v>
      </c>
      <c r="AB214" s="29">
        <v>44773</v>
      </c>
      <c r="AC214" s="29">
        <v>36401</v>
      </c>
      <c r="AD214" s="29">
        <v>44229</v>
      </c>
      <c r="AE214" s="29">
        <v>44603</v>
      </c>
      <c r="AF214">
        <v>1</v>
      </c>
      <c r="AG214" t="s">
        <v>157</v>
      </c>
      <c r="AH214">
        <v>1</v>
      </c>
      <c r="AI214">
        <v>22</v>
      </c>
      <c r="AJ214">
        <v>1</v>
      </c>
      <c r="AK214" t="s">
        <v>170</v>
      </c>
      <c r="AL214" t="s">
        <v>77</v>
      </c>
      <c r="AM214">
        <f t="shared" si="15"/>
        <v>1</v>
      </c>
      <c r="AN214">
        <f t="shared" si="16"/>
        <v>2</v>
      </c>
      <c r="AO214">
        <f t="shared" si="17"/>
        <v>1</v>
      </c>
      <c r="AP214">
        <f t="shared" si="18"/>
        <v>2</v>
      </c>
      <c r="AQ214">
        <f t="shared" si="19"/>
        <v>2021</v>
      </c>
    </row>
    <row r="215" spans="1:43" x14ac:dyDescent="0.35">
      <c r="A215">
        <v>994</v>
      </c>
      <c r="B215">
        <v>29</v>
      </c>
      <c r="C215" t="s">
        <v>144</v>
      </c>
      <c r="D215" t="s">
        <v>145</v>
      </c>
      <c r="E215" t="s">
        <v>4</v>
      </c>
      <c r="F215" t="s">
        <v>38</v>
      </c>
      <c r="G215" t="s">
        <v>44</v>
      </c>
      <c r="H215" t="s">
        <v>81</v>
      </c>
      <c r="I215" t="s">
        <v>42</v>
      </c>
      <c r="J215" t="s">
        <v>146</v>
      </c>
      <c r="K215" t="s">
        <v>41</v>
      </c>
      <c r="L215" t="s">
        <v>152</v>
      </c>
      <c r="M215" t="s">
        <v>49</v>
      </c>
      <c r="N215" t="s">
        <v>95</v>
      </c>
      <c r="P215" t="s">
        <v>144</v>
      </c>
      <c r="Q215">
        <v>20</v>
      </c>
      <c r="R215">
        <v>6</v>
      </c>
      <c r="S215">
        <v>3</v>
      </c>
      <c r="T215">
        <v>0</v>
      </c>
      <c r="U215">
        <v>0</v>
      </c>
      <c r="V215">
        <v>10</v>
      </c>
      <c r="W215">
        <v>92</v>
      </c>
      <c r="X215">
        <v>906</v>
      </c>
      <c r="Y215">
        <v>11479</v>
      </c>
      <c r="Z215">
        <v>2404</v>
      </c>
      <c r="AA215">
        <v>5</v>
      </c>
      <c r="AB215" s="29">
        <v>44773</v>
      </c>
      <c r="AC215" s="29">
        <v>34349</v>
      </c>
      <c r="AD215" s="29">
        <v>44250</v>
      </c>
      <c r="AE215" s="29">
        <v>44603</v>
      </c>
      <c r="AF215">
        <v>1</v>
      </c>
      <c r="AG215" t="s">
        <v>157</v>
      </c>
      <c r="AH215">
        <v>1</v>
      </c>
      <c r="AI215">
        <v>28</v>
      </c>
      <c r="AJ215">
        <v>1</v>
      </c>
      <c r="AK215" t="s">
        <v>170</v>
      </c>
      <c r="AL215" t="s">
        <v>77</v>
      </c>
      <c r="AM215">
        <f t="shared" si="15"/>
        <v>1</v>
      </c>
      <c r="AN215">
        <f t="shared" si="16"/>
        <v>2</v>
      </c>
      <c r="AO215">
        <f t="shared" si="17"/>
        <v>1</v>
      </c>
      <c r="AP215">
        <f t="shared" si="18"/>
        <v>2</v>
      </c>
      <c r="AQ215">
        <f t="shared" si="19"/>
        <v>2021</v>
      </c>
    </row>
    <row r="216" spans="1:43" x14ac:dyDescent="0.35">
      <c r="A216">
        <v>1569</v>
      </c>
      <c r="B216">
        <v>35</v>
      </c>
      <c r="C216" t="s">
        <v>144</v>
      </c>
      <c r="D216" t="s">
        <v>145</v>
      </c>
      <c r="E216" t="s">
        <v>4</v>
      </c>
      <c r="F216" t="s">
        <v>38</v>
      </c>
      <c r="G216" t="s">
        <v>41</v>
      </c>
      <c r="H216" t="s">
        <v>81</v>
      </c>
      <c r="I216" t="s">
        <v>43</v>
      </c>
      <c r="J216" t="s">
        <v>155</v>
      </c>
      <c r="K216" t="s">
        <v>41</v>
      </c>
      <c r="L216" t="s">
        <v>41</v>
      </c>
      <c r="M216" t="s">
        <v>49</v>
      </c>
      <c r="N216" t="s">
        <v>96</v>
      </c>
      <c r="O216" t="s">
        <v>41</v>
      </c>
      <c r="P216" t="s">
        <v>144</v>
      </c>
      <c r="Q216">
        <v>12</v>
      </c>
      <c r="R216">
        <v>1</v>
      </c>
      <c r="S216">
        <v>1</v>
      </c>
      <c r="T216">
        <v>0</v>
      </c>
      <c r="U216">
        <v>0</v>
      </c>
      <c r="V216">
        <v>2</v>
      </c>
      <c r="W216">
        <v>69</v>
      </c>
      <c r="X216">
        <v>104</v>
      </c>
      <c r="Y216">
        <v>26619</v>
      </c>
      <c r="Z216">
        <v>2074</v>
      </c>
      <c r="AA216">
        <v>2</v>
      </c>
      <c r="AB216" s="29">
        <v>44773</v>
      </c>
      <c r="AC216" s="29">
        <v>32130</v>
      </c>
      <c r="AD216" s="29">
        <v>44377</v>
      </c>
      <c r="AE216" s="29">
        <v>44608</v>
      </c>
      <c r="AF216">
        <v>1</v>
      </c>
      <c r="AG216" t="s">
        <v>149</v>
      </c>
      <c r="AH216">
        <v>1</v>
      </c>
      <c r="AI216">
        <v>34</v>
      </c>
      <c r="AJ216">
        <v>2</v>
      </c>
      <c r="AK216" t="s">
        <v>170</v>
      </c>
      <c r="AL216" t="s">
        <v>77</v>
      </c>
      <c r="AM216">
        <f t="shared" si="15"/>
        <v>2</v>
      </c>
      <c r="AN216">
        <f t="shared" si="16"/>
        <v>6</v>
      </c>
      <c r="AO216">
        <f t="shared" si="17"/>
        <v>1</v>
      </c>
      <c r="AP216">
        <f t="shared" si="18"/>
        <v>2</v>
      </c>
      <c r="AQ216">
        <f t="shared" si="19"/>
        <v>2021</v>
      </c>
    </row>
    <row r="217" spans="1:43" x14ac:dyDescent="0.35">
      <c r="A217">
        <v>622</v>
      </c>
      <c r="B217">
        <v>26</v>
      </c>
      <c r="C217" t="s">
        <v>144</v>
      </c>
      <c r="D217" t="s">
        <v>145</v>
      </c>
      <c r="E217" t="s">
        <v>4</v>
      </c>
      <c r="F217" t="s">
        <v>38</v>
      </c>
      <c r="G217" t="s">
        <v>43</v>
      </c>
      <c r="H217" t="s">
        <v>82</v>
      </c>
      <c r="I217" t="s">
        <v>41</v>
      </c>
      <c r="J217" t="s">
        <v>155</v>
      </c>
      <c r="K217" t="s">
        <v>44</v>
      </c>
      <c r="L217" t="s">
        <v>48</v>
      </c>
      <c r="M217" t="s">
        <v>47</v>
      </c>
      <c r="N217" t="s">
        <v>95</v>
      </c>
      <c r="P217" t="s">
        <v>144</v>
      </c>
      <c r="Q217">
        <v>18</v>
      </c>
      <c r="R217">
        <v>1</v>
      </c>
      <c r="S217">
        <v>1</v>
      </c>
      <c r="T217">
        <v>0</v>
      </c>
      <c r="U217">
        <v>0</v>
      </c>
      <c r="V217">
        <v>24</v>
      </c>
      <c r="W217">
        <v>66</v>
      </c>
      <c r="X217">
        <v>471</v>
      </c>
      <c r="Y217">
        <v>23213</v>
      </c>
      <c r="Z217">
        <v>2340</v>
      </c>
      <c r="AA217">
        <v>3</v>
      </c>
      <c r="AB217" s="29">
        <v>44773</v>
      </c>
      <c r="AC217" s="29">
        <v>35512</v>
      </c>
      <c r="AD217" s="29">
        <v>44282</v>
      </c>
      <c r="AE217" s="29">
        <v>44616</v>
      </c>
      <c r="AF217">
        <v>1</v>
      </c>
      <c r="AG217" t="s">
        <v>157</v>
      </c>
      <c r="AH217">
        <v>2</v>
      </c>
      <c r="AI217">
        <v>25</v>
      </c>
      <c r="AJ217">
        <v>1</v>
      </c>
      <c r="AK217" t="s">
        <v>170</v>
      </c>
      <c r="AL217" t="s">
        <v>77</v>
      </c>
      <c r="AM217">
        <f t="shared" si="15"/>
        <v>1</v>
      </c>
      <c r="AN217">
        <f t="shared" si="16"/>
        <v>3</v>
      </c>
      <c r="AO217">
        <f t="shared" si="17"/>
        <v>1</v>
      </c>
      <c r="AP217">
        <f t="shared" si="18"/>
        <v>2</v>
      </c>
      <c r="AQ217">
        <f t="shared" si="19"/>
        <v>2021</v>
      </c>
    </row>
    <row r="218" spans="1:43" x14ac:dyDescent="0.35">
      <c r="A218">
        <v>1111</v>
      </c>
      <c r="B218">
        <v>28</v>
      </c>
      <c r="C218" t="s">
        <v>144</v>
      </c>
      <c r="D218" t="s">
        <v>151</v>
      </c>
      <c r="E218" t="s">
        <v>4</v>
      </c>
      <c r="F218" t="s">
        <v>38</v>
      </c>
      <c r="G218" t="s">
        <v>41</v>
      </c>
      <c r="H218" t="s">
        <v>82</v>
      </c>
      <c r="I218" t="s">
        <v>42</v>
      </c>
      <c r="J218" t="s">
        <v>155</v>
      </c>
      <c r="K218" t="s">
        <v>42</v>
      </c>
      <c r="L218" t="s">
        <v>41</v>
      </c>
      <c r="M218" t="s">
        <v>49</v>
      </c>
      <c r="N218" t="s">
        <v>96</v>
      </c>
      <c r="O218" t="s">
        <v>156</v>
      </c>
      <c r="P218" t="s">
        <v>148</v>
      </c>
      <c r="Q218">
        <v>15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45</v>
      </c>
      <c r="X218">
        <v>1009</v>
      </c>
      <c r="Y218">
        <v>7160</v>
      </c>
      <c r="Z218">
        <v>2596</v>
      </c>
      <c r="AA218">
        <v>2</v>
      </c>
      <c r="AB218" s="29">
        <v>44773</v>
      </c>
      <c r="AC218" s="29">
        <v>34862</v>
      </c>
      <c r="AD218" s="29">
        <v>44368</v>
      </c>
      <c r="AE218" s="29">
        <v>44617</v>
      </c>
      <c r="AF218">
        <v>1</v>
      </c>
      <c r="AG218" t="s">
        <v>157</v>
      </c>
      <c r="AH218">
        <v>1</v>
      </c>
      <c r="AI218">
        <v>27</v>
      </c>
      <c r="AJ218">
        <v>2</v>
      </c>
      <c r="AK218" t="s">
        <v>170</v>
      </c>
      <c r="AL218" t="s">
        <v>77</v>
      </c>
      <c r="AM218">
        <f t="shared" si="15"/>
        <v>2</v>
      </c>
      <c r="AN218">
        <f t="shared" si="16"/>
        <v>6</v>
      </c>
      <c r="AO218">
        <f t="shared" si="17"/>
        <v>1</v>
      </c>
      <c r="AP218">
        <f t="shared" si="18"/>
        <v>2</v>
      </c>
      <c r="AQ218">
        <f t="shared" si="19"/>
        <v>2021</v>
      </c>
    </row>
    <row r="219" spans="1:43" x14ac:dyDescent="0.35">
      <c r="A219">
        <v>342</v>
      </c>
      <c r="B219">
        <v>37</v>
      </c>
      <c r="C219" t="s">
        <v>144</v>
      </c>
      <c r="D219" t="s">
        <v>151</v>
      </c>
      <c r="E219" t="s">
        <v>4</v>
      </c>
      <c r="F219" t="s">
        <v>38</v>
      </c>
      <c r="G219" t="s">
        <v>41</v>
      </c>
      <c r="H219" t="s">
        <v>82</v>
      </c>
      <c r="I219" t="s">
        <v>43</v>
      </c>
      <c r="J219" t="s">
        <v>165</v>
      </c>
      <c r="K219" t="s">
        <v>43</v>
      </c>
      <c r="L219" t="s">
        <v>147</v>
      </c>
      <c r="M219" t="s">
        <v>49</v>
      </c>
      <c r="N219" t="s">
        <v>96</v>
      </c>
      <c r="O219" t="s">
        <v>156</v>
      </c>
      <c r="P219" t="s">
        <v>148</v>
      </c>
      <c r="Q219">
        <v>11</v>
      </c>
      <c r="R219">
        <v>6</v>
      </c>
      <c r="S219">
        <v>17</v>
      </c>
      <c r="T219">
        <v>0</v>
      </c>
      <c r="U219">
        <v>0</v>
      </c>
      <c r="V219">
        <v>10</v>
      </c>
      <c r="W219">
        <v>61</v>
      </c>
      <c r="X219">
        <v>504</v>
      </c>
      <c r="Y219">
        <v>22573</v>
      </c>
      <c r="Z219">
        <v>10048</v>
      </c>
      <c r="AA219">
        <v>5</v>
      </c>
      <c r="AB219" s="29">
        <v>44773</v>
      </c>
      <c r="AC219" s="29">
        <v>31260</v>
      </c>
      <c r="AD219" s="29">
        <v>44433</v>
      </c>
      <c r="AE219" s="29">
        <v>44620</v>
      </c>
      <c r="AF219">
        <v>1</v>
      </c>
      <c r="AG219" t="s">
        <v>149</v>
      </c>
      <c r="AH219">
        <v>1</v>
      </c>
      <c r="AI219">
        <v>36</v>
      </c>
      <c r="AJ219">
        <v>1</v>
      </c>
      <c r="AK219" t="s">
        <v>170</v>
      </c>
      <c r="AL219" t="s">
        <v>77</v>
      </c>
      <c r="AM219">
        <f t="shared" si="15"/>
        <v>3</v>
      </c>
      <c r="AN219">
        <f t="shared" si="16"/>
        <v>8</v>
      </c>
      <c r="AO219">
        <f t="shared" si="17"/>
        <v>1</v>
      </c>
      <c r="AP219">
        <f t="shared" si="18"/>
        <v>2</v>
      </c>
      <c r="AQ219">
        <f t="shared" si="19"/>
        <v>2021</v>
      </c>
    </row>
    <row r="220" spans="1:43" x14ac:dyDescent="0.35">
      <c r="A220">
        <v>261</v>
      </c>
      <c r="B220">
        <v>35</v>
      </c>
      <c r="C220" t="s">
        <v>144</v>
      </c>
      <c r="D220" t="s">
        <v>145</v>
      </c>
      <c r="E220" t="s">
        <v>4</v>
      </c>
      <c r="F220" t="s">
        <v>36</v>
      </c>
      <c r="G220" t="s">
        <v>42</v>
      </c>
      <c r="H220" t="s">
        <v>82</v>
      </c>
      <c r="I220" t="s">
        <v>42</v>
      </c>
      <c r="J220" t="s">
        <v>165</v>
      </c>
      <c r="K220" t="s">
        <v>43</v>
      </c>
      <c r="L220" t="s">
        <v>48</v>
      </c>
      <c r="M220" t="s">
        <v>49</v>
      </c>
      <c r="N220" t="s">
        <v>160</v>
      </c>
      <c r="P220" t="s">
        <v>144</v>
      </c>
      <c r="Q220">
        <v>13</v>
      </c>
      <c r="R220">
        <v>3</v>
      </c>
      <c r="S220">
        <v>8</v>
      </c>
      <c r="T220">
        <v>0</v>
      </c>
      <c r="U220">
        <v>0</v>
      </c>
      <c r="V220">
        <v>23</v>
      </c>
      <c r="W220">
        <v>50</v>
      </c>
      <c r="X220">
        <v>556</v>
      </c>
      <c r="Y220">
        <v>15497</v>
      </c>
      <c r="Z220">
        <v>5916</v>
      </c>
      <c r="AA220">
        <v>1</v>
      </c>
      <c r="AB220" s="29">
        <v>44773</v>
      </c>
      <c r="AC220" s="29">
        <v>32007</v>
      </c>
      <c r="AD220" s="29">
        <v>44630</v>
      </c>
      <c r="AE220" s="29">
        <v>44664</v>
      </c>
      <c r="AF220">
        <v>0</v>
      </c>
      <c r="AG220" t="s">
        <v>149</v>
      </c>
      <c r="AH220">
        <v>2</v>
      </c>
      <c r="AI220">
        <v>35</v>
      </c>
      <c r="AJ220">
        <v>2</v>
      </c>
      <c r="AK220" t="s">
        <v>171</v>
      </c>
      <c r="AL220" t="s">
        <v>77</v>
      </c>
      <c r="AM220">
        <f t="shared" si="15"/>
        <v>1</v>
      </c>
      <c r="AN220">
        <f t="shared" si="16"/>
        <v>3</v>
      </c>
      <c r="AO220">
        <f t="shared" si="17"/>
        <v>2</v>
      </c>
      <c r="AP220">
        <f t="shared" si="18"/>
        <v>4</v>
      </c>
      <c r="AQ220">
        <f t="shared" si="19"/>
        <v>2022</v>
      </c>
    </row>
    <row r="221" spans="1:43" x14ac:dyDescent="0.35">
      <c r="A221">
        <v>1868</v>
      </c>
      <c r="B221">
        <v>29</v>
      </c>
      <c r="C221" t="s">
        <v>144</v>
      </c>
      <c r="D221" t="s">
        <v>151</v>
      </c>
      <c r="E221" t="s">
        <v>4</v>
      </c>
      <c r="F221" t="s">
        <v>36</v>
      </c>
      <c r="G221" t="s">
        <v>44</v>
      </c>
      <c r="H221" t="s">
        <v>82</v>
      </c>
      <c r="I221" t="s">
        <v>42</v>
      </c>
      <c r="J221" t="s">
        <v>146</v>
      </c>
      <c r="K221" t="s">
        <v>44</v>
      </c>
      <c r="L221" t="s">
        <v>152</v>
      </c>
      <c r="M221" t="s">
        <v>48</v>
      </c>
      <c r="N221" t="s">
        <v>95</v>
      </c>
      <c r="P221" t="s">
        <v>144</v>
      </c>
      <c r="Q221">
        <v>24</v>
      </c>
      <c r="R221">
        <v>1</v>
      </c>
      <c r="S221">
        <v>1</v>
      </c>
      <c r="T221">
        <v>1</v>
      </c>
      <c r="U221">
        <v>0</v>
      </c>
      <c r="V221">
        <v>24</v>
      </c>
      <c r="W221">
        <v>73</v>
      </c>
      <c r="X221">
        <v>459</v>
      </c>
      <c r="Y221">
        <v>14753</v>
      </c>
      <c r="Z221">
        <v>2439</v>
      </c>
      <c r="AA221">
        <v>3</v>
      </c>
      <c r="AB221" s="29">
        <v>44773</v>
      </c>
      <c r="AC221" s="29">
        <v>34434</v>
      </c>
      <c r="AD221" s="29">
        <v>44397</v>
      </c>
      <c r="AE221" s="29">
        <v>44665</v>
      </c>
      <c r="AF221">
        <v>1</v>
      </c>
      <c r="AG221" t="s">
        <v>157</v>
      </c>
      <c r="AH221">
        <v>1</v>
      </c>
      <c r="AI221">
        <v>28</v>
      </c>
      <c r="AJ221">
        <v>2</v>
      </c>
      <c r="AK221" t="s">
        <v>170</v>
      </c>
      <c r="AL221" t="s">
        <v>77</v>
      </c>
      <c r="AM221">
        <f t="shared" si="15"/>
        <v>3</v>
      </c>
      <c r="AN221">
        <f t="shared" si="16"/>
        <v>7</v>
      </c>
      <c r="AO221">
        <f t="shared" si="17"/>
        <v>2</v>
      </c>
      <c r="AP221">
        <f t="shared" si="18"/>
        <v>4</v>
      </c>
      <c r="AQ221">
        <f t="shared" si="19"/>
        <v>2021</v>
      </c>
    </row>
    <row r="222" spans="1:43" x14ac:dyDescent="0.35">
      <c r="A222">
        <v>1433</v>
      </c>
      <c r="B222">
        <v>31</v>
      </c>
      <c r="C222" t="s">
        <v>144</v>
      </c>
      <c r="D222" t="s">
        <v>145</v>
      </c>
      <c r="E222" t="s">
        <v>4</v>
      </c>
      <c r="F222" t="s">
        <v>38</v>
      </c>
      <c r="G222" t="s">
        <v>41</v>
      </c>
      <c r="H222" t="s">
        <v>81</v>
      </c>
      <c r="I222" t="s">
        <v>42</v>
      </c>
      <c r="J222" t="s">
        <v>146</v>
      </c>
      <c r="K222" t="s">
        <v>42</v>
      </c>
      <c r="L222" t="s">
        <v>147</v>
      </c>
      <c r="M222" t="s">
        <v>50</v>
      </c>
      <c r="N222" t="s">
        <v>95</v>
      </c>
      <c r="P222" t="s">
        <v>148</v>
      </c>
      <c r="Q222">
        <v>12</v>
      </c>
      <c r="R222">
        <v>1</v>
      </c>
      <c r="S222">
        <v>1</v>
      </c>
      <c r="T222">
        <v>0</v>
      </c>
      <c r="U222">
        <v>0</v>
      </c>
      <c r="V222">
        <v>8</v>
      </c>
      <c r="W222">
        <v>34</v>
      </c>
      <c r="X222">
        <v>202</v>
      </c>
      <c r="Y222">
        <v>22262</v>
      </c>
      <c r="Z222">
        <v>1261</v>
      </c>
      <c r="AA222">
        <v>3</v>
      </c>
      <c r="AB222" s="29">
        <v>44773</v>
      </c>
      <c r="AC222" s="29">
        <v>33657</v>
      </c>
      <c r="AD222" s="29">
        <v>44352</v>
      </c>
      <c r="AE222" s="29">
        <v>44668</v>
      </c>
      <c r="AF222">
        <v>1</v>
      </c>
      <c r="AG222" t="s">
        <v>149</v>
      </c>
      <c r="AH222">
        <v>1</v>
      </c>
      <c r="AI222">
        <v>30</v>
      </c>
      <c r="AJ222">
        <v>2</v>
      </c>
      <c r="AK222" t="s">
        <v>170</v>
      </c>
      <c r="AL222" t="s">
        <v>78</v>
      </c>
      <c r="AM222">
        <f t="shared" si="15"/>
        <v>2</v>
      </c>
      <c r="AN222">
        <f t="shared" si="16"/>
        <v>6</v>
      </c>
      <c r="AO222">
        <f t="shared" si="17"/>
        <v>2</v>
      </c>
      <c r="AP222">
        <f t="shared" si="18"/>
        <v>4</v>
      </c>
      <c r="AQ222">
        <f t="shared" si="19"/>
        <v>2021</v>
      </c>
    </row>
    <row r="223" spans="1:43" x14ac:dyDescent="0.35">
      <c r="A223">
        <v>1878</v>
      </c>
      <c r="B223">
        <v>22</v>
      </c>
      <c r="C223" t="s">
        <v>144</v>
      </c>
      <c r="D223" t="s">
        <v>145</v>
      </c>
      <c r="E223" t="s">
        <v>4</v>
      </c>
      <c r="F223" t="s">
        <v>35</v>
      </c>
      <c r="G223" t="s">
        <v>44</v>
      </c>
      <c r="H223" t="s">
        <v>82</v>
      </c>
      <c r="I223" t="s">
        <v>43</v>
      </c>
      <c r="J223" t="s">
        <v>146</v>
      </c>
      <c r="K223" t="s">
        <v>42</v>
      </c>
      <c r="L223" t="s">
        <v>152</v>
      </c>
      <c r="M223" t="s">
        <v>49</v>
      </c>
      <c r="N223" t="s">
        <v>95</v>
      </c>
      <c r="P223" t="s">
        <v>144</v>
      </c>
      <c r="Q223">
        <v>23</v>
      </c>
      <c r="R223">
        <v>1</v>
      </c>
      <c r="S223">
        <v>1</v>
      </c>
      <c r="T223">
        <v>0</v>
      </c>
      <c r="U223">
        <v>0</v>
      </c>
      <c r="V223">
        <v>7</v>
      </c>
      <c r="W223">
        <v>75</v>
      </c>
      <c r="X223">
        <v>391</v>
      </c>
      <c r="Y223">
        <v>26092</v>
      </c>
      <c r="Z223">
        <v>2472</v>
      </c>
      <c r="AA223">
        <v>2</v>
      </c>
      <c r="AB223" s="29">
        <v>44773</v>
      </c>
      <c r="AC223" s="29">
        <v>36939</v>
      </c>
      <c r="AD223" s="29">
        <v>44677</v>
      </c>
      <c r="AE223" s="29">
        <v>44681</v>
      </c>
      <c r="AF223">
        <v>0</v>
      </c>
      <c r="AG223" t="s">
        <v>157</v>
      </c>
      <c r="AH223">
        <v>2</v>
      </c>
      <c r="AI223">
        <v>22</v>
      </c>
      <c r="AJ223">
        <v>1</v>
      </c>
      <c r="AK223" t="s">
        <v>171</v>
      </c>
      <c r="AL223" t="s">
        <v>77</v>
      </c>
      <c r="AM223">
        <f t="shared" si="15"/>
        <v>2</v>
      </c>
      <c r="AN223">
        <f t="shared" si="16"/>
        <v>4</v>
      </c>
      <c r="AO223">
        <f t="shared" si="17"/>
        <v>2</v>
      </c>
      <c r="AP223">
        <f t="shared" si="18"/>
        <v>4</v>
      </c>
      <c r="AQ223">
        <f t="shared" si="19"/>
        <v>2022</v>
      </c>
    </row>
    <row r="224" spans="1:43" x14ac:dyDescent="0.35">
      <c r="A224">
        <v>1692</v>
      </c>
      <c r="B224">
        <v>32</v>
      </c>
      <c r="C224" t="s">
        <v>144</v>
      </c>
      <c r="D224" t="s">
        <v>145</v>
      </c>
      <c r="E224" t="s">
        <v>4</v>
      </c>
      <c r="F224" t="s">
        <v>37</v>
      </c>
      <c r="G224" t="s">
        <v>44</v>
      </c>
      <c r="H224" t="s">
        <v>82</v>
      </c>
      <c r="I224" t="s">
        <v>43</v>
      </c>
      <c r="J224" t="s">
        <v>155</v>
      </c>
      <c r="K224" t="s">
        <v>42</v>
      </c>
      <c r="L224" t="s">
        <v>147</v>
      </c>
      <c r="M224" t="s">
        <v>49</v>
      </c>
      <c r="N224" t="s">
        <v>95</v>
      </c>
      <c r="P224" t="s">
        <v>148</v>
      </c>
      <c r="Q224">
        <v>12</v>
      </c>
      <c r="R224">
        <v>1</v>
      </c>
      <c r="S224">
        <v>1</v>
      </c>
      <c r="T224">
        <v>0</v>
      </c>
      <c r="U224">
        <v>0</v>
      </c>
      <c r="V224">
        <v>2</v>
      </c>
      <c r="W224">
        <v>95</v>
      </c>
      <c r="X224">
        <v>1259</v>
      </c>
      <c r="Y224">
        <v>24852</v>
      </c>
      <c r="Z224">
        <v>1393</v>
      </c>
      <c r="AA224">
        <v>2</v>
      </c>
      <c r="AB224" s="29">
        <v>44773</v>
      </c>
      <c r="AC224" s="29">
        <v>33395</v>
      </c>
      <c r="AD224" s="29">
        <v>44372</v>
      </c>
      <c r="AE224" s="29">
        <v>44692</v>
      </c>
      <c r="AF224">
        <v>1</v>
      </c>
      <c r="AG224" t="s">
        <v>149</v>
      </c>
      <c r="AH224">
        <v>1</v>
      </c>
      <c r="AI224">
        <v>31</v>
      </c>
      <c r="AJ224">
        <v>2</v>
      </c>
      <c r="AK224" t="s">
        <v>170</v>
      </c>
      <c r="AL224" t="s">
        <v>77</v>
      </c>
      <c r="AM224">
        <f t="shared" si="15"/>
        <v>2</v>
      </c>
      <c r="AN224">
        <f t="shared" si="16"/>
        <v>6</v>
      </c>
      <c r="AO224">
        <f t="shared" si="17"/>
        <v>2</v>
      </c>
      <c r="AP224">
        <f t="shared" si="18"/>
        <v>5</v>
      </c>
      <c r="AQ224">
        <f t="shared" si="19"/>
        <v>2021</v>
      </c>
    </row>
    <row r="225" spans="1:43" x14ac:dyDescent="0.35">
      <c r="A225">
        <v>514</v>
      </c>
      <c r="B225">
        <v>30</v>
      </c>
      <c r="C225" t="s">
        <v>144</v>
      </c>
      <c r="D225" t="s">
        <v>151</v>
      </c>
      <c r="E225" t="s">
        <v>4</v>
      </c>
      <c r="F225" t="s">
        <v>38</v>
      </c>
      <c r="G225" t="s">
        <v>43</v>
      </c>
      <c r="H225" t="s">
        <v>82</v>
      </c>
      <c r="I225" t="s">
        <v>43</v>
      </c>
      <c r="J225" t="s">
        <v>146</v>
      </c>
      <c r="K225" t="s">
        <v>44</v>
      </c>
      <c r="L225" t="s">
        <v>152</v>
      </c>
      <c r="M225" t="s">
        <v>49</v>
      </c>
      <c r="N225" t="s">
        <v>95</v>
      </c>
      <c r="P225" t="s">
        <v>144</v>
      </c>
      <c r="Q225">
        <v>23</v>
      </c>
      <c r="R225">
        <v>9</v>
      </c>
      <c r="S225">
        <v>3</v>
      </c>
      <c r="T225">
        <v>0</v>
      </c>
      <c r="U225">
        <v>0</v>
      </c>
      <c r="V225">
        <v>4</v>
      </c>
      <c r="W225">
        <v>40</v>
      </c>
      <c r="X225">
        <v>464</v>
      </c>
      <c r="Y225">
        <v>3427</v>
      </c>
      <c r="Z225">
        <v>2285</v>
      </c>
      <c r="AA225">
        <v>4</v>
      </c>
      <c r="AB225" s="29">
        <v>44773</v>
      </c>
      <c r="AC225" s="29">
        <v>34098</v>
      </c>
      <c r="AD225" s="29">
        <v>44639</v>
      </c>
      <c r="AE225" s="29">
        <v>44696</v>
      </c>
      <c r="AF225">
        <v>0</v>
      </c>
      <c r="AG225" t="s">
        <v>149</v>
      </c>
      <c r="AH225">
        <v>1</v>
      </c>
      <c r="AI225">
        <v>30</v>
      </c>
      <c r="AJ225">
        <v>1</v>
      </c>
      <c r="AK225" t="s">
        <v>171</v>
      </c>
      <c r="AL225" t="s">
        <v>77</v>
      </c>
      <c r="AM225">
        <f t="shared" si="15"/>
        <v>1</v>
      </c>
      <c r="AN225">
        <f t="shared" si="16"/>
        <v>3</v>
      </c>
      <c r="AO225">
        <f t="shared" si="17"/>
        <v>2</v>
      </c>
      <c r="AP225">
        <f t="shared" si="18"/>
        <v>5</v>
      </c>
      <c r="AQ225">
        <f t="shared" si="19"/>
        <v>2022</v>
      </c>
    </row>
    <row r="226" spans="1:43" x14ac:dyDescent="0.35">
      <c r="A226">
        <v>55</v>
      </c>
      <c r="B226">
        <v>26</v>
      </c>
      <c r="C226" t="s">
        <v>144</v>
      </c>
      <c r="D226" t="s">
        <v>145</v>
      </c>
      <c r="E226" t="s">
        <v>4</v>
      </c>
      <c r="F226" t="s">
        <v>38</v>
      </c>
      <c r="G226" t="s">
        <v>41</v>
      </c>
      <c r="H226" t="s">
        <v>82</v>
      </c>
      <c r="I226" t="s">
        <v>41</v>
      </c>
      <c r="J226" t="s">
        <v>155</v>
      </c>
      <c r="K226" t="s">
        <v>43</v>
      </c>
      <c r="L226" t="s">
        <v>147</v>
      </c>
      <c r="M226" t="s">
        <v>48</v>
      </c>
      <c r="N226" t="s">
        <v>95</v>
      </c>
      <c r="P226" t="s">
        <v>148</v>
      </c>
      <c r="Q226">
        <v>12</v>
      </c>
      <c r="R226">
        <v>1</v>
      </c>
      <c r="S226">
        <v>1</v>
      </c>
      <c r="T226">
        <v>0</v>
      </c>
      <c r="U226">
        <v>1</v>
      </c>
      <c r="V226">
        <v>25</v>
      </c>
      <c r="W226">
        <v>48</v>
      </c>
      <c r="X226">
        <v>1357</v>
      </c>
      <c r="Y226">
        <v>10558</v>
      </c>
      <c r="Z226">
        <v>2293</v>
      </c>
      <c r="AA226">
        <v>2</v>
      </c>
      <c r="AB226" s="29">
        <v>44773</v>
      </c>
      <c r="AC226" s="29">
        <v>35327</v>
      </c>
      <c r="AD226" s="29">
        <v>44392</v>
      </c>
      <c r="AE226" s="29">
        <v>44702</v>
      </c>
      <c r="AF226">
        <v>1</v>
      </c>
      <c r="AG226" t="s">
        <v>157</v>
      </c>
      <c r="AH226">
        <v>1</v>
      </c>
      <c r="AI226">
        <v>25</v>
      </c>
      <c r="AJ226">
        <v>2</v>
      </c>
      <c r="AK226" t="s">
        <v>170</v>
      </c>
      <c r="AL226" t="s">
        <v>78</v>
      </c>
      <c r="AM226">
        <f t="shared" si="15"/>
        <v>3</v>
      </c>
      <c r="AN226">
        <f t="shared" si="16"/>
        <v>7</v>
      </c>
      <c r="AO226">
        <f t="shared" si="17"/>
        <v>2</v>
      </c>
      <c r="AP226">
        <f t="shared" si="18"/>
        <v>5</v>
      </c>
      <c r="AQ226">
        <f t="shared" si="19"/>
        <v>2021</v>
      </c>
    </row>
    <row r="227" spans="1:43" x14ac:dyDescent="0.35">
      <c r="A227">
        <v>485</v>
      </c>
      <c r="B227">
        <v>33</v>
      </c>
      <c r="C227" t="s">
        <v>144</v>
      </c>
      <c r="D227" t="s">
        <v>145</v>
      </c>
      <c r="E227" t="s">
        <v>158</v>
      </c>
      <c r="F227" t="s">
        <v>38</v>
      </c>
      <c r="G227" t="s">
        <v>44</v>
      </c>
      <c r="H227" t="s">
        <v>81</v>
      </c>
      <c r="I227" t="s">
        <v>43</v>
      </c>
      <c r="J227" t="s">
        <v>166</v>
      </c>
      <c r="K227" t="s">
        <v>43</v>
      </c>
      <c r="L227" t="s">
        <v>147</v>
      </c>
      <c r="M227" t="s">
        <v>49</v>
      </c>
      <c r="N227" t="s">
        <v>95</v>
      </c>
      <c r="P227" t="s">
        <v>144</v>
      </c>
      <c r="Q227">
        <v>13</v>
      </c>
      <c r="R227">
        <v>1</v>
      </c>
      <c r="S227">
        <v>1</v>
      </c>
      <c r="T227">
        <v>0</v>
      </c>
      <c r="U227">
        <v>0</v>
      </c>
      <c r="V227">
        <v>5</v>
      </c>
      <c r="W227">
        <v>34</v>
      </c>
      <c r="X227">
        <v>350</v>
      </c>
      <c r="Y227">
        <v>9150</v>
      </c>
      <c r="Z227">
        <v>2851</v>
      </c>
      <c r="AA227">
        <v>2</v>
      </c>
      <c r="AB227" s="29">
        <v>44773</v>
      </c>
      <c r="AC227" s="29">
        <v>33070</v>
      </c>
      <c r="AD227" s="29">
        <v>44434</v>
      </c>
      <c r="AE227" s="29">
        <v>44710</v>
      </c>
      <c r="AF227">
        <v>1</v>
      </c>
      <c r="AG227" t="s">
        <v>149</v>
      </c>
      <c r="AH227">
        <v>2</v>
      </c>
      <c r="AI227">
        <v>32</v>
      </c>
      <c r="AJ227">
        <v>2</v>
      </c>
      <c r="AK227" t="s">
        <v>170</v>
      </c>
      <c r="AL227" t="s">
        <v>77</v>
      </c>
      <c r="AM227">
        <f t="shared" si="15"/>
        <v>3</v>
      </c>
      <c r="AN227">
        <f t="shared" si="16"/>
        <v>8</v>
      </c>
      <c r="AO227">
        <f t="shared" si="17"/>
        <v>2</v>
      </c>
      <c r="AP227">
        <f t="shared" si="18"/>
        <v>5</v>
      </c>
      <c r="AQ227">
        <f t="shared" si="19"/>
        <v>2021</v>
      </c>
    </row>
    <row r="228" spans="1:43" x14ac:dyDescent="0.35">
      <c r="A228">
        <v>911</v>
      </c>
      <c r="B228">
        <v>32</v>
      </c>
      <c r="C228" t="s">
        <v>144</v>
      </c>
      <c r="D228" t="s">
        <v>145</v>
      </c>
      <c r="E228" t="s">
        <v>4</v>
      </c>
      <c r="F228" t="s">
        <v>37</v>
      </c>
      <c r="G228" t="s">
        <v>41</v>
      </c>
      <c r="H228" t="s">
        <v>82</v>
      </c>
      <c r="I228" t="s">
        <v>43</v>
      </c>
      <c r="J228" t="s">
        <v>155</v>
      </c>
      <c r="K228" t="s">
        <v>44</v>
      </c>
      <c r="L228" t="s">
        <v>152</v>
      </c>
      <c r="M228" t="s">
        <v>47</v>
      </c>
      <c r="N228" t="s">
        <v>95</v>
      </c>
      <c r="P228" t="s">
        <v>144</v>
      </c>
      <c r="Q228">
        <v>24</v>
      </c>
      <c r="R228">
        <v>1</v>
      </c>
      <c r="S228">
        <v>1</v>
      </c>
      <c r="T228">
        <v>0</v>
      </c>
      <c r="U228">
        <v>1</v>
      </c>
      <c r="V228">
        <v>25</v>
      </c>
      <c r="W228">
        <v>87</v>
      </c>
      <c r="X228">
        <v>374</v>
      </c>
      <c r="Y228">
        <v>18016</v>
      </c>
      <c r="Z228">
        <v>2795</v>
      </c>
      <c r="AA228">
        <v>2</v>
      </c>
      <c r="AB228" s="29">
        <v>44773</v>
      </c>
      <c r="AC228" s="29">
        <v>33316</v>
      </c>
      <c r="AD228" s="29">
        <v>44420</v>
      </c>
      <c r="AE228" s="29">
        <v>44715</v>
      </c>
      <c r="AF228">
        <v>1</v>
      </c>
      <c r="AG228" t="s">
        <v>149</v>
      </c>
      <c r="AH228">
        <v>1</v>
      </c>
      <c r="AI228">
        <v>31</v>
      </c>
      <c r="AJ228">
        <v>1</v>
      </c>
      <c r="AK228" t="s">
        <v>170</v>
      </c>
      <c r="AL228" t="s">
        <v>77</v>
      </c>
      <c r="AM228">
        <f t="shared" si="15"/>
        <v>3</v>
      </c>
      <c r="AN228">
        <f t="shared" si="16"/>
        <v>8</v>
      </c>
      <c r="AO228">
        <f t="shared" si="17"/>
        <v>2</v>
      </c>
      <c r="AP228">
        <f t="shared" si="18"/>
        <v>6</v>
      </c>
      <c r="AQ228">
        <f t="shared" si="19"/>
        <v>2021</v>
      </c>
    </row>
    <row r="229" spans="1:43" x14ac:dyDescent="0.35">
      <c r="A229">
        <v>1016</v>
      </c>
      <c r="B229">
        <v>20</v>
      </c>
      <c r="C229" t="s">
        <v>144</v>
      </c>
      <c r="D229" t="s">
        <v>145</v>
      </c>
      <c r="E229" t="s">
        <v>4</v>
      </c>
      <c r="F229" t="s">
        <v>38</v>
      </c>
      <c r="G229" t="s">
        <v>44</v>
      </c>
      <c r="H229" t="s">
        <v>81</v>
      </c>
      <c r="I229" t="s">
        <v>42</v>
      </c>
      <c r="J229" t="s">
        <v>146</v>
      </c>
      <c r="K229" t="s">
        <v>41</v>
      </c>
      <c r="L229" t="s">
        <v>147</v>
      </c>
      <c r="M229" t="s">
        <v>49</v>
      </c>
      <c r="N229" t="s">
        <v>95</v>
      </c>
      <c r="P229" t="s">
        <v>144</v>
      </c>
      <c r="Q229">
        <v>15</v>
      </c>
      <c r="R229">
        <v>1</v>
      </c>
      <c r="S229">
        <v>1</v>
      </c>
      <c r="T229">
        <v>0</v>
      </c>
      <c r="U229">
        <v>0</v>
      </c>
      <c r="V229">
        <v>11</v>
      </c>
      <c r="W229">
        <v>98</v>
      </c>
      <c r="X229">
        <v>1097</v>
      </c>
      <c r="Y229">
        <v>18275</v>
      </c>
      <c r="Z229">
        <v>2600</v>
      </c>
      <c r="AA229">
        <v>2</v>
      </c>
      <c r="AB229" s="29">
        <v>44773</v>
      </c>
      <c r="AC229" s="29">
        <v>37668</v>
      </c>
      <c r="AD229" s="29">
        <v>44629</v>
      </c>
      <c r="AE229" s="29">
        <v>44725</v>
      </c>
      <c r="AF229">
        <v>0</v>
      </c>
      <c r="AG229" t="s">
        <v>157</v>
      </c>
      <c r="AH229">
        <v>1</v>
      </c>
      <c r="AI229">
        <v>20</v>
      </c>
      <c r="AJ229">
        <v>1</v>
      </c>
      <c r="AK229" t="s">
        <v>171</v>
      </c>
      <c r="AL229" t="s">
        <v>77</v>
      </c>
      <c r="AM229">
        <f t="shared" si="15"/>
        <v>1</v>
      </c>
      <c r="AN229">
        <f t="shared" si="16"/>
        <v>3</v>
      </c>
      <c r="AO229">
        <f t="shared" si="17"/>
        <v>2</v>
      </c>
      <c r="AP229">
        <f t="shared" si="18"/>
        <v>6</v>
      </c>
      <c r="AQ229">
        <f t="shared" si="19"/>
        <v>2022</v>
      </c>
    </row>
    <row r="230" spans="1:43" x14ac:dyDescent="0.35">
      <c r="A230">
        <v>566</v>
      </c>
      <c r="B230">
        <v>19</v>
      </c>
      <c r="C230" t="s">
        <v>144</v>
      </c>
      <c r="D230" t="s">
        <v>145</v>
      </c>
      <c r="E230" t="s">
        <v>168</v>
      </c>
      <c r="F230" t="s">
        <v>36</v>
      </c>
      <c r="G230" t="s">
        <v>41</v>
      </c>
      <c r="H230" t="s">
        <v>82</v>
      </c>
      <c r="I230" t="s">
        <v>42</v>
      </c>
      <c r="J230" t="s">
        <v>168</v>
      </c>
      <c r="K230" t="s">
        <v>44</v>
      </c>
      <c r="L230" t="s">
        <v>48</v>
      </c>
      <c r="M230" t="s">
        <v>50</v>
      </c>
      <c r="N230" t="s">
        <v>95</v>
      </c>
      <c r="P230" t="s">
        <v>148</v>
      </c>
      <c r="Q230">
        <v>12</v>
      </c>
      <c r="R230">
        <v>1</v>
      </c>
      <c r="S230">
        <v>1</v>
      </c>
      <c r="T230">
        <v>0</v>
      </c>
      <c r="U230">
        <v>0</v>
      </c>
      <c r="V230">
        <v>2</v>
      </c>
      <c r="W230">
        <v>52</v>
      </c>
      <c r="X230">
        <v>489</v>
      </c>
      <c r="Y230">
        <v>18437</v>
      </c>
      <c r="Z230">
        <v>2564</v>
      </c>
      <c r="AA230">
        <v>3</v>
      </c>
      <c r="AB230" s="29">
        <v>44773</v>
      </c>
      <c r="AC230" s="29">
        <v>37856</v>
      </c>
      <c r="AD230" s="29">
        <v>44443</v>
      </c>
      <c r="AE230" s="29">
        <v>44726</v>
      </c>
      <c r="AF230">
        <v>1</v>
      </c>
      <c r="AG230" t="s">
        <v>172</v>
      </c>
      <c r="AH230">
        <v>1</v>
      </c>
      <c r="AI230">
        <v>18</v>
      </c>
      <c r="AJ230">
        <v>2</v>
      </c>
      <c r="AK230" t="s">
        <v>170</v>
      </c>
      <c r="AL230" t="s">
        <v>77</v>
      </c>
      <c r="AM230">
        <f t="shared" si="15"/>
        <v>3</v>
      </c>
      <c r="AN230">
        <f t="shared" si="16"/>
        <v>9</v>
      </c>
      <c r="AO230">
        <f t="shared" si="17"/>
        <v>2</v>
      </c>
      <c r="AP230">
        <f t="shared" si="18"/>
        <v>6</v>
      </c>
      <c r="AQ230">
        <f t="shared" si="19"/>
        <v>2021</v>
      </c>
    </row>
    <row r="231" spans="1:43" x14ac:dyDescent="0.35">
      <c r="A231">
        <v>1033</v>
      </c>
      <c r="B231">
        <v>37</v>
      </c>
      <c r="C231" t="s">
        <v>144</v>
      </c>
      <c r="D231" t="s">
        <v>145</v>
      </c>
      <c r="E231" t="s">
        <v>4</v>
      </c>
      <c r="F231" t="s">
        <v>36</v>
      </c>
      <c r="G231" t="s">
        <v>41</v>
      </c>
      <c r="H231" t="s">
        <v>81</v>
      </c>
      <c r="I231" t="s">
        <v>41</v>
      </c>
      <c r="J231" t="s">
        <v>161</v>
      </c>
      <c r="K231" t="s">
        <v>42</v>
      </c>
      <c r="L231" t="s">
        <v>147</v>
      </c>
      <c r="M231" t="s">
        <v>47</v>
      </c>
      <c r="N231" t="s">
        <v>160</v>
      </c>
      <c r="P231" t="s">
        <v>148</v>
      </c>
      <c r="Q231">
        <v>15</v>
      </c>
      <c r="R231">
        <v>5</v>
      </c>
      <c r="S231">
        <v>15</v>
      </c>
      <c r="T231">
        <v>0</v>
      </c>
      <c r="U231">
        <v>0</v>
      </c>
      <c r="V231">
        <v>11</v>
      </c>
      <c r="W231">
        <v>61</v>
      </c>
      <c r="X231">
        <v>1141</v>
      </c>
      <c r="Y231">
        <v>14382</v>
      </c>
      <c r="Z231">
        <v>4777</v>
      </c>
      <c r="AA231">
        <v>2</v>
      </c>
      <c r="AB231" s="29">
        <v>44773</v>
      </c>
      <c r="AC231" s="29">
        <v>31426</v>
      </c>
      <c r="AD231" s="29">
        <v>44597</v>
      </c>
      <c r="AE231" s="29">
        <v>44735</v>
      </c>
      <c r="AF231">
        <v>0</v>
      </c>
      <c r="AG231" t="s">
        <v>149</v>
      </c>
      <c r="AH231">
        <v>1</v>
      </c>
      <c r="AI231">
        <v>37</v>
      </c>
      <c r="AJ231">
        <v>1</v>
      </c>
      <c r="AK231" t="s">
        <v>171</v>
      </c>
      <c r="AL231" t="s">
        <v>77</v>
      </c>
      <c r="AM231">
        <f t="shared" si="15"/>
        <v>1</v>
      </c>
      <c r="AN231">
        <f t="shared" si="16"/>
        <v>2</v>
      </c>
      <c r="AO231">
        <f t="shared" si="17"/>
        <v>2</v>
      </c>
      <c r="AP231">
        <f t="shared" si="18"/>
        <v>6</v>
      </c>
      <c r="AQ231">
        <f t="shared" si="19"/>
        <v>2022</v>
      </c>
    </row>
    <row r="232" spans="1:43" x14ac:dyDescent="0.35">
      <c r="A232">
        <v>1248</v>
      </c>
      <c r="B232">
        <v>19</v>
      </c>
      <c r="C232" t="s">
        <v>144</v>
      </c>
      <c r="D232" t="s">
        <v>164</v>
      </c>
      <c r="E232" t="s">
        <v>4</v>
      </c>
      <c r="F232" t="s">
        <v>38</v>
      </c>
      <c r="G232" t="s">
        <v>41</v>
      </c>
      <c r="H232" t="s">
        <v>81</v>
      </c>
      <c r="I232" t="s">
        <v>42</v>
      </c>
      <c r="J232" t="s">
        <v>146</v>
      </c>
      <c r="K232" t="s">
        <v>42</v>
      </c>
      <c r="L232" t="s">
        <v>152</v>
      </c>
      <c r="M232" t="s">
        <v>50</v>
      </c>
      <c r="N232" t="s">
        <v>95</v>
      </c>
      <c r="P232" t="s">
        <v>144</v>
      </c>
      <c r="Q232">
        <v>25</v>
      </c>
      <c r="R232">
        <v>1</v>
      </c>
      <c r="S232">
        <v>1</v>
      </c>
      <c r="T232">
        <v>0</v>
      </c>
      <c r="U232">
        <v>0</v>
      </c>
      <c r="V232">
        <v>10</v>
      </c>
      <c r="W232">
        <v>96</v>
      </c>
      <c r="X232">
        <v>504</v>
      </c>
      <c r="Y232">
        <v>6148</v>
      </c>
      <c r="Z232">
        <v>1859</v>
      </c>
      <c r="AA232">
        <v>2</v>
      </c>
      <c r="AB232" s="29">
        <v>44773</v>
      </c>
      <c r="AC232" s="29">
        <v>37855</v>
      </c>
      <c r="AD232" s="29">
        <v>44580</v>
      </c>
      <c r="AE232" s="29">
        <v>44737</v>
      </c>
      <c r="AF232">
        <v>0</v>
      </c>
      <c r="AG232" t="s">
        <v>172</v>
      </c>
      <c r="AH232">
        <v>2</v>
      </c>
      <c r="AI232">
        <v>19</v>
      </c>
      <c r="AJ232">
        <v>2</v>
      </c>
      <c r="AK232" t="s">
        <v>171</v>
      </c>
      <c r="AL232" t="s">
        <v>77</v>
      </c>
      <c r="AM232">
        <f t="shared" si="15"/>
        <v>1</v>
      </c>
      <c r="AN232">
        <f t="shared" si="16"/>
        <v>1</v>
      </c>
      <c r="AO232">
        <f t="shared" si="17"/>
        <v>2</v>
      </c>
      <c r="AP232">
        <f t="shared" si="18"/>
        <v>6</v>
      </c>
      <c r="AQ232">
        <f t="shared" si="19"/>
        <v>2022</v>
      </c>
    </row>
    <row r="233" spans="1:43" x14ac:dyDescent="0.35">
      <c r="A233">
        <v>392</v>
      </c>
      <c r="B233">
        <v>44</v>
      </c>
      <c r="C233" t="s">
        <v>144</v>
      </c>
      <c r="D233" t="s">
        <v>151</v>
      </c>
      <c r="E233" t="s">
        <v>4</v>
      </c>
      <c r="F233" t="s">
        <v>38</v>
      </c>
      <c r="G233" t="s">
        <v>44</v>
      </c>
      <c r="H233" t="s">
        <v>82</v>
      </c>
      <c r="I233" t="s">
        <v>43</v>
      </c>
      <c r="J233" t="s">
        <v>155</v>
      </c>
      <c r="K233" t="s">
        <v>43</v>
      </c>
      <c r="L233" t="s">
        <v>152</v>
      </c>
      <c r="M233" t="s">
        <v>47</v>
      </c>
      <c r="N233" t="s">
        <v>96</v>
      </c>
      <c r="O233" t="s">
        <v>41</v>
      </c>
      <c r="P233" t="s">
        <v>144</v>
      </c>
      <c r="Q233">
        <v>22</v>
      </c>
      <c r="R233">
        <v>3</v>
      </c>
      <c r="S233">
        <v>19</v>
      </c>
      <c r="T233">
        <v>0</v>
      </c>
      <c r="U233">
        <v>0</v>
      </c>
      <c r="V233">
        <v>24</v>
      </c>
      <c r="W233">
        <v>43</v>
      </c>
      <c r="X233">
        <v>920</v>
      </c>
      <c r="Y233">
        <v>19920</v>
      </c>
      <c r="Z233">
        <v>3161</v>
      </c>
      <c r="AA233">
        <v>0</v>
      </c>
      <c r="AB233" s="29">
        <v>44773</v>
      </c>
      <c r="AC233" s="29">
        <v>29019</v>
      </c>
      <c r="AD233" s="29">
        <v>44445</v>
      </c>
      <c r="AE233" s="29">
        <v>44738</v>
      </c>
      <c r="AF233">
        <v>1</v>
      </c>
      <c r="AG233" t="s">
        <v>153</v>
      </c>
      <c r="AH233">
        <v>1</v>
      </c>
      <c r="AI233">
        <v>43</v>
      </c>
      <c r="AJ233">
        <v>1</v>
      </c>
      <c r="AK233" t="s">
        <v>170</v>
      </c>
      <c r="AL233" t="s">
        <v>77</v>
      </c>
      <c r="AM233">
        <f t="shared" si="15"/>
        <v>3</v>
      </c>
      <c r="AN233">
        <f t="shared" si="16"/>
        <v>9</v>
      </c>
      <c r="AO233">
        <f t="shared" si="17"/>
        <v>2</v>
      </c>
      <c r="AP233">
        <f t="shared" si="18"/>
        <v>6</v>
      </c>
      <c r="AQ233">
        <f t="shared" si="19"/>
        <v>2021</v>
      </c>
    </row>
    <row r="234" spans="1:43" x14ac:dyDescent="0.35">
      <c r="A234">
        <v>1842</v>
      </c>
      <c r="B234">
        <v>31</v>
      </c>
      <c r="C234" t="s">
        <v>144</v>
      </c>
      <c r="D234" t="s">
        <v>145</v>
      </c>
      <c r="E234" t="s">
        <v>168</v>
      </c>
      <c r="F234" t="s">
        <v>34</v>
      </c>
      <c r="G234" t="s">
        <v>44</v>
      </c>
      <c r="H234" t="s">
        <v>82</v>
      </c>
      <c r="I234" t="s">
        <v>44</v>
      </c>
      <c r="J234" t="s">
        <v>168</v>
      </c>
      <c r="K234" t="s">
        <v>41</v>
      </c>
      <c r="L234" t="s">
        <v>147</v>
      </c>
      <c r="M234" t="s">
        <v>49</v>
      </c>
      <c r="N234" t="s">
        <v>160</v>
      </c>
      <c r="P234" t="s">
        <v>148</v>
      </c>
      <c r="Q234">
        <v>17</v>
      </c>
      <c r="R234">
        <v>0</v>
      </c>
      <c r="S234">
        <v>2</v>
      </c>
      <c r="T234">
        <v>0</v>
      </c>
      <c r="U234">
        <v>0</v>
      </c>
      <c r="V234">
        <v>18</v>
      </c>
      <c r="W234">
        <v>89</v>
      </c>
      <c r="X234">
        <v>359</v>
      </c>
      <c r="Y234">
        <v>21495</v>
      </c>
      <c r="Z234">
        <v>2956</v>
      </c>
      <c r="AA234">
        <v>4</v>
      </c>
      <c r="AB234" s="29">
        <v>44773</v>
      </c>
      <c r="AC234" s="29">
        <v>33703</v>
      </c>
      <c r="AD234" s="29">
        <v>44460</v>
      </c>
      <c r="AE234" s="29">
        <v>44738</v>
      </c>
      <c r="AF234">
        <v>1</v>
      </c>
      <c r="AG234" t="s">
        <v>149</v>
      </c>
      <c r="AH234">
        <v>1</v>
      </c>
      <c r="AI234">
        <v>30</v>
      </c>
      <c r="AJ234">
        <v>2</v>
      </c>
      <c r="AK234" t="s">
        <v>170</v>
      </c>
      <c r="AL234" t="s">
        <v>78</v>
      </c>
      <c r="AM234">
        <f t="shared" si="15"/>
        <v>3</v>
      </c>
      <c r="AN234">
        <f t="shared" si="16"/>
        <v>9</v>
      </c>
      <c r="AO234">
        <f t="shared" si="17"/>
        <v>2</v>
      </c>
      <c r="AP234">
        <f t="shared" si="18"/>
        <v>6</v>
      </c>
      <c r="AQ234">
        <f t="shared" si="19"/>
        <v>2021</v>
      </c>
    </row>
    <row r="235" spans="1:43" x14ac:dyDescent="0.35">
      <c r="A235">
        <v>1767</v>
      </c>
      <c r="B235">
        <v>43</v>
      </c>
      <c r="C235" t="s">
        <v>144</v>
      </c>
      <c r="D235" t="s">
        <v>151</v>
      </c>
      <c r="E235" t="s">
        <v>4</v>
      </c>
      <c r="F235" t="s">
        <v>38</v>
      </c>
      <c r="G235" t="s">
        <v>43</v>
      </c>
      <c r="H235" t="s">
        <v>82</v>
      </c>
      <c r="I235" t="s">
        <v>42</v>
      </c>
      <c r="J235" t="s">
        <v>146</v>
      </c>
      <c r="K235" t="s">
        <v>43</v>
      </c>
      <c r="L235" t="s">
        <v>147</v>
      </c>
      <c r="M235" t="s">
        <v>49</v>
      </c>
      <c r="N235" t="s">
        <v>160</v>
      </c>
      <c r="O235" t="s">
        <v>41</v>
      </c>
      <c r="P235" t="s">
        <v>144</v>
      </c>
      <c r="Q235">
        <v>16</v>
      </c>
      <c r="R235">
        <v>9</v>
      </c>
      <c r="S235">
        <v>6</v>
      </c>
      <c r="T235">
        <v>0</v>
      </c>
      <c r="U235">
        <v>0</v>
      </c>
      <c r="V235">
        <v>17</v>
      </c>
      <c r="W235">
        <v>38</v>
      </c>
      <c r="X235">
        <v>807</v>
      </c>
      <c r="Y235">
        <v>15587</v>
      </c>
      <c r="Z235">
        <v>2437</v>
      </c>
      <c r="AA235">
        <v>4</v>
      </c>
      <c r="AB235" s="29">
        <v>44773</v>
      </c>
      <c r="AC235" s="29">
        <v>29331</v>
      </c>
      <c r="AD235" s="29">
        <v>44394</v>
      </c>
      <c r="AE235" s="29">
        <v>44739</v>
      </c>
      <c r="AF235">
        <v>1</v>
      </c>
      <c r="AG235" t="s">
        <v>153</v>
      </c>
      <c r="AH235">
        <v>2</v>
      </c>
      <c r="AI235">
        <v>42</v>
      </c>
      <c r="AJ235">
        <v>1</v>
      </c>
      <c r="AK235" t="s">
        <v>170</v>
      </c>
      <c r="AL235" t="s">
        <v>77</v>
      </c>
      <c r="AM235">
        <f t="shared" si="15"/>
        <v>3</v>
      </c>
      <c r="AN235">
        <f t="shared" si="16"/>
        <v>7</v>
      </c>
      <c r="AO235">
        <f t="shared" si="17"/>
        <v>2</v>
      </c>
      <c r="AP235">
        <f t="shared" si="18"/>
        <v>6</v>
      </c>
      <c r="AQ235">
        <f t="shared" si="19"/>
        <v>2021</v>
      </c>
    </row>
    <row r="236" spans="1:43" x14ac:dyDescent="0.35">
      <c r="A236">
        <v>1714</v>
      </c>
      <c r="B236">
        <v>24</v>
      </c>
      <c r="C236" t="s">
        <v>144</v>
      </c>
      <c r="D236" t="s">
        <v>145</v>
      </c>
      <c r="E236" t="s">
        <v>168</v>
      </c>
      <c r="F236" t="s">
        <v>35</v>
      </c>
      <c r="G236" t="s">
        <v>44</v>
      </c>
      <c r="H236" t="s">
        <v>82</v>
      </c>
      <c r="I236" t="s">
        <v>41</v>
      </c>
      <c r="J236" t="s">
        <v>168</v>
      </c>
      <c r="K236" t="s">
        <v>43</v>
      </c>
      <c r="L236" t="s">
        <v>48</v>
      </c>
      <c r="M236" t="s">
        <v>49</v>
      </c>
      <c r="N236" t="s">
        <v>160</v>
      </c>
      <c r="O236" t="s">
        <v>41</v>
      </c>
      <c r="P236" t="s">
        <v>148</v>
      </c>
      <c r="Q236">
        <v>11</v>
      </c>
      <c r="R236">
        <v>1</v>
      </c>
      <c r="S236">
        <v>1</v>
      </c>
      <c r="T236">
        <v>0</v>
      </c>
      <c r="U236">
        <v>0</v>
      </c>
      <c r="V236">
        <v>22</v>
      </c>
      <c r="W236">
        <v>58</v>
      </c>
      <c r="X236">
        <v>240</v>
      </c>
      <c r="Y236">
        <v>11585</v>
      </c>
      <c r="Z236">
        <v>1555</v>
      </c>
      <c r="AA236">
        <v>2</v>
      </c>
      <c r="AB236" s="29">
        <v>44773</v>
      </c>
      <c r="AC236" s="29">
        <v>36027</v>
      </c>
      <c r="AD236" s="29">
        <v>44598</v>
      </c>
      <c r="AE236" s="29">
        <v>44741</v>
      </c>
      <c r="AF236">
        <v>0</v>
      </c>
      <c r="AG236" t="s">
        <v>157</v>
      </c>
      <c r="AH236">
        <v>1</v>
      </c>
      <c r="AI236">
        <v>24</v>
      </c>
      <c r="AJ236">
        <v>1</v>
      </c>
      <c r="AK236" t="s">
        <v>171</v>
      </c>
      <c r="AL236" t="s">
        <v>78</v>
      </c>
      <c r="AM236">
        <f t="shared" si="15"/>
        <v>1</v>
      </c>
      <c r="AN236">
        <f t="shared" si="16"/>
        <v>2</v>
      </c>
      <c r="AO236">
        <f t="shared" si="17"/>
        <v>2</v>
      </c>
      <c r="AP236">
        <f t="shared" si="18"/>
        <v>6</v>
      </c>
      <c r="AQ236">
        <f t="shared" si="19"/>
        <v>2022</v>
      </c>
    </row>
    <row r="237" spans="1:43" x14ac:dyDescent="0.35">
      <c r="A237">
        <v>816</v>
      </c>
      <c r="B237">
        <v>29</v>
      </c>
      <c r="C237" t="s">
        <v>144</v>
      </c>
      <c r="D237" t="s">
        <v>145</v>
      </c>
      <c r="E237" t="s">
        <v>4</v>
      </c>
      <c r="F237" t="s">
        <v>36</v>
      </c>
      <c r="G237" t="s">
        <v>42</v>
      </c>
      <c r="H237" t="s">
        <v>81</v>
      </c>
      <c r="I237" t="s">
        <v>42</v>
      </c>
      <c r="J237" t="s">
        <v>155</v>
      </c>
      <c r="K237" t="s">
        <v>41</v>
      </c>
      <c r="L237" t="s">
        <v>147</v>
      </c>
      <c r="M237" t="s">
        <v>49</v>
      </c>
      <c r="N237" t="s">
        <v>160</v>
      </c>
      <c r="O237" t="s">
        <v>41</v>
      </c>
      <c r="P237" t="s">
        <v>144</v>
      </c>
      <c r="Q237">
        <v>11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36</v>
      </c>
      <c r="X237">
        <v>805</v>
      </c>
      <c r="Y237">
        <v>6689</v>
      </c>
      <c r="Z237">
        <v>2319</v>
      </c>
      <c r="AA237">
        <v>1</v>
      </c>
      <c r="AB237" s="29">
        <v>44773</v>
      </c>
      <c r="AC237" s="29">
        <v>34477</v>
      </c>
      <c r="AD237" s="29">
        <v>44723</v>
      </c>
      <c r="AE237" s="29">
        <v>44753</v>
      </c>
      <c r="AF237">
        <v>0</v>
      </c>
      <c r="AG237" t="s">
        <v>157</v>
      </c>
      <c r="AH237">
        <v>1</v>
      </c>
      <c r="AI237">
        <v>29</v>
      </c>
      <c r="AJ237">
        <v>1</v>
      </c>
      <c r="AK237" t="s">
        <v>171</v>
      </c>
      <c r="AL237" t="s">
        <v>78</v>
      </c>
      <c r="AM237">
        <f t="shared" si="15"/>
        <v>2</v>
      </c>
      <c r="AN237">
        <f t="shared" si="16"/>
        <v>6</v>
      </c>
      <c r="AO237">
        <f t="shared" si="17"/>
        <v>3</v>
      </c>
      <c r="AP237">
        <f t="shared" si="18"/>
        <v>7</v>
      </c>
      <c r="AQ237">
        <f t="shared" si="19"/>
        <v>2022</v>
      </c>
    </row>
    <row r="238" spans="1:43" x14ac:dyDescent="0.35">
      <c r="A238">
        <v>355</v>
      </c>
      <c r="B238">
        <v>31</v>
      </c>
      <c r="C238" t="s">
        <v>144</v>
      </c>
      <c r="D238" t="s">
        <v>151</v>
      </c>
      <c r="E238" t="s">
        <v>4</v>
      </c>
      <c r="F238" t="s">
        <v>36</v>
      </c>
      <c r="G238" t="s">
        <v>43</v>
      </c>
      <c r="H238" t="s">
        <v>82</v>
      </c>
      <c r="I238" t="s">
        <v>42</v>
      </c>
      <c r="J238" t="s">
        <v>155</v>
      </c>
      <c r="K238" t="s">
        <v>42</v>
      </c>
      <c r="L238" t="s">
        <v>147</v>
      </c>
      <c r="M238" t="s">
        <v>50</v>
      </c>
      <c r="N238" t="s">
        <v>95</v>
      </c>
      <c r="P238" t="s">
        <v>148</v>
      </c>
      <c r="Q238">
        <v>11</v>
      </c>
      <c r="R238">
        <v>0</v>
      </c>
      <c r="S238">
        <v>6</v>
      </c>
      <c r="T238">
        <v>1</v>
      </c>
      <c r="U238">
        <v>4</v>
      </c>
      <c r="V238">
        <v>29</v>
      </c>
      <c r="W238">
        <v>71</v>
      </c>
      <c r="X238">
        <v>307</v>
      </c>
      <c r="Y238">
        <v>11652</v>
      </c>
      <c r="Z238">
        <v>3479</v>
      </c>
      <c r="AA238">
        <v>2</v>
      </c>
      <c r="AB238" s="29">
        <v>44773</v>
      </c>
      <c r="AC238" s="29">
        <v>33473</v>
      </c>
      <c r="AD238" s="29">
        <v>43294</v>
      </c>
      <c r="AE238" s="29">
        <v>44756</v>
      </c>
      <c r="AF238">
        <v>4</v>
      </c>
      <c r="AG238" t="s">
        <v>149</v>
      </c>
      <c r="AH238">
        <v>1</v>
      </c>
      <c r="AI238">
        <v>27</v>
      </c>
      <c r="AJ238">
        <v>1</v>
      </c>
      <c r="AK238" t="s">
        <v>162</v>
      </c>
      <c r="AL238" t="s">
        <v>77</v>
      </c>
      <c r="AM238">
        <f t="shared" si="15"/>
        <v>3</v>
      </c>
      <c r="AN238">
        <f t="shared" si="16"/>
        <v>7</v>
      </c>
      <c r="AO238">
        <f t="shared" si="17"/>
        <v>3</v>
      </c>
      <c r="AP238">
        <f t="shared" si="18"/>
        <v>7</v>
      </c>
      <c r="AQ238">
        <f t="shared" si="19"/>
        <v>2018</v>
      </c>
    </row>
    <row r="239" spans="1:43" x14ac:dyDescent="0.35">
      <c r="A239">
        <v>2019</v>
      </c>
      <c r="B239">
        <v>52</v>
      </c>
      <c r="C239" t="s">
        <v>148</v>
      </c>
      <c r="D239" t="s">
        <v>164</v>
      </c>
      <c r="E239" t="s">
        <v>158</v>
      </c>
      <c r="F239" t="s">
        <v>37</v>
      </c>
      <c r="G239" t="s">
        <v>41</v>
      </c>
      <c r="H239" t="s">
        <v>82</v>
      </c>
      <c r="I239" t="s">
        <v>43</v>
      </c>
      <c r="J239" t="s">
        <v>166</v>
      </c>
      <c r="K239" t="s">
        <v>44</v>
      </c>
      <c r="L239" t="s">
        <v>147</v>
      </c>
      <c r="M239" t="s">
        <v>48</v>
      </c>
      <c r="N239" t="s">
        <v>96</v>
      </c>
      <c r="O239" t="s">
        <v>156</v>
      </c>
      <c r="P239" t="s">
        <v>148</v>
      </c>
      <c r="Q239">
        <v>15</v>
      </c>
      <c r="R239">
        <v>2</v>
      </c>
      <c r="S239">
        <v>16</v>
      </c>
      <c r="T239">
        <v>0</v>
      </c>
      <c r="U239">
        <v>0</v>
      </c>
      <c r="V239">
        <v>29</v>
      </c>
      <c r="W239">
        <v>40</v>
      </c>
      <c r="X239">
        <v>585</v>
      </c>
      <c r="Y239">
        <v>19788</v>
      </c>
      <c r="Z239">
        <v>3482</v>
      </c>
      <c r="AA239">
        <v>3</v>
      </c>
      <c r="AB239" s="29">
        <v>44773</v>
      </c>
      <c r="AC239" s="29">
        <v>26111</v>
      </c>
      <c r="AD239" s="29">
        <v>41627</v>
      </c>
      <c r="AE239" s="29"/>
      <c r="AF239">
        <v>9</v>
      </c>
      <c r="AG239" t="s">
        <v>167</v>
      </c>
      <c r="AI239">
        <v>43</v>
      </c>
      <c r="AJ239">
        <v>1</v>
      </c>
      <c r="AK239" t="s">
        <v>150</v>
      </c>
      <c r="AL239" t="s">
        <v>77</v>
      </c>
      <c r="AM239">
        <f t="shared" si="15"/>
        <v>4</v>
      </c>
      <c r="AN239">
        <f t="shared" si="16"/>
        <v>12</v>
      </c>
      <c r="AO239" t="str">
        <f t="shared" si="17"/>
        <v/>
      </c>
      <c r="AP239" t="str">
        <f t="shared" si="18"/>
        <v/>
      </c>
      <c r="AQ239">
        <f t="shared" si="19"/>
        <v>2013</v>
      </c>
    </row>
    <row r="240" spans="1:43" x14ac:dyDescent="0.35">
      <c r="A240">
        <v>1374</v>
      </c>
      <c r="B240">
        <v>34</v>
      </c>
      <c r="C240" t="s">
        <v>148</v>
      </c>
      <c r="D240" t="s">
        <v>164</v>
      </c>
      <c r="E240" t="s">
        <v>4</v>
      </c>
      <c r="F240" t="s">
        <v>35</v>
      </c>
      <c r="G240" t="s">
        <v>41</v>
      </c>
      <c r="H240" t="s">
        <v>81</v>
      </c>
      <c r="I240" t="s">
        <v>42</v>
      </c>
      <c r="J240" t="s">
        <v>146</v>
      </c>
      <c r="K240" t="s">
        <v>43</v>
      </c>
      <c r="L240" t="s">
        <v>152</v>
      </c>
      <c r="M240" t="s">
        <v>49</v>
      </c>
      <c r="N240" t="s">
        <v>96</v>
      </c>
      <c r="O240" t="s">
        <v>43</v>
      </c>
      <c r="P240" t="s">
        <v>148</v>
      </c>
      <c r="Q240">
        <v>20</v>
      </c>
      <c r="R240">
        <v>1</v>
      </c>
      <c r="S240">
        <v>5</v>
      </c>
      <c r="T240">
        <v>0</v>
      </c>
      <c r="U240">
        <v>0</v>
      </c>
      <c r="V240">
        <v>26</v>
      </c>
      <c r="W240">
        <v>92</v>
      </c>
      <c r="X240">
        <v>999</v>
      </c>
      <c r="Y240">
        <v>15891</v>
      </c>
      <c r="Z240">
        <v>2029</v>
      </c>
      <c r="AA240">
        <v>2</v>
      </c>
      <c r="AB240" s="29">
        <v>44773</v>
      </c>
      <c r="AC240" s="29">
        <v>32592</v>
      </c>
      <c r="AD240" s="29">
        <v>43107</v>
      </c>
      <c r="AE240" s="29"/>
      <c r="AF240">
        <v>5</v>
      </c>
      <c r="AG240" t="s">
        <v>149</v>
      </c>
      <c r="AI240">
        <v>29</v>
      </c>
      <c r="AJ240">
        <v>1</v>
      </c>
      <c r="AK240" t="s">
        <v>162</v>
      </c>
      <c r="AL240" t="s">
        <v>77</v>
      </c>
      <c r="AM240">
        <f t="shared" si="15"/>
        <v>1</v>
      </c>
      <c r="AN240">
        <f t="shared" si="16"/>
        <v>1</v>
      </c>
      <c r="AO240" t="str">
        <f t="shared" si="17"/>
        <v/>
      </c>
      <c r="AP240" t="str">
        <f t="shared" si="18"/>
        <v/>
      </c>
      <c r="AQ240">
        <f t="shared" si="19"/>
        <v>2018</v>
      </c>
    </row>
    <row r="241" spans="1:43" x14ac:dyDescent="0.35">
      <c r="A241">
        <v>900</v>
      </c>
      <c r="B241">
        <v>37</v>
      </c>
      <c r="C241" t="s">
        <v>148</v>
      </c>
      <c r="D241" t="s">
        <v>151</v>
      </c>
      <c r="E241" t="s">
        <v>158</v>
      </c>
      <c r="F241" t="s">
        <v>36</v>
      </c>
      <c r="G241" t="s">
        <v>43</v>
      </c>
      <c r="H241" t="s">
        <v>81</v>
      </c>
      <c r="I241" t="s">
        <v>43</v>
      </c>
      <c r="J241" t="s">
        <v>166</v>
      </c>
      <c r="K241" t="s">
        <v>44</v>
      </c>
      <c r="L241" t="s">
        <v>41</v>
      </c>
      <c r="M241" t="s">
        <v>49</v>
      </c>
      <c r="N241" t="s">
        <v>160</v>
      </c>
      <c r="O241" t="s">
        <v>41</v>
      </c>
      <c r="P241" t="s">
        <v>148</v>
      </c>
      <c r="Q241">
        <v>15</v>
      </c>
      <c r="R241">
        <v>5</v>
      </c>
      <c r="S241">
        <v>10</v>
      </c>
      <c r="T241">
        <v>0</v>
      </c>
      <c r="U241">
        <v>0</v>
      </c>
      <c r="V241">
        <v>21</v>
      </c>
      <c r="W241">
        <v>54</v>
      </c>
      <c r="X241">
        <v>1231</v>
      </c>
      <c r="Y241">
        <v>21222</v>
      </c>
      <c r="Z241">
        <v>2973</v>
      </c>
      <c r="AA241">
        <v>3</v>
      </c>
      <c r="AB241" s="29">
        <v>44773</v>
      </c>
      <c r="AC241" s="29">
        <v>31559</v>
      </c>
      <c r="AD241" s="29">
        <v>43266</v>
      </c>
      <c r="AE241" s="29"/>
      <c r="AF241">
        <v>4</v>
      </c>
      <c r="AG241" t="s">
        <v>149</v>
      </c>
      <c r="AI241">
        <v>33</v>
      </c>
      <c r="AJ241">
        <v>1</v>
      </c>
      <c r="AK241" t="s">
        <v>162</v>
      </c>
      <c r="AL241" t="s">
        <v>78</v>
      </c>
      <c r="AM241">
        <f t="shared" si="15"/>
        <v>2</v>
      </c>
      <c r="AN241">
        <f t="shared" si="16"/>
        <v>6</v>
      </c>
      <c r="AO241" t="str">
        <f t="shared" si="17"/>
        <v/>
      </c>
      <c r="AP241" t="str">
        <f t="shared" si="18"/>
        <v/>
      </c>
      <c r="AQ241">
        <f t="shared" si="19"/>
        <v>2018</v>
      </c>
    </row>
    <row r="242" spans="1:43" x14ac:dyDescent="0.35">
      <c r="A242">
        <v>1340</v>
      </c>
      <c r="B242">
        <v>40</v>
      </c>
      <c r="C242" t="s">
        <v>148</v>
      </c>
      <c r="D242" t="s">
        <v>164</v>
      </c>
      <c r="E242" t="s">
        <v>4</v>
      </c>
      <c r="F242" t="s">
        <v>36</v>
      </c>
      <c r="G242" t="s">
        <v>43</v>
      </c>
      <c r="H242" t="s">
        <v>82</v>
      </c>
      <c r="I242" t="s">
        <v>43</v>
      </c>
      <c r="J242" t="s">
        <v>146</v>
      </c>
      <c r="K242" t="s">
        <v>43</v>
      </c>
      <c r="L242" t="s">
        <v>147</v>
      </c>
      <c r="M242" t="s">
        <v>49</v>
      </c>
      <c r="N242" t="s">
        <v>96</v>
      </c>
      <c r="O242" t="s">
        <v>41</v>
      </c>
      <c r="P242" t="s">
        <v>148</v>
      </c>
      <c r="Q242">
        <v>16</v>
      </c>
      <c r="R242">
        <v>9</v>
      </c>
      <c r="S242">
        <v>6</v>
      </c>
      <c r="T242">
        <v>0</v>
      </c>
      <c r="U242">
        <v>0</v>
      </c>
      <c r="V242">
        <v>16</v>
      </c>
      <c r="W242">
        <v>74</v>
      </c>
      <c r="X242">
        <v>458</v>
      </c>
      <c r="Y242">
        <v>8532</v>
      </c>
      <c r="Z242">
        <v>3544</v>
      </c>
      <c r="AA242">
        <v>0</v>
      </c>
      <c r="AB242" s="29">
        <v>44773</v>
      </c>
      <c r="AC242" s="29">
        <v>30382</v>
      </c>
      <c r="AD242" s="29">
        <v>43520</v>
      </c>
      <c r="AE242" s="29"/>
      <c r="AF242">
        <v>3</v>
      </c>
      <c r="AG242" t="s">
        <v>153</v>
      </c>
      <c r="AI242">
        <v>37</v>
      </c>
      <c r="AJ242">
        <v>2</v>
      </c>
      <c r="AK242" t="s">
        <v>170</v>
      </c>
      <c r="AL242" t="s">
        <v>77</v>
      </c>
      <c r="AM242">
        <f t="shared" si="15"/>
        <v>1</v>
      </c>
      <c r="AN242">
        <f t="shared" si="16"/>
        <v>2</v>
      </c>
      <c r="AO242" t="str">
        <f t="shared" si="17"/>
        <v/>
      </c>
      <c r="AP242" t="str">
        <f t="shared" si="18"/>
        <v/>
      </c>
      <c r="AQ242">
        <f t="shared" si="19"/>
        <v>2019</v>
      </c>
    </row>
    <row r="243" spans="1:43" x14ac:dyDescent="0.35">
      <c r="A243">
        <v>2060</v>
      </c>
      <c r="B243">
        <v>26</v>
      </c>
      <c r="C243" t="s">
        <v>148</v>
      </c>
      <c r="D243" t="s">
        <v>145</v>
      </c>
      <c r="E243" t="s">
        <v>158</v>
      </c>
      <c r="F243" t="s">
        <v>38</v>
      </c>
      <c r="G243" t="s">
        <v>44</v>
      </c>
      <c r="H243" t="s">
        <v>81</v>
      </c>
      <c r="I243" t="s">
        <v>42</v>
      </c>
      <c r="J243" t="s">
        <v>166</v>
      </c>
      <c r="K243" t="s">
        <v>43</v>
      </c>
      <c r="L243" t="s">
        <v>147</v>
      </c>
      <c r="M243" t="s">
        <v>49</v>
      </c>
      <c r="N243" t="s">
        <v>95</v>
      </c>
      <c r="P243" t="s">
        <v>148</v>
      </c>
      <c r="Q243">
        <v>18</v>
      </c>
      <c r="R243">
        <v>0</v>
      </c>
      <c r="S243">
        <v>5</v>
      </c>
      <c r="T243">
        <v>0</v>
      </c>
      <c r="U243">
        <v>0</v>
      </c>
      <c r="V243">
        <v>5</v>
      </c>
      <c r="W243">
        <v>30</v>
      </c>
      <c r="X243">
        <v>1167</v>
      </c>
      <c r="Y243">
        <v>21378</v>
      </c>
      <c r="Z243">
        <v>2966</v>
      </c>
      <c r="AA243">
        <v>2</v>
      </c>
      <c r="AB243" s="29">
        <v>44773</v>
      </c>
      <c r="AC243" s="29">
        <v>35344</v>
      </c>
      <c r="AD243" s="29">
        <v>43564</v>
      </c>
      <c r="AE243" s="29"/>
      <c r="AF243">
        <v>3</v>
      </c>
      <c r="AG243" t="s">
        <v>157</v>
      </c>
      <c r="AI243">
        <v>23</v>
      </c>
      <c r="AJ243">
        <v>1</v>
      </c>
      <c r="AK243" t="s">
        <v>170</v>
      </c>
      <c r="AL243" t="s">
        <v>78</v>
      </c>
      <c r="AM243">
        <f t="shared" si="15"/>
        <v>2</v>
      </c>
      <c r="AN243">
        <f t="shared" si="16"/>
        <v>4</v>
      </c>
      <c r="AO243" t="str">
        <f t="shared" si="17"/>
        <v/>
      </c>
      <c r="AP243" t="str">
        <f t="shared" si="18"/>
        <v/>
      </c>
      <c r="AQ243">
        <f t="shared" si="19"/>
        <v>2019</v>
      </c>
    </row>
    <row r="244" spans="1:43" x14ac:dyDescent="0.35">
      <c r="A244">
        <v>1839</v>
      </c>
      <c r="B244">
        <v>18</v>
      </c>
      <c r="C244" t="s">
        <v>148</v>
      </c>
      <c r="D244" t="s">
        <v>164</v>
      </c>
      <c r="E244" t="s">
        <v>4</v>
      </c>
      <c r="F244" t="s">
        <v>38</v>
      </c>
      <c r="G244" t="s">
        <v>42</v>
      </c>
      <c r="H244" t="s">
        <v>81</v>
      </c>
      <c r="I244" t="s">
        <v>43</v>
      </c>
      <c r="J244" t="s">
        <v>146</v>
      </c>
      <c r="K244" t="s">
        <v>43</v>
      </c>
      <c r="L244" t="s">
        <v>147</v>
      </c>
      <c r="M244" t="s">
        <v>47</v>
      </c>
      <c r="N244" t="s">
        <v>95</v>
      </c>
      <c r="P244" t="s">
        <v>148</v>
      </c>
      <c r="Q244">
        <v>16</v>
      </c>
      <c r="R244">
        <v>1</v>
      </c>
      <c r="S244">
        <v>1</v>
      </c>
      <c r="T244">
        <v>0</v>
      </c>
      <c r="U244">
        <v>0</v>
      </c>
      <c r="V244">
        <v>14</v>
      </c>
      <c r="W244">
        <v>33</v>
      </c>
      <c r="X244">
        <v>1431</v>
      </c>
      <c r="Y244">
        <v>8018</v>
      </c>
      <c r="Z244">
        <v>1514</v>
      </c>
      <c r="AA244">
        <v>4</v>
      </c>
      <c r="AB244" s="29">
        <v>44773</v>
      </c>
      <c r="AC244" s="29">
        <v>38382</v>
      </c>
      <c r="AD244" s="29">
        <v>44199</v>
      </c>
      <c r="AE244" s="29"/>
      <c r="AF244">
        <v>2</v>
      </c>
      <c r="AG244" t="s">
        <v>172</v>
      </c>
      <c r="AI244">
        <v>16</v>
      </c>
      <c r="AJ244">
        <v>1</v>
      </c>
      <c r="AK244" t="s">
        <v>170</v>
      </c>
      <c r="AL244" t="s">
        <v>77</v>
      </c>
      <c r="AM244">
        <f t="shared" si="15"/>
        <v>1</v>
      </c>
      <c r="AN244">
        <f t="shared" si="16"/>
        <v>1</v>
      </c>
      <c r="AO244" t="str">
        <f t="shared" si="17"/>
        <v/>
      </c>
      <c r="AP244" t="str">
        <f t="shared" si="18"/>
        <v/>
      </c>
      <c r="AQ244">
        <f t="shared" si="19"/>
        <v>2021</v>
      </c>
    </row>
    <row r="245" spans="1:43" x14ac:dyDescent="0.35">
      <c r="A245">
        <v>113</v>
      </c>
      <c r="B245">
        <v>23</v>
      </c>
      <c r="C245" t="s">
        <v>148</v>
      </c>
      <c r="D245" t="s">
        <v>145</v>
      </c>
      <c r="E245" t="s">
        <v>158</v>
      </c>
      <c r="F245" t="s">
        <v>35</v>
      </c>
      <c r="G245" t="s">
        <v>43</v>
      </c>
      <c r="H245" t="s">
        <v>82</v>
      </c>
      <c r="I245" t="s">
        <v>43</v>
      </c>
      <c r="J245" t="s">
        <v>166</v>
      </c>
      <c r="K245" t="s">
        <v>41</v>
      </c>
      <c r="L245" t="s">
        <v>147</v>
      </c>
      <c r="M245" t="s">
        <v>49</v>
      </c>
      <c r="N245" t="s">
        <v>96</v>
      </c>
      <c r="O245" t="s">
        <v>41</v>
      </c>
      <c r="P245" t="s">
        <v>148</v>
      </c>
      <c r="Q245">
        <v>13</v>
      </c>
      <c r="R245">
        <v>3</v>
      </c>
      <c r="S245">
        <v>3</v>
      </c>
      <c r="T245">
        <v>0</v>
      </c>
      <c r="U245">
        <v>0</v>
      </c>
      <c r="V245">
        <v>2</v>
      </c>
      <c r="W245">
        <v>62</v>
      </c>
      <c r="X245">
        <v>541</v>
      </c>
      <c r="Y245">
        <v>9518</v>
      </c>
      <c r="Z245">
        <v>2322</v>
      </c>
      <c r="AA245">
        <v>3</v>
      </c>
      <c r="AB245" s="29">
        <v>44773</v>
      </c>
      <c r="AC245" s="29">
        <v>36645</v>
      </c>
      <c r="AD245" s="29">
        <v>44290</v>
      </c>
      <c r="AE245" s="29"/>
      <c r="AF245">
        <v>1</v>
      </c>
      <c r="AG245" t="s">
        <v>157</v>
      </c>
      <c r="AI245">
        <v>22</v>
      </c>
      <c r="AJ245">
        <v>2</v>
      </c>
      <c r="AK245" t="s">
        <v>170</v>
      </c>
      <c r="AL245" t="s">
        <v>78</v>
      </c>
      <c r="AM245">
        <f t="shared" si="15"/>
        <v>2</v>
      </c>
      <c r="AN245">
        <f t="shared" si="16"/>
        <v>4</v>
      </c>
      <c r="AO245" t="str">
        <f t="shared" si="17"/>
        <v/>
      </c>
      <c r="AP245" t="str">
        <f t="shared" si="18"/>
        <v/>
      </c>
      <c r="AQ245">
        <f t="shared" si="19"/>
        <v>2021</v>
      </c>
    </row>
    <row r="246" spans="1:43" x14ac:dyDescent="0.35">
      <c r="A246">
        <v>850</v>
      </c>
      <c r="B246">
        <v>27</v>
      </c>
      <c r="C246" t="s">
        <v>148</v>
      </c>
      <c r="D246" t="s">
        <v>164</v>
      </c>
      <c r="E246" t="s">
        <v>4</v>
      </c>
      <c r="F246" t="s">
        <v>38</v>
      </c>
      <c r="G246" t="s">
        <v>44</v>
      </c>
      <c r="H246" t="s">
        <v>82</v>
      </c>
      <c r="I246" t="s">
        <v>43</v>
      </c>
      <c r="J246" t="s">
        <v>146</v>
      </c>
      <c r="K246" t="s">
        <v>44</v>
      </c>
      <c r="L246" t="s">
        <v>48</v>
      </c>
      <c r="M246" t="s">
        <v>48</v>
      </c>
      <c r="N246" t="s">
        <v>160</v>
      </c>
      <c r="O246" t="s">
        <v>43</v>
      </c>
      <c r="P246" t="s">
        <v>148</v>
      </c>
      <c r="Q246">
        <v>11</v>
      </c>
      <c r="R246">
        <v>1</v>
      </c>
      <c r="S246">
        <v>1</v>
      </c>
      <c r="T246">
        <v>0</v>
      </c>
      <c r="U246">
        <v>0</v>
      </c>
      <c r="V246">
        <v>3</v>
      </c>
      <c r="W246">
        <v>50</v>
      </c>
      <c r="X246">
        <v>443</v>
      </c>
      <c r="Y246">
        <v>16571</v>
      </c>
      <c r="Z246">
        <v>1706</v>
      </c>
      <c r="AA246">
        <v>6</v>
      </c>
      <c r="AB246" s="29">
        <v>44773</v>
      </c>
      <c r="AC246" s="29">
        <v>34993</v>
      </c>
      <c r="AD246" s="29">
        <v>44308</v>
      </c>
      <c r="AE246" s="29"/>
      <c r="AF246">
        <v>1</v>
      </c>
      <c r="AG246" t="s">
        <v>157</v>
      </c>
      <c r="AI246">
        <v>26</v>
      </c>
      <c r="AJ246">
        <v>1</v>
      </c>
      <c r="AK246" t="s">
        <v>170</v>
      </c>
      <c r="AL246" t="s">
        <v>77</v>
      </c>
      <c r="AM246">
        <f t="shared" si="15"/>
        <v>2</v>
      </c>
      <c r="AN246">
        <f t="shared" si="16"/>
        <v>4</v>
      </c>
      <c r="AO246" t="str">
        <f t="shared" si="17"/>
        <v/>
      </c>
      <c r="AP246" t="str">
        <f t="shared" si="18"/>
        <v/>
      </c>
      <c r="AQ246">
        <f t="shared" si="19"/>
        <v>2021</v>
      </c>
    </row>
    <row r="247" spans="1:43" x14ac:dyDescent="0.35">
      <c r="A247">
        <v>1860</v>
      </c>
      <c r="B247">
        <v>42</v>
      </c>
      <c r="C247" t="s">
        <v>148</v>
      </c>
      <c r="D247" t="s">
        <v>145</v>
      </c>
      <c r="E247" t="s">
        <v>4</v>
      </c>
      <c r="F247" t="s">
        <v>38</v>
      </c>
      <c r="G247" t="s">
        <v>44</v>
      </c>
      <c r="H247" t="s">
        <v>82</v>
      </c>
      <c r="I247" t="s">
        <v>43</v>
      </c>
      <c r="J247" t="s">
        <v>155</v>
      </c>
      <c r="K247" t="s">
        <v>43</v>
      </c>
      <c r="L247" t="s">
        <v>147</v>
      </c>
      <c r="M247" t="s">
        <v>49</v>
      </c>
      <c r="N247" t="s">
        <v>95</v>
      </c>
      <c r="P247" t="s">
        <v>148</v>
      </c>
      <c r="Q247">
        <v>13</v>
      </c>
      <c r="R247">
        <v>4</v>
      </c>
      <c r="S247">
        <v>8</v>
      </c>
      <c r="T247">
        <v>0</v>
      </c>
      <c r="U247">
        <v>0</v>
      </c>
      <c r="V247">
        <v>8</v>
      </c>
      <c r="W247">
        <v>81</v>
      </c>
      <c r="X247">
        <v>1142</v>
      </c>
      <c r="Y247">
        <v>13624</v>
      </c>
      <c r="Z247">
        <v>3968</v>
      </c>
      <c r="AA247">
        <v>3</v>
      </c>
      <c r="AB247" s="29">
        <v>44773</v>
      </c>
      <c r="AC247" s="29">
        <v>29771</v>
      </c>
      <c r="AD247" s="29">
        <v>44350</v>
      </c>
      <c r="AE247" s="29"/>
      <c r="AF247">
        <v>1</v>
      </c>
      <c r="AG247" t="s">
        <v>153</v>
      </c>
      <c r="AI247">
        <v>41</v>
      </c>
      <c r="AJ247">
        <v>2</v>
      </c>
      <c r="AK247" t="s">
        <v>170</v>
      </c>
      <c r="AL247" t="s">
        <v>78</v>
      </c>
      <c r="AM247">
        <f t="shared" si="15"/>
        <v>2</v>
      </c>
      <c r="AN247">
        <f t="shared" si="16"/>
        <v>6</v>
      </c>
      <c r="AO247" t="str">
        <f t="shared" si="17"/>
        <v/>
      </c>
      <c r="AP247" t="str">
        <f t="shared" si="18"/>
        <v/>
      </c>
      <c r="AQ247">
        <f t="shared" si="19"/>
        <v>2021</v>
      </c>
    </row>
    <row r="248" spans="1:43" x14ac:dyDescent="0.35">
      <c r="A248">
        <v>1012</v>
      </c>
      <c r="B248">
        <v>18</v>
      </c>
      <c r="C248" t="s">
        <v>148</v>
      </c>
      <c r="D248" t="s">
        <v>164</v>
      </c>
      <c r="E248" t="s">
        <v>4</v>
      </c>
      <c r="F248" t="s">
        <v>36</v>
      </c>
      <c r="G248" t="s">
        <v>42</v>
      </c>
      <c r="H248" t="s">
        <v>82</v>
      </c>
      <c r="I248" t="s">
        <v>43</v>
      </c>
      <c r="J248" t="s">
        <v>146</v>
      </c>
      <c r="K248" t="s">
        <v>44</v>
      </c>
      <c r="L248" t="s">
        <v>147</v>
      </c>
      <c r="M248" t="s">
        <v>49</v>
      </c>
      <c r="N248" t="s">
        <v>95</v>
      </c>
      <c r="P248" t="s">
        <v>148</v>
      </c>
      <c r="Q248">
        <v>15</v>
      </c>
      <c r="R248">
        <v>1</v>
      </c>
      <c r="S248">
        <v>3</v>
      </c>
      <c r="T248">
        <v>0</v>
      </c>
      <c r="U248">
        <v>0</v>
      </c>
      <c r="V248">
        <v>5</v>
      </c>
      <c r="W248">
        <v>73</v>
      </c>
      <c r="X248">
        <v>287</v>
      </c>
      <c r="Y248">
        <v>13493</v>
      </c>
      <c r="Z248">
        <v>1051</v>
      </c>
      <c r="AA248">
        <v>2</v>
      </c>
      <c r="AB248" s="29">
        <v>44773</v>
      </c>
      <c r="AC248" s="29">
        <v>38502</v>
      </c>
      <c r="AD248" s="29">
        <v>44392</v>
      </c>
      <c r="AE248" s="29"/>
      <c r="AF248">
        <v>1</v>
      </c>
      <c r="AG248" t="s">
        <v>172</v>
      </c>
      <c r="AI248">
        <v>17</v>
      </c>
      <c r="AJ248">
        <v>1</v>
      </c>
      <c r="AK248" t="s">
        <v>170</v>
      </c>
      <c r="AL248" t="s">
        <v>77</v>
      </c>
      <c r="AM248">
        <f t="shared" si="15"/>
        <v>3</v>
      </c>
      <c r="AN248">
        <f t="shared" si="16"/>
        <v>7</v>
      </c>
      <c r="AO248" t="str">
        <f t="shared" si="17"/>
        <v/>
      </c>
      <c r="AP248" t="str">
        <f t="shared" si="18"/>
        <v/>
      </c>
      <c r="AQ248">
        <f t="shared" si="19"/>
        <v>2021</v>
      </c>
    </row>
    <row r="249" spans="1:43" x14ac:dyDescent="0.35">
      <c r="A249">
        <v>834</v>
      </c>
      <c r="B249">
        <v>45</v>
      </c>
      <c r="C249" t="s">
        <v>148</v>
      </c>
      <c r="D249" t="s">
        <v>145</v>
      </c>
      <c r="E249" t="s">
        <v>4</v>
      </c>
      <c r="F249" t="s">
        <v>38</v>
      </c>
      <c r="G249" t="s">
        <v>42</v>
      </c>
      <c r="H249" t="s">
        <v>81</v>
      </c>
      <c r="I249" t="s">
        <v>42</v>
      </c>
      <c r="J249" t="s">
        <v>146</v>
      </c>
      <c r="K249" t="s">
        <v>43</v>
      </c>
      <c r="L249" t="s">
        <v>147</v>
      </c>
      <c r="M249" t="s">
        <v>49</v>
      </c>
      <c r="N249" t="s">
        <v>95</v>
      </c>
      <c r="P249" t="s">
        <v>148</v>
      </c>
      <c r="Q249">
        <v>14</v>
      </c>
      <c r="R249">
        <v>1</v>
      </c>
      <c r="S249">
        <v>1</v>
      </c>
      <c r="T249">
        <v>0</v>
      </c>
      <c r="U249">
        <v>0</v>
      </c>
      <c r="V249">
        <v>2</v>
      </c>
      <c r="W249">
        <v>95</v>
      </c>
      <c r="X249">
        <v>252</v>
      </c>
      <c r="Y249">
        <v>6153</v>
      </c>
      <c r="Z249">
        <v>2274</v>
      </c>
      <c r="AA249">
        <v>3</v>
      </c>
      <c r="AB249" s="29">
        <v>44773</v>
      </c>
      <c r="AC249" s="29">
        <v>28545</v>
      </c>
      <c r="AD249" s="29">
        <v>44432</v>
      </c>
      <c r="AE249" s="29"/>
      <c r="AF249">
        <v>1</v>
      </c>
      <c r="AG249" t="s">
        <v>153</v>
      </c>
      <c r="AI249">
        <v>44</v>
      </c>
      <c r="AJ249">
        <v>2</v>
      </c>
      <c r="AK249" t="s">
        <v>170</v>
      </c>
      <c r="AL249" t="s">
        <v>77</v>
      </c>
      <c r="AM249">
        <f t="shared" si="15"/>
        <v>3</v>
      </c>
      <c r="AN249">
        <f t="shared" si="16"/>
        <v>8</v>
      </c>
      <c r="AO249" t="str">
        <f t="shared" si="17"/>
        <v/>
      </c>
      <c r="AP249" t="str">
        <f t="shared" si="18"/>
        <v/>
      </c>
      <c r="AQ249">
        <f t="shared" si="19"/>
        <v>2021</v>
      </c>
    </row>
    <row r="250" spans="1:43" x14ac:dyDescent="0.35">
      <c r="A250">
        <v>1581</v>
      </c>
      <c r="B250">
        <v>26</v>
      </c>
      <c r="C250" t="s">
        <v>148</v>
      </c>
      <c r="D250" t="s">
        <v>145</v>
      </c>
      <c r="E250" t="s">
        <v>4</v>
      </c>
      <c r="F250" t="s">
        <v>38</v>
      </c>
      <c r="G250" t="s">
        <v>41</v>
      </c>
      <c r="H250" t="s">
        <v>81</v>
      </c>
      <c r="I250" t="s">
        <v>43</v>
      </c>
      <c r="J250" t="s">
        <v>146</v>
      </c>
      <c r="K250" t="s">
        <v>44</v>
      </c>
      <c r="L250" t="s">
        <v>152</v>
      </c>
      <c r="M250" t="s">
        <v>49</v>
      </c>
      <c r="N250" t="s">
        <v>160</v>
      </c>
      <c r="P250" t="s">
        <v>148</v>
      </c>
      <c r="Q250">
        <v>21</v>
      </c>
      <c r="R250">
        <v>1</v>
      </c>
      <c r="S250">
        <v>1</v>
      </c>
      <c r="T250">
        <v>0</v>
      </c>
      <c r="U250">
        <v>0</v>
      </c>
      <c r="V250">
        <v>3</v>
      </c>
      <c r="W250">
        <v>89</v>
      </c>
      <c r="X250">
        <v>474</v>
      </c>
      <c r="Y250">
        <v>11133</v>
      </c>
      <c r="Z250">
        <v>2061</v>
      </c>
      <c r="AA250">
        <v>5</v>
      </c>
      <c r="AB250" s="29">
        <v>44773</v>
      </c>
      <c r="AC250" s="29">
        <v>35412</v>
      </c>
      <c r="AD250" s="29">
        <v>44440</v>
      </c>
      <c r="AE250" s="29"/>
      <c r="AF250">
        <v>1</v>
      </c>
      <c r="AG250" t="s">
        <v>157</v>
      </c>
      <c r="AI250">
        <v>25</v>
      </c>
      <c r="AJ250">
        <v>1</v>
      </c>
      <c r="AK250" t="s">
        <v>170</v>
      </c>
      <c r="AL250" t="s">
        <v>77</v>
      </c>
      <c r="AM250">
        <f t="shared" si="15"/>
        <v>3</v>
      </c>
      <c r="AN250">
        <f t="shared" si="16"/>
        <v>9</v>
      </c>
      <c r="AO250" t="str">
        <f t="shared" si="17"/>
        <v/>
      </c>
      <c r="AP250" t="str">
        <f t="shared" si="18"/>
        <v/>
      </c>
      <c r="AQ250">
        <f t="shared" si="19"/>
        <v>2021</v>
      </c>
    </row>
    <row r="251" spans="1:43" x14ac:dyDescent="0.35">
      <c r="A251">
        <v>134</v>
      </c>
      <c r="B251">
        <v>32</v>
      </c>
      <c r="C251" t="s">
        <v>148</v>
      </c>
      <c r="D251" t="s">
        <v>145</v>
      </c>
      <c r="E251" t="s">
        <v>4</v>
      </c>
      <c r="F251" t="s">
        <v>35</v>
      </c>
      <c r="G251" t="s">
        <v>44</v>
      </c>
      <c r="H251" t="s">
        <v>82</v>
      </c>
      <c r="I251" t="s">
        <v>43</v>
      </c>
      <c r="J251" t="s">
        <v>146</v>
      </c>
      <c r="K251" t="s">
        <v>41</v>
      </c>
      <c r="L251" t="s">
        <v>147</v>
      </c>
      <c r="M251" t="s">
        <v>49</v>
      </c>
      <c r="N251" t="s">
        <v>95</v>
      </c>
      <c r="P251" t="s">
        <v>148</v>
      </c>
      <c r="Q251">
        <v>13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71</v>
      </c>
      <c r="X251">
        <v>827</v>
      </c>
      <c r="Y251">
        <v>15178</v>
      </c>
      <c r="Z251">
        <v>2956</v>
      </c>
      <c r="AA251">
        <v>2</v>
      </c>
      <c r="AB251" s="29">
        <v>44773</v>
      </c>
      <c r="AC251" s="29">
        <v>33306</v>
      </c>
      <c r="AD251" s="29">
        <v>44450</v>
      </c>
      <c r="AE251" s="29"/>
      <c r="AF251">
        <v>1</v>
      </c>
      <c r="AG251" t="s">
        <v>149</v>
      </c>
      <c r="AI251">
        <v>31</v>
      </c>
      <c r="AJ251">
        <v>1</v>
      </c>
      <c r="AK251" t="s">
        <v>170</v>
      </c>
      <c r="AL251" t="s">
        <v>77</v>
      </c>
      <c r="AM251">
        <f t="shared" si="15"/>
        <v>3</v>
      </c>
      <c r="AN251">
        <f t="shared" si="16"/>
        <v>9</v>
      </c>
      <c r="AO251" t="str">
        <f t="shared" si="17"/>
        <v/>
      </c>
      <c r="AP251" t="str">
        <f t="shared" si="18"/>
        <v/>
      </c>
      <c r="AQ251">
        <f t="shared" si="19"/>
        <v>2021</v>
      </c>
    </row>
    <row r="252" spans="1:43" x14ac:dyDescent="0.35">
      <c r="A252">
        <v>1542</v>
      </c>
      <c r="B252">
        <v>42</v>
      </c>
      <c r="C252" t="s">
        <v>148</v>
      </c>
      <c r="D252" t="s">
        <v>145</v>
      </c>
      <c r="E252" t="s">
        <v>4</v>
      </c>
      <c r="F252" t="s">
        <v>38</v>
      </c>
      <c r="G252" t="s">
        <v>43</v>
      </c>
      <c r="H252" t="s">
        <v>82</v>
      </c>
      <c r="I252" t="s">
        <v>42</v>
      </c>
      <c r="J252" t="s">
        <v>155</v>
      </c>
      <c r="K252" t="s">
        <v>42</v>
      </c>
      <c r="L252" t="s">
        <v>147</v>
      </c>
      <c r="M252" t="s">
        <v>49</v>
      </c>
      <c r="N252" t="s">
        <v>160</v>
      </c>
      <c r="O252" t="s">
        <v>41</v>
      </c>
      <c r="P252" t="s">
        <v>148</v>
      </c>
      <c r="Q252">
        <v>14</v>
      </c>
      <c r="R252">
        <v>4</v>
      </c>
      <c r="S252">
        <v>4</v>
      </c>
      <c r="T252">
        <v>0</v>
      </c>
      <c r="U252">
        <v>0</v>
      </c>
      <c r="V252">
        <v>2</v>
      </c>
      <c r="W252">
        <v>68</v>
      </c>
      <c r="X252">
        <v>1210</v>
      </c>
      <c r="Y252">
        <v>24052</v>
      </c>
      <c r="Z252">
        <v>4841</v>
      </c>
      <c r="AA252">
        <v>3</v>
      </c>
      <c r="AB252" s="29">
        <v>44773</v>
      </c>
      <c r="AC252" s="29">
        <v>29737</v>
      </c>
      <c r="AD252" s="29">
        <v>44466</v>
      </c>
      <c r="AE252" s="29"/>
      <c r="AF252">
        <v>1</v>
      </c>
      <c r="AG252" t="s">
        <v>153</v>
      </c>
      <c r="AI252">
        <v>41</v>
      </c>
      <c r="AJ252">
        <v>1</v>
      </c>
      <c r="AK252" t="s">
        <v>170</v>
      </c>
      <c r="AL252" t="s">
        <v>77</v>
      </c>
      <c r="AM252">
        <f t="shared" si="15"/>
        <v>3</v>
      </c>
      <c r="AN252">
        <f t="shared" si="16"/>
        <v>9</v>
      </c>
      <c r="AO252" t="str">
        <f t="shared" si="17"/>
        <v/>
      </c>
      <c r="AP252" t="str">
        <f t="shared" si="18"/>
        <v/>
      </c>
      <c r="AQ252">
        <f t="shared" si="19"/>
        <v>2021</v>
      </c>
    </row>
    <row r="253" spans="1:43" x14ac:dyDescent="0.35">
      <c r="A253">
        <v>1994</v>
      </c>
      <c r="B253">
        <v>33</v>
      </c>
      <c r="C253" t="s">
        <v>148</v>
      </c>
      <c r="D253" t="s">
        <v>164</v>
      </c>
      <c r="E253" t="s">
        <v>4</v>
      </c>
      <c r="F253" t="s">
        <v>36</v>
      </c>
      <c r="G253" t="s">
        <v>42</v>
      </c>
      <c r="H253" t="s">
        <v>82</v>
      </c>
      <c r="I253" t="s">
        <v>42</v>
      </c>
      <c r="J253" t="s">
        <v>155</v>
      </c>
      <c r="K253" t="s">
        <v>43</v>
      </c>
      <c r="L253" t="s">
        <v>147</v>
      </c>
      <c r="M253" t="s">
        <v>48</v>
      </c>
      <c r="N253" t="s">
        <v>96</v>
      </c>
      <c r="O253" t="s">
        <v>43</v>
      </c>
      <c r="P253" t="s">
        <v>148</v>
      </c>
      <c r="Q253">
        <v>12</v>
      </c>
      <c r="R253">
        <v>1</v>
      </c>
      <c r="S253">
        <v>1</v>
      </c>
      <c r="T253">
        <v>0</v>
      </c>
      <c r="U253">
        <v>0</v>
      </c>
      <c r="V253">
        <v>1</v>
      </c>
      <c r="W253">
        <v>59</v>
      </c>
      <c r="X253">
        <v>1313</v>
      </c>
      <c r="Y253">
        <v>20439</v>
      </c>
      <c r="Z253">
        <v>2008</v>
      </c>
      <c r="AA253">
        <v>2</v>
      </c>
      <c r="AB253" s="29">
        <v>44773</v>
      </c>
      <c r="AC253" s="29">
        <v>33044</v>
      </c>
      <c r="AD253" s="29">
        <v>44490</v>
      </c>
      <c r="AE253" s="29"/>
      <c r="AF253">
        <v>1</v>
      </c>
      <c r="AG253" t="s">
        <v>149</v>
      </c>
      <c r="AI253">
        <v>32</v>
      </c>
      <c r="AJ253">
        <v>2</v>
      </c>
      <c r="AK253" t="s">
        <v>170</v>
      </c>
      <c r="AL253" t="s">
        <v>77</v>
      </c>
      <c r="AM253">
        <f t="shared" si="15"/>
        <v>4</v>
      </c>
      <c r="AN253">
        <f t="shared" si="16"/>
        <v>10</v>
      </c>
      <c r="AO253" t="str">
        <f t="shared" si="17"/>
        <v/>
      </c>
      <c r="AP253" t="str">
        <f t="shared" si="18"/>
        <v/>
      </c>
      <c r="AQ253">
        <f t="shared" si="19"/>
        <v>2021</v>
      </c>
    </row>
    <row r="254" spans="1:43" x14ac:dyDescent="0.35">
      <c r="A254">
        <v>1762</v>
      </c>
      <c r="B254">
        <v>29</v>
      </c>
      <c r="C254" t="s">
        <v>148</v>
      </c>
      <c r="D254" t="s">
        <v>145</v>
      </c>
      <c r="E254" t="s">
        <v>4</v>
      </c>
      <c r="F254" t="s">
        <v>38</v>
      </c>
      <c r="G254" t="s">
        <v>44</v>
      </c>
      <c r="H254" t="s">
        <v>81</v>
      </c>
      <c r="I254" t="s">
        <v>42</v>
      </c>
      <c r="J254" t="s">
        <v>146</v>
      </c>
      <c r="K254" t="s">
        <v>41</v>
      </c>
      <c r="L254" t="s">
        <v>147</v>
      </c>
      <c r="M254" t="s">
        <v>49</v>
      </c>
      <c r="N254" t="s">
        <v>96</v>
      </c>
      <c r="O254" t="s">
        <v>41</v>
      </c>
      <c r="P254" t="s">
        <v>148</v>
      </c>
      <c r="Q254">
        <v>13</v>
      </c>
      <c r="R254">
        <v>1</v>
      </c>
      <c r="S254">
        <v>1</v>
      </c>
      <c r="T254">
        <v>0</v>
      </c>
      <c r="U254">
        <v>0</v>
      </c>
      <c r="V254">
        <v>4</v>
      </c>
      <c r="W254">
        <v>91</v>
      </c>
      <c r="X254">
        <v>590</v>
      </c>
      <c r="Y254">
        <v>10007</v>
      </c>
      <c r="Z254">
        <v>2109</v>
      </c>
      <c r="AA254">
        <v>2</v>
      </c>
      <c r="AB254" s="29">
        <v>44773</v>
      </c>
      <c r="AC254" s="29">
        <v>34449</v>
      </c>
      <c r="AD254" s="29">
        <v>44497</v>
      </c>
      <c r="AE254" s="29"/>
      <c r="AF254">
        <v>1</v>
      </c>
      <c r="AG254" t="s">
        <v>157</v>
      </c>
      <c r="AI254">
        <v>28</v>
      </c>
      <c r="AJ254">
        <v>1</v>
      </c>
      <c r="AK254" t="s">
        <v>170</v>
      </c>
      <c r="AL254" t="s">
        <v>77</v>
      </c>
      <c r="AM254">
        <f t="shared" si="15"/>
        <v>4</v>
      </c>
      <c r="AN254">
        <f t="shared" si="16"/>
        <v>10</v>
      </c>
      <c r="AO254" t="str">
        <f t="shared" si="17"/>
        <v/>
      </c>
      <c r="AP254" t="str">
        <f t="shared" si="18"/>
        <v/>
      </c>
      <c r="AQ254">
        <f t="shared" si="19"/>
        <v>2021</v>
      </c>
    </row>
    <row r="255" spans="1:43" x14ac:dyDescent="0.35">
      <c r="A255">
        <v>1364</v>
      </c>
      <c r="B255">
        <v>27</v>
      </c>
      <c r="C255" t="s">
        <v>148</v>
      </c>
      <c r="D255" t="s">
        <v>145</v>
      </c>
      <c r="E255" t="s">
        <v>158</v>
      </c>
      <c r="F255" t="s">
        <v>38</v>
      </c>
      <c r="G255" t="s">
        <v>43</v>
      </c>
      <c r="H255" t="s">
        <v>81</v>
      </c>
      <c r="I255" t="s">
        <v>44</v>
      </c>
      <c r="J255" t="s">
        <v>166</v>
      </c>
      <c r="K255" t="s">
        <v>44</v>
      </c>
      <c r="L255" t="s">
        <v>147</v>
      </c>
      <c r="M255" t="s">
        <v>49</v>
      </c>
      <c r="N255" t="s">
        <v>160</v>
      </c>
      <c r="O255" t="s">
        <v>41</v>
      </c>
      <c r="P255" t="s">
        <v>148</v>
      </c>
      <c r="Q255">
        <v>14</v>
      </c>
      <c r="R255">
        <v>8</v>
      </c>
      <c r="S255">
        <v>5</v>
      </c>
      <c r="T255">
        <v>0</v>
      </c>
      <c r="U255">
        <v>0</v>
      </c>
      <c r="V255">
        <v>11</v>
      </c>
      <c r="W255">
        <v>98</v>
      </c>
      <c r="X255">
        <v>1291</v>
      </c>
      <c r="Y255">
        <v>6527</v>
      </c>
      <c r="Z255">
        <v>2534</v>
      </c>
      <c r="AA255">
        <v>4</v>
      </c>
      <c r="AB255" s="29">
        <v>44773</v>
      </c>
      <c r="AC255" s="29">
        <v>35121</v>
      </c>
      <c r="AD255" s="29">
        <v>44498</v>
      </c>
      <c r="AE255" s="29"/>
      <c r="AF255">
        <v>1</v>
      </c>
      <c r="AG255" t="s">
        <v>157</v>
      </c>
      <c r="AI255">
        <v>26</v>
      </c>
      <c r="AJ255">
        <v>1</v>
      </c>
      <c r="AK255" t="s">
        <v>170</v>
      </c>
      <c r="AL255" t="s">
        <v>78</v>
      </c>
      <c r="AM255">
        <f t="shared" si="15"/>
        <v>4</v>
      </c>
      <c r="AN255">
        <f t="shared" si="16"/>
        <v>10</v>
      </c>
      <c r="AO255" t="str">
        <f t="shared" si="17"/>
        <v/>
      </c>
      <c r="AP255" t="str">
        <f t="shared" si="18"/>
        <v/>
      </c>
      <c r="AQ255">
        <f t="shared" si="19"/>
        <v>2021</v>
      </c>
    </row>
    <row r="256" spans="1:43" x14ac:dyDescent="0.35">
      <c r="A256">
        <v>704</v>
      </c>
      <c r="B256">
        <v>35</v>
      </c>
      <c r="C256" t="s">
        <v>148</v>
      </c>
      <c r="D256" t="s">
        <v>164</v>
      </c>
      <c r="E256" t="s">
        <v>4</v>
      </c>
      <c r="F256" t="s">
        <v>38</v>
      </c>
      <c r="G256" t="s">
        <v>43</v>
      </c>
      <c r="H256" t="s">
        <v>82</v>
      </c>
      <c r="I256" t="s">
        <v>42</v>
      </c>
      <c r="J256" t="s">
        <v>155</v>
      </c>
      <c r="K256" t="s">
        <v>43</v>
      </c>
      <c r="L256" t="s">
        <v>147</v>
      </c>
      <c r="M256" t="s">
        <v>49</v>
      </c>
      <c r="N256" t="s">
        <v>160</v>
      </c>
      <c r="O256" t="s">
        <v>156</v>
      </c>
      <c r="P256" t="s">
        <v>148</v>
      </c>
      <c r="Q256">
        <v>18</v>
      </c>
      <c r="R256">
        <v>1</v>
      </c>
      <c r="S256">
        <v>1</v>
      </c>
      <c r="T256">
        <v>0</v>
      </c>
      <c r="U256">
        <v>0</v>
      </c>
      <c r="V256">
        <v>3</v>
      </c>
      <c r="W256">
        <v>41</v>
      </c>
      <c r="X256">
        <v>727</v>
      </c>
      <c r="Y256">
        <v>16900</v>
      </c>
      <c r="Z256">
        <v>1281</v>
      </c>
      <c r="AA256">
        <v>3</v>
      </c>
      <c r="AB256" s="29">
        <v>44773</v>
      </c>
      <c r="AC256" s="29">
        <v>32180</v>
      </c>
      <c r="AD256" s="29">
        <v>44500</v>
      </c>
      <c r="AE256" s="29"/>
      <c r="AF256">
        <v>1</v>
      </c>
      <c r="AG256" t="s">
        <v>149</v>
      </c>
      <c r="AI256">
        <v>34</v>
      </c>
      <c r="AJ256">
        <v>1</v>
      </c>
      <c r="AK256" t="s">
        <v>170</v>
      </c>
      <c r="AL256" t="s">
        <v>77</v>
      </c>
      <c r="AM256">
        <f t="shared" si="15"/>
        <v>4</v>
      </c>
      <c r="AN256">
        <f t="shared" si="16"/>
        <v>10</v>
      </c>
      <c r="AO256" t="str">
        <f t="shared" si="17"/>
        <v/>
      </c>
      <c r="AP256" t="str">
        <f t="shared" si="18"/>
        <v/>
      </c>
      <c r="AQ256">
        <f t="shared" si="19"/>
        <v>2021</v>
      </c>
    </row>
    <row r="257" spans="1:43" x14ac:dyDescent="0.35">
      <c r="A257">
        <v>353</v>
      </c>
      <c r="B257">
        <v>51</v>
      </c>
      <c r="C257" t="s">
        <v>148</v>
      </c>
      <c r="D257" t="s">
        <v>145</v>
      </c>
      <c r="E257" t="s">
        <v>4</v>
      </c>
      <c r="F257" t="s">
        <v>38</v>
      </c>
      <c r="G257" t="s">
        <v>43</v>
      </c>
      <c r="H257" t="s">
        <v>82</v>
      </c>
      <c r="I257" t="s">
        <v>43</v>
      </c>
      <c r="J257" t="s">
        <v>146</v>
      </c>
      <c r="K257" t="s">
        <v>44</v>
      </c>
      <c r="L257" t="s">
        <v>147</v>
      </c>
      <c r="M257" t="s">
        <v>48</v>
      </c>
      <c r="N257" t="s">
        <v>160</v>
      </c>
      <c r="P257" t="s">
        <v>148</v>
      </c>
      <c r="Q257">
        <v>11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96</v>
      </c>
      <c r="X257">
        <v>833</v>
      </c>
      <c r="Y257">
        <v>23231</v>
      </c>
      <c r="Z257">
        <v>2723</v>
      </c>
      <c r="AA257">
        <v>0</v>
      </c>
      <c r="AB257" s="29">
        <v>44773</v>
      </c>
      <c r="AC257" s="29">
        <v>26416</v>
      </c>
      <c r="AD257" s="29">
        <v>44502</v>
      </c>
      <c r="AE257" s="29"/>
      <c r="AF257">
        <v>1</v>
      </c>
      <c r="AG257" t="s">
        <v>167</v>
      </c>
      <c r="AI257">
        <v>50</v>
      </c>
      <c r="AJ257">
        <v>1</v>
      </c>
      <c r="AK257" t="s">
        <v>170</v>
      </c>
      <c r="AL257" t="s">
        <v>77</v>
      </c>
      <c r="AM257">
        <f t="shared" si="15"/>
        <v>4</v>
      </c>
      <c r="AN257">
        <f t="shared" si="16"/>
        <v>11</v>
      </c>
      <c r="AO257" t="str">
        <f t="shared" si="17"/>
        <v/>
      </c>
      <c r="AP257" t="str">
        <f t="shared" si="18"/>
        <v/>
      </c>
      <c r="AQ257">
        <f t="shared" si="19"/>
        <v>2021</v>
      </c>
    </row>
    <row r="258" spans="1:43" x14ac:dyDescent="0.35">
      <c r="A258">
        <v>933</v>
      </c>
      <c r="B258">
        <v>27</v>
      </c>
      <c r="C258" t="s">
        <v>148</v>
      </c>
      <c r="D258" t="s">
        <v>145</v>
      </c>
      <c r="E258" t="s">
        <v>4</v>
      </c>
      <c r="F258" t="s">
        <v>38</v>
      </c>
      <c r="G258" t="s">
        <v>42</v>
      </c>
      <c r="H258" t="s">
        <v>81</v>
      </c>
      <c r="I258" t="s">
        <v>43</v>
      </c>
      <c r="J258" t="s">
        <v>146</v>
      </c>
      <c r="K258" t="s">
        <v>43</v>
      </c>
      <c r="L258" t="s">
        <v>147</v>
      </c>
      <c r="M258" t="s">
        <v>49</v>
      </c>
      <c r="N258" t="s">
        <v>95</v>
      </c>
      <c r="P258" t="s">
        <v>148</v>
      </c>
      <c r="Q258">
        <v>19</v>
      </c>
      <c r="R258">
        <v>1</v>
      </c>
      <c r="S258">
        <v>1</v>
      </c>
      <c r="T258">
        <v>0</v>
      </c>
      <c r="U258">
        <v>0</v>
      </c>
      <c r="V258">
        <v>4</v>
      </c>
      <c r="W258">
        <v>76</v>
      </c>
      <c r="X258">
        <v>618</v>
      </c>
      <c r="Y258">
        <v>17808</v>
      </c>
      <c r="Z258">
        <v>2318</v>
      </c>
      <c r="AA258">
        <v>2</v>
      </c>
      <c r="AB258" s="29">
        <v>44773</v>
      </c>
      <c r="AC258" s="29">
        <v>34918</v>
      </c>
      <c r="AD258" s="29">
        <v>44503</v>
      </c>
      <c r="AE258" s="29"/>
      <c r="AF258">
        <v>1</v>
      </c>
      <c r="AG258" t="s">
        <v>157</v>
      </c>
      <c r="AI258">
        <v>26</v>
      </c>
      <c r="AJ258">
        <v>1</v>
      </c>
      <c r="AK258" t="s">
        <v>170</v>
      </c>
      <c r="AL258" t="s">
        <v>77</v>
      </c>
      <c r="AM258">
        <f t="shared" ref="AM258:AM321" si="20">ROUNDUP(MONTH(AD258)/3,0)</f>
        <v>4</v>
      </c>
      <c r="AN258">
        <f t="shared" ref="AN258:AN321" si="21">MONTH(AD258)</f>
        <v>11</v>
      </c>
      <c r="AO258" t="str">
        <f t="shared" ref="AO258:AO321" si="22">IF(C258="Yes",ROUNDUP(MONTH(AE258)/3,0),"")</f>
        <v/>
      </c>
      <c r="AP258" t="str">
        <f t="shared" ref="AP258:AP321" si="23">IF(C258="Yes",MONTH(AE258),"")</f>
        <v/>
      </c>
      <c r="AQ258">
        <f t="shared" ref="AQ258:AQ321" si="24">YEAR(AD258)</f>
        <v>2021</v>
      </c>
    </row>
    <row r="259" spans="1:43" x14ac:dyDescent="0.35">
      <c r="A259">
        <v>11</v>
      </c>
      <c r="B259">
        <v>30</v>
      </c>
      <c r="C259" t="s">
        <v>148</v>
      </c>
      <c r="D259" t="s">
        <v>145</v>
      </c>
      <c r="E259" t="s">
        <v>4</v>
      </c>
      <c r="F259" t="s">
        <v>35</v>
      </c>
      <c r="G259" t="s">
        <v>44</v>
      </c>
      <c r="H259" t="s">
        <v>82</v>
      </c>
      <c r="I259" t="s">
        <v>43</v>
      </c>
      <c r="J259" t="s">
        <v>155</v>
      </c>
      <c r="K259" t="s">
        <v>43</v>
      </c>
      <c r="L259" t="s">
        <v>147</v>
      </c>
      <c r="M259" t="s">
        <v>49</v>
      </c>
      <c r="N259" t="s">
        <v>96</v>
      </c>
      <c r="O259" t="s">
        <v>41</v>
      </c>
      <c r="P259" t="s">
        <v>148</v>
      </c>
      <c r="Q259">
        <v>22</v>
      </c>
      <c r="R259">
        <v>1</v>
      </c>
      <c r="S259">
        <v>1</v>
      </c>
      <c r="T259">
        <v>0</v>
      </c>
      <c r="U259">
        <v>0</v>
      </c>
      <c r="V259">
        <v>24</v>
      </c>
      <c r="W259">
        <v>67</v>
      </c>
      <c r="X259">
        <v>1358</v>
      </c>
      <c r="Y259">
        <v>13335</v>
      </c>
      <c r="Z259">
        <v>2693</v>
      </c>
      <c r="AA259">
        <v>2</v>
      </c>
      <c r="AB259" s="29">
        <v>44773</v>
      </c>
      <c r="AC259" s="29">
        <v>33856</v>
      </c>
      <c r="AD259" s="29">
        <v>44504</v>
      </c>
      <c r="AE259" s="29"/>
      <c r="AF259">
        <v>1</v>
      </c>
      <c r="AG259" t="s">
        <v>149</v>
      </c>
      <c r="AI259">
        <v>29</v>
      </c>
      <c r="AJ259">
        <v>1</v>
      </c>
      <c r="AK259" t="s">
        <v>170</v>
      </c>
      <c r="AL259" t="s">
        <v>77</v>
      </c>
      <c r="AM259">
        <f t="shared" si="20"/>
        <v>4</v>
      </c>
      <c r="AN259">
        <f t="shared" si="21"/>
        <v>11</v>
      </c>
      <c r="AO259" t="str">
        <f t="shared" si="22"/>
        <v/>
      </c>
      <c r="AP259" t="str">
        <f t="shared" si="23"/>
        <v/>
      </c>
      <c r="AQ259">
        <f t="shared" si="24"/>
        <v>2021</v>
      </c>
    </row>
    <row r="260" spans="1:43" x14ac:dyDescent="0.35">
      <c r="A260">
        <v>1193</v>
      </c>
      <c r="B260">
        <v>19</v>
      </c>
      <c r="C260" t="s">
        <v>148</v>
      </c>
      <c r="D260" t="s">
        <v>145</v>
      </c>
      <c r="E260" t="s">
        <v>4</v>
      </c>
      <c r="F260" t="s">
        <v>36</v>
      </c>
      <c r="G260" t="s">
        <v>43</v>
      </c>
      <c r="H260" t="s">
        <v>82</v>
      </c>
      <c r="I260" t="s">
        <v>43</v>
      </c>
      <c r="J260" t="s">
        <v>146</v>
      </c>
      <c r="K260" t="s">
        <v>41</v>
      </c>
      <c r="L260" t="s">
        <v>152</v>
      </c>
      <c r="M260" t="s">
        <v>49</v>
      </c>
      <c r="N260" t="s">
        <v>95</v>
      </c>
      <c r="P260" t="s">
        <v>148</v>
      </c>
      <c r="Q260">
        <v>25</v>
      </c>
      <c r="R260">
        <v>1</v>
      </c>
      <c r="S260">
        <v>1</v>
      </c>
      <c r="T260">
        <v>0</v>
      </c>
      <c r="U260">
        <v>0</v>
      </c>
      <c r="V260">
        <v>9</v>
      </c>
      <c r="W260">
        <v>54</v>
      </c>
      <c r="X260">
        <v>645</v>
      </c>
      <c r="Y260">
        <v>7172</v>
      </c>
      <c r="Z260">
        <v>2552</v>
      </c>
      <c r="AA260">
        <v>4</v>
      </c>
      <c r="AB260" s="29">
        <v>44773</v>
      </c>
      <c r="AC260" s="29">
        <v>38146</v>
      </c>
      <c r="AD260" s="29">
        <v>44509</v>
      </c>
      <c r="AE260" s="29"/>
      <c r="AF260">
        <v>1</v>
      </c>
      <c r="AG260" t="s">
        <v>172</v>
      </c>
      <c r="AI260">
        <v>18</v>
      </c>
      <c r="AJ260">
        <v>1</v>
      </c>
      <c r="AK260" t="s">
        <v>170</v>
      </c>
      <c r="AL260" t="s">
        <v>77</v>
      </c>
      <c r="AM260">
        <f t="shared" si="20"/>
        <v>4</v>
      </c>
      <c r="AN260">
        <f t="shared" si="21"/>
        <v>11</v>
      </c>
      <c r="AO260" t="str">
        <f t="shared" si="22"/>
        <v/>
      </c>
      <c r="AP260" t="str">
        <f t="shared" si="23"/>
        <v/>
      </c>
      <c r="AQ260">
        <f t="shared" si="24"/>
        <v>2021</v>
      </c>
    </row>
    <row r="261" spans="1:43" x14ac:dyDescent="0.35">
      <c r="A261">
        <v>657</v>
      </c>
      <c r="B261">
        <v>20</v>
      </c>
      <c r="C261" t="s">
        <v>148</v>
      </c>
      <c r="D261" t="s">
        <v>145</v>
      </c>
      <c r="E261" t="s">
        <v>4</v>
      </c>
      <c r="F261" t="s">
        <v>38</v>
      </c>
      <c r="G261" t="s">
        <v>44</v>
      </c>
      <c r="H261" t="s">
        <v>81</v>
      </c>
      <c r="I261" t="s">
        <v>42</v>
      </c>
      <c r="J261" t="s">
        <v>146</v>
      </c>
      <c r="K261" t="s">
        <v>42</v>
      </c>
      <c r="L261" t="s">
        <v>147</v>
      </c>
      <c r="M261" t="s">
        <v>50</v>
      </c>
      <c r="N261" t="s">
        <v>95</v>
      </c>
      <c r="P261" t="s">
        <v>148</v>
      </c>
      <c r="Q261">
        <v>13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83</v>
      </c>
      <c r="X261">
        <v>959</v>
      </c>
      <c r="Y261">
        <v>11757</v>
      </c>
      <c r="Z261">
        <v>2836</v>
      </c>
      <c r="AA261">
        <v>0</v>
      </c>
      <c r="AB261" s="29">
        <v>44773</v>
      </c>
      <c r="AC261" s="29">
        <v>37504</v>
      </c>
      <c r="AD261" s="29">
        <v>44511</v>
      </c>
      <c r="AE261" s="29"/>
      <c r="AF261">
        <v>1</v>
      </c>
      <c r="AG261" t="s">
        <v>157</v>
      </c>
      <c r="AI261">
        <v>19</v>
      </c>
      <c r="AJ261">
        <v>1</v>
      </c>
      <c r="AK261" t="s">
        <v>170</v>
      </c>
      <c r="AL261" t="s">
        <v>77</v>
      </c>
      <c r="AM261">
        <f t="shared" si="20"/>
        <v>4</v>
      </c>
      <c r="AN261">
        <f t="shared" si="21"/>
        <v>11</v>
      </c>
      <c r="AO261" t="str">
        <f t="shared" si="22"/>
        <v/>
      </c>
      <c r="AP261" t="str">
        <f t="shared" si="23"/>
        <v/>
      </c>
      <c r="AQ261">
        <f t="shared" si="24"/>
        <v>2021</v>
      </c>
    </row>
    <row r="262" spans="1:43" x14ac:dyDescent="0.35">
      <c r="A262">
        <v>309</v>
      </c>
      <c r="B262">
        <v>59</v>
      </c>
      <c r="C262" t="s">
        <v>148</v>
      </c>
      <c r="D262" t="s">
        <v>145</v>
      </c>
      <c r="E262" t="s">
        <v>4</v>
      </c>
      <c r="F262" t="s">
        <v>38</v>
      </c>
      <c r="G262" t="s">
        <v>43</v>
      </c>
      <c r="H262" t="s">
        <v>82</v>
      </c>
      <c r="I262" t="s">
        <v>42</v>
      </c>
      <c r="J262" t="s">
        <v>146</v>
      </c>
      <c r="K262" t="s">
        <v>44</v>
      </c>
      <c r="L262" t="s">
        <v>147</v>
      </c>
      <c r="M262" t="s">
        <v>49</v>
      </c>
      <c r="N262" t="s">
        <v>160</v>
      </c>
      <c r="O262" t="s">
        <v>41</v>
      </c>
      <c r="P262" t="s">
        <v>148</v>
      </c>
      <c r="Q262">
        <v>17</v>
      </c>
      <c r="R262">
        <v>3</v>
      </c>
      <c r="S262">
        <v>7</v>
      </c>
      <c r="T262">
        <v>0</v>
      </c>
      <c r="U262">
        <v>0</v>
      </c>
      <c r="V262">
        <v>3</v>
      </c>
      <c r="W262">
        <v>70</v>
      </c>
      <c r="X262">
        <v>142</v>
      </c>
      <c r="Y262">
        <v>8456</v>
      </c>
      <c r="Z262">
        <v>2177</v>
      </c>
      <c r="AA262">
        <v>6</v>
      </c>
      <c r="AB262" s="29">
        <v>44773</v>
      </c>
      <c r="AC262" s="29">
        <v>23481</v>
      </c>
      <c r="AD262" s="29">
        <v>44516</v>
      </c>
      <c r="AE262" s="29"/>
      <c r="AF262">
        <v>1</v>
      </c>
      <c r="AG262" t="s">
        <v>167</v>
      </c>
      <c r="AI262">
        <v>58</v>
      </c>
      <c r="AJ262">
        <v>1</v>
      </c>
      <c r="AK262" t="s">
        <v>170</v>
      </c>
      <c r="AL262" t="s">
        <v>77</v>
      </c>
      <c r="AM262">
        <f t="shared" si="20"/>
        <v>4</v>
      </c>
      <c r="AN262">
        <f t="shared" si="21"/>
        <v>11</v>
      </c>
      <c r="AO262" t="str">
        <f t="shared" si="22"/>
        <v/>
      </c>
      <c r="AP262" t="str">
        <f t="shared" si="23"/>
        <v/>
      </c>
      <c r="AQ262">
        <f t="shared" si="24"/>
        <v>2021</v>
      </c>
    </row>
    <row r="263" spans="1:43" x14ac:dyDescent="0.35">
      <c r="A263">
        <v>1265</v>
      </c>
      <c r="B263">
        <v>34</v>
      </c>
      <c r="C263" t="s">
        <v>148</v>
      </c>
      <c r="D263" t="s">
        <v>145</v>
      </c>
      <c r="E263" t="s">
        <v>4</v>
      </c>
      <c r="F263" t="s">
        <v>38</v>
      </c>
      <c r="G263" t="s">
        <v>43</v>
      </c>
      <c r="H263" t="s">
        <v>81</v>
      </c>
      <c r="I263" t="s">
        <v>44</v>
      </c>
      <c r="J263" t="s">
        <v>146</v>
      </c>
      <c r="K263" t="s">
        <v>43</v>
      </c>
      <c r="L263" t="s">
        <v>147</v>
      </c>
      <c r="M263" t="s">
        <v>48</v>
      </c>
      <c r="N263" t="s">
        <v>160</v>
      </c>
      <c r="P263" t="s">
        <v>148</v>
      </c>
      <c r="Q263">
        <v>17</v>
      </c>
      <c r="R263">
        <v>0</v>
      </c>
      <c r="S263">
        <v>2</v>
      </c>
      <c r="T263">
        <v>0</v>
      </c>
      <c r="U263">
        <v>0</v>
      </c>
      <c r="V263">
        <v>20</v>
      </c>
      <c r="W263">
        <v>89</v>
      </c>
      <c r="X263">
        <v>1320</v>
      </c>
      <c r="Y263">
        <v>21643</v>
      </c>
      <c r="Z263">
        <v>2585</v>
      </c>
      <c r="AA263">
        <v>5</v>
      </c>
      <c r="AB263" s="29">
        <v>44773</v>
      </c>
      <c r="AC263" s="29">
        <v>32582</v>
      </c>
      <c r="AD263" s="29">
        <v>44517</v>
      </c>
      <c r="AE263" s="29"/>
      <c r="AF263">
        <v>1</v>
      </c>
      <c r="AG263" t="s">
        <v>149</v>
      </c>
      <c r="AI263">
        <v>33</v>
      </c>
      <c r="AJ263">
        <v>1</v>
      </c>
      <c r="AK263" t="s">
        <v>170</v>
      </c>
      <c r="AL263" t="s">
        <v>77</v>
      </c>
      <c r="AM263">
        <f t="shared" si="20"/>
        <v>4</v>
      </c>
      <c r="AN263">
        <f t="shared" si="21"/>
        <v>11</v>
      </c>
      <c r="AO263" t="str">
        <f t="shared" si="22"/>
        <v/>
      </c>
      <c r="AP263" t="str">
        <f t="shared" si="23"/>
        <v/>
      </c>
      <c r="AQ263">
        <f t="shared" si="24"/>
        <v>2021</v>
      </c>
    </row>
    <row r="264" spans="1:43" x14ac:dyDescent="0.35">
      <c r="A264">
        <v>1577</v>
      </c>
      <c r="B264">
        <v>34</v>
      </c>
      <c r="C264" t="s">
        <v>148</v>
      </c>
      <c r="D264" t="s">
        <v>145</v>
      </c>
      <c r="E264" t="s">
        <v>4</v>
      </c>
      <c r="F264" t="s">
        <v>37</v>
      </c>
      <c r="G264" t="s">
        <v>41</v>
      </c>
      <c r="H264" t="s">
        <v>82</v>
      </c>
      <c r="I264" t="s">
        <v>43</v>
      </c>
      <c r="J264" t="s">
        <v>146</v>
      </c>
      <c r="K264" t="s">
        <v>44</v>
      </c>
      <c r="L264" t="s">
        <v>147</v>
      </c>
      <c r="M264" t="s">
        <v>47</v>
      </c>
      <c r="N264" t="s">
        <v>95</v>
      </c>
      <c r="P264" t="s">
        <v>148</v>
      </c>
      <c r="Q264">
        <v>13</v>
      </c>
      <c r="R264">
        <v>1</v>
      </c>
      <c r="S264">
        <v>1</v>
      </c>
      <c r="T264">
        <v>0</v>
      </c>
      <c r="U264">
        <v>0</v>
      </c>
      <c r="V264">
        <v>7</v>
      </c>
      <c r="W264">
        <v>35</v>
      </c>
      <c r="X264">
        <v>479</v>
      </c>
      <c r="Y264">
        <v>22061</v>
      </c>
      <c r="Z264">
        <v>2972</v>
      </c>
      <c r="AA264">
        <v>4</v>
      </c>
      <c r="AB264" s="29">
        <v>44773</v>
      </c>
      <c r="AC264" s="29">
        <v>32418</v>
      </c>
      <c r="AD264" s="29">
        <v>44517</v>
      </c>
      <c r="AE264" s="29"/>
      <c r="AF264">
        <v>1</v>
      </c>
      <c r="AG264" t="s">
        <v>149</v>
      </c>
      <c r="AI264">
        <v>33</v>
      </c>
      <c r="AJ264">
        <v>2</v>
      </c>
      <c r="AK264" t="s">
        <v>170</v>
      </c>
      <c r="AL264" t="s">
        <v>78</v>
      </c>
      <c r="AM264">
        <f t="shared" si="20"/>
        <v>4</v>
      </c>
      <c r="AN264">
        <f t="shared" si="21"/>
        <v>11</v>
      </c>
      <c r="AO264" t="str">
        <f t="shared" si="22"/>
        <v/>
      </c>
      <c r="AP264" t="str">
        <f t="shared" si="23"/>
        <v/>
      </c>
      <c r="AQ264">
        <f t="shared" si="24"/>
        <v>2021</v>
      </c>
    </row>
    <row r="265" spans="1:43" x14ac:dyDescent="0.35">
      <c r="A265">
        <v>812</v>
      </c>
      <c r="B265">
        <v>24</v>
      </c>
      <c r="C265" t="s">
        <v>148</v>
      </c>
      <c r="D265" t="s">
        <v>164</v>
      </c>
      <c r="E265" t="s">
        <v>4</v>
      </c>
      <c r="F265" t="s">
        <v>38</v>
      </c>
      <c r="G265" t="s">
        <v>43</v>
      </c>
      <c r="H265" t="s">
        <v>82</v>
      </c>
      <c r="I265" t="s">
        <v>42</v>
      </c>
      <c r="J265" t="s">
        <v>155</v>
      </c>
      <c r="K265" t="s">
        <v>42</v>
      </c>
      <c r="L265" t="s">
        <v>147</v>
      </c>
      <c r="M265" t="s">
        <v>49</v>
      </c>
      <c r="N265" t="s">
        <v>96</v>
      </c>
      <c r="O265" t="s">
        <v>43</v>
      </c>
      <c r="P265" t="s">
        <v>148</v>
      </c>
      <c r="Q265">
        <v>11</v>
      </c>
      <c r="R265">
        <v>1</v>
      </c>
      <c r="S265">
        <v>1</v>
      </c>
      <c r="T265">
        <v>0</v>
      </c>
      <c r="U265">
        <v>0</v>
      </c>
      <c r="V265">
        <v>9</v>
      </c>
      <c r="W265">
        <v>60</v>
      </c>
      <c r="X265">
        <v>1092</v>
      </c>
      <c r="Y265">
        <v>26551</v>
      </c>
      <c r="Z265">
        <v>2694</v>
      </c>
      <c r="AA265">
        <v>4</v>
      </c>
      <c r="AB265" s="29">
        <v>44773</v>
      </c>
      <c r="AC265" s="29">
        <v>36103</v>
      </c>
      <c r="AD265" s="29">
        <v>44522</v>
      </c>
      <c r="AE265" s="29"/>
      <c r="AF265">
        <v>1</v>
      </c>
      <c r="AG265" t="s">
        <v>157</v>
      </c>
      <c r="AI265">
        <v>23</v>
      </c>
      <c r="AJ265">
        <v>1</v>
      </c>
      <c r="AK265" t="s">
        <v>170</v>
      </c>
      <c r="AL265" t="s">
        <v>77</v>
      </c>
      <c r="AM265">
        <f t="shared" si="20"/>
        <v>4</v>
      </c>
      <c r="AN265">
        <f t="shared" si="21"/>
        <v>11</v>
      </c>
      <c r="AO265" t="str">
        <f t="shared" si="22"/>
        <v/>
      </c>
      <c r="AP265" t="str">
        <f t="shared" si="23"/>
        <v/>
      </c>
      <c r="AQ265">
        <f t="shared" si="24"/>
        <v>2021</v>
      </c>
    </row>
    <row r="266" spans="1:43" x14ac:dyDescent="0.35">
      <c r="A266">
        <v>680</v>
      </c>
      <c r="B266">
        <v>30</v>
      </c>
      <c r="C266" t="s">
        <v>148</v>
      </c>
      <c r="D266" t="s">
        <v>151</v>
      </c>
      <c r="E266" t="s">
        <v>4</v>
      </c>
      <c r="F266" t="s">
        <v>38</v>
      </c>
      <c r="G266" t="s">
        <v>43</v>
      </c>
      <c r="H266" t="s">
        <v>81</v>
      </c>
      <c r="I266" t="s">
        <v>43</v>
      </c>
      <c r="J266" t="s">
        <v>146</v>
      </c>
      <c r="K266" t="s">
        <v>43</v>
      </c>
      <c r="L266" t="s">
        <v>152</v>
      </c>
      <c r="M266" t="s">
        <v>49</v>
      </c>
      <c r="N266" t="s">
        <v>96</v>
      </c>
      <c r="O266" t="s">
        <v>41</v>
      </c>
      <c r="P266" t="s">
        <v>148</v>
      </c>
      <c r="Q266">
        <v>20</v>
      </c>
      <c r="R266">
        <v>1</v>
      </c>
      <c r="S266">
        <v>1</v>
      </c>
      <c r="T266">
        <v>0</v>
      </c>
      <c r="U266">
        <v>0</v>
      </c>
      <c r="V266">
        <v>3</v>
      </c>
      <c r="W266">
        <v>71</v>
      </c>
      <c r="X266">
        <v>160</v>
      </c>
      <c r="Y266">
        <v>22653</v>
      </c>
      <c r="Z266">
        <v>2083</v>
      </c>
      <c r="AA266">
        <v>2</v>
      </c>
      <c r="AB266" s="29">
        <v>44773</v>
      </c>
      <c r="AC266" s="29">
        <v>34106</v>
      </c>
      <c r="AD266" s="29">
        <v>44529</v>
      </c>
      <c r="AE266" s="29"/>
      <c r="AF266">
        <v>1</v>
      </c>
      <c r="AG266" t="s">
        <v>149</v>
      </c>
      <c r="AI266">
        <v>29</v>
      </c>
      <c r="AJ266">
        <v>1</v>
      </c>
      <c r="AK266" t="s">
        <v>170</v>
      </c>
      <c r="AL266" t="s">
        <v>78</v>
      </c>
      <c r="AM266">
        <f t="shared" si="20"/>
        <v>4</v>
      </c>
      <c r="AN266">
        <f t="shared" si="21"/>
        <v>11</v>
      </c>
      <c r="AO266" t="str">
        <f t="shared" si="22"/>
        <v/>
      </c>
      <c r="AP266" t="str">
        <f t="shared" si="23"/>
        <v/>
      </c>
      <c r="AQ266">
        <f t="shared" si="24"/>
        <v>2021</v>
      </c>
    </row>
    <row r="267" spans="1:43" x14ac:dyDescent="0.35">
      <c r="A267">
        <v>1482</v>
      </c>
      <c r="B267">
        <v>30</v>
      </c>
      <c r="C267" t="s">
        <v>148</v>
      </c>
      <c r="D267" t="s">
        <v>164</v>
      </c>
      <c r="E267" t="s">
        <v>4</v>
      </c>
      <c r="F267" t="s">
        <v>38</v>
      </c>
      <c r="G267" t="s">
        <v>43</v>
      </c>
      <c r="H267" t="s">
        <v>82</v>
      </c>
      <c r="I267" t="s">
        <v>43</v>
      </c>
      <c r="J267" t="s">
        <v>146</v>
      </c>
      <c r="K267" t="s">
        <v>43</v>
      </c>
      <c r="L267" t="s">
        <v>41</v>
      </c>
      <c r="M267" t="s">
        <v>48</v>
      </c>
      <c r="N267" t="s">
        <v>96</v>
      </c>
      <c r="O267" t="s">
        <v>156</v>
      </c>
      <c r="P267" t="s">
        <v>148</v>
      </c>
      <c r="Q267">
        <v>13</v>
      </c>
      <c r="R267">
        <v>1</v>
      </c>
      <c r="S267">
        <v>1</v>
      </c>
      <c r="T267">
        <v>0</v>
      </c>
      <c r="U267">
        <v>0</v>
      </c>
      <c r="V267">
        <v>7</v>
      </c>
      <c r="W267">
        <v>64</v>
      </c>
      <c r="X267">
        <v>990</v>
      </c>
      <c r="Y267">
        <v>7152</v>
      </c>
      <c r="Z267">
        <v>1274</v>
      </c>
      <c r="AA267">
        <v>2</v>
      </c>
      <c r="AB267" s="29">
        <v>44773</v>
      </c>
      <c r="AC267" s="29">
        <v>34035</v>
      </c>
      <c r="AD267" s="29">
        <v>44546</v>
      </c>
      <c r="AE267" s="29"/>
      <c r="AF267">
        <v>1</v>
      </c>
      <c r="AG267" t="s">
        <v>149</v>
      </c>
      <c r="AI267">
        <v>29</v>
      </c>
      <c r="AJ267">
        <v>1</v>
      </c>
      <c r="AK267" t="s">
        <v>170</v>
      </c>
      <c r="AL267" t="s">
        <v>77</v>
      </c>
      <c r="AM267">
        <f t="shared" si="20"/>
        <v>4</v>
      </c>
      <c r="AN267">
        <f t="shared" si="21"/>
        <v>12</v>
      </c>
      <c r="AO267" t="str">
        <f t="shared" si="22"/>
        <v/>
      </c>
      <c r="AP267" t="str">
        <f t="shared" si="23"/>
        <v/>
      </c>
      <c r="AQ267">
        <f t="shared" si="24"/>
        <v>2021</v>
      </c>
    </row>
    <row r="268" spans="1:43" x14ac:dyDescent="0.35">
      <c r="A268">
        <v>1495</v>
      </c>
      <c r="B268">
        <v>24</v>
      </c>
      <c r="C268" t="s">
        <v>148</v>
      </c>
      <c r="D268" t="s">
        <v>164</v>
      </c>
      <c r="E268" t="s">
        <v>158</v>
      </c>
      <c r="F268" t="s">
        <v>36</v>
      </c>
      <c r="G268" t="s">
        <v>44</v>
      </c>
      <c r="H268" t="s">
        <v>81</v>
      </c>
      <c r="I268" t="s">
        <v>43</v>
      </c>
      <c r="J268" t="s">
        <v>166</v>
      </c>
      <c r="K268" t="s">
        <v>42</v>
      </c>
      <c r="L268" t="s">
        <v>48</v>
      </c>
      <c r="M268" t="s">
        <v>49</v>
      </c>
      <c r="N268" t="s">
        <v>160</v>
      </c>
      <c r="O268" t="s">
        <v>41</v>
      </c>
      <c r="P268" t="s">
        <v>148</v>
      </c>
      <c r="Q268">
        <v>13</v>
      </c>
      <c r="R268">
        <v>1</v>
      </c>
      <c r="S268">
        <v>1</v>
      </c>
      <c r="T268">
        <v>0</v>
      </c>
      <c r="U268">
        <v>0</v>
      </c>
      <c r="V268">
        <v>13</v>
      </c>
      <c r="W268">
        <v>78</v>
      </c>
      <c r="X268">
        <v>830</v>
      </c>
      <c r="Y268">
        <v>7103</v>
      </c>
      <c r="Z268">
        <v>2033</v>
      </c>
      <c r="AA268">
        <v>2</v>
      </c>
      <c r="AB268" s="29">
        <v>44773</v>
      </c>
      <c r="AC268" s="29">
        <v>36121</v>
      </c>
      <c r="AD268" s="29">
        <v>44548</v>
      </c>
      <c r="AE268" s="29"/>
      <c r="AF268">
        <v>1</v>
      </c>
      <c r="AG268" t="s">
        <v>157</v>
      </c>
      <c r="AI268">
        <v>23</v>
      </c>
      <c r="AJ268">
        <v>1</v>
      </c>
      <c r="AK268" t="s">
        <v>170</v>
      </c>
      <c r="AL268" t="s">
        <v>78</v>
      </c>
      <c r="AM268">
        <f t="shared" si="20"/>
        <v>4</v>
      </c>
      <c r="AN268">
        <f t="shared" si="21"/>
        <v>12</v>
      </c>
      <c r="AO268" t="str">
        <f t="shared" si="22"/>
        <v/>
      </c>
      <c r="AP268" t="str">
        <f t="shared" si="23"/>
        <v/>
      </c>
      <c r="AQ268">
        <f t="shared" si="24"/>
        <v>2021</v>
      </c>
    </row>
    <row r="269" spans="1:43" x14ac:dyDescent="0.35">
      <c r="A269">
        <v>144</v>
      </c>
      <c r="B269">
        <v>22</v>
      </c>
      <c r="C269" t="s">
        <v>148</v>
      </c>
      <c r="D269" t="s">
        <v>145</v>
      </c>
      <c r="E269" t="s">
        <v>4</v>
      </c>
      <c r="F269" t="s">
        <v>38</v>
      </c>
      <c r="G269" t="s">
        <v>42</v>
      </c>
      <c r="H269" t="s">
        <v>81</v>
      </c>
      <c r="I269" t="s">
        <v>43</v>
      </c>
      <c r="J269" t="s">
        <v>155</v>
      </c>
      <c r="K269" t="s">
        <v>44</v>
      </c>
      <c r="L269" t="s">
        <v>147</v>
      </c>
      <c r="M269" t="s">
        <v>49</v>
      </c>
      <c r="N269" t="s">
        <v>95</v>
      </c>
      <c r="P269" t="s">
        <v>148</v>
      </c>
      <c r="Q269">
        <v>15</v>
      </c>
      <c r="R269">
        <v>1</v>
      </c>
      <c r="S269">
        <v>1</v>
      </c>
      <c r="T269">
        <v>0</v>
      </c>
      <c r="U269">
        <v>0</v>
      </c>
      <c r="V269">
        <v>15</v>
      </c>
      <c r="W269">
        <v>59</v>
      </c>
      <c r="X269">
        <v>534</v>
      </c>
      <c r="Y269">
        <v>23785</v>
      </c>
      <c r="Z269">
        <v>2871</v>
      </c>
      <c r="AA269">
        <v>5</v>
      </c>
      <c r="AB269" s="29">
        <v>44773</v>
      </c>
      <c r="AC269" s="29">
        <v>37059</v>
      </c>
      <c r="AD269" s="29">
        <v>44557</v>
      </c>
      <c r="AE269" s="29"/>
      <c r="AF269">
        <v>1</v>
      </c>
      <c r="AG269" t="s">
        <v>157</v>
      </c>
      <c r="AI269">
        <v>21</v>
      </c>
      <c r="AJ269">
        <v>2</v>
      </c>
      <c r="AK269" t="s">
        <v>170</v>
      </c>
      <c r="AL269" t="s">
        <v>77</v>
      </c>
      <c r="AM269">
        <f t="shared" si="20"/>
        <v>4</v>
      </c>
      <c r="AN269">
        <f t="shared" si="21"/>
        <v>12</v>
      </c>
      <c r="AO269" t="str">
        <f t="shared" si="22"/>
        <v/>
      </c>
      <c r="AP269" t="str">
        <f t="shared" si="23"/>
        <v/>
      </c>
      <c r="AQ269">
        <f t="shared" si="24"/>
        <v>2021</v>
      </c>
    </row>
    <row r="270" spans="1:43" x14ac:dyDescent="0.35">
      <c r="A270">
        <v>1056</v>
      </c>
      <c r="B270">
        <v>28</v>
      </c>
      <c r="C270" t="s">
        <v>148</v>
      </c>
      <c r="D270" t="s">
        <v>145</v>
      </c>
      <c r="E270" t="s">
        <v>158</v>
      </c>
      <c r="F270" t="s">
        <v>35</v>
      </c>
      <c r="G270" t="s">
        <v>44</v>
      </c>
      <c r="H270" t="s">
        <v>82</v>
      </c>
      <c r="I270" t="s">
        <v>43</v>
      </c>
      <c r="J270" t="s">
        <v>166</v>
      </c>
      <c r="K270" t="s">
        <v>42</v>
      </c>
      <c r="L270" t="s">
        <v>152</v>
      </c>
      <c r="M270" t="s">
        <v>49</v>
      </c>
      <c r="N270" t="s">
        <v>160</v>
      </c>
      <c r="P270" t="s">
        <v>148</v>
      </c>
      <c r="Q270">
        <v>22</v>
      </c>
      <c r="R270">
        <v>1</v>
      </c>
      <c r="S270">
        <v>1</v>
      </c>
      <c r="T270">
        <v>0</v>
      </c>
      <c r="U270">
        <v>0</v>
      </c>
      <c r="V270">
        <v>10</v>
      </c>
      <c r="W270">
        <v>74</v>
      </c>
      <c r="X270">
        <v>1144</v>
      </c>
      <c r="Y270">
        <v>23384</v>
      </c>
      <c r="Z270">
        <v>1052</v>
      </c>
      <c r="AA270">
        <v>5</v>
      </c>
      <c r="AB270" s="29">
        <v>44773</v>
      </c>
      <c r="AC270" s="29">
        <v>34848</v>
      </c>
      <c r="AD270" s="29">
        <v>44562</v>
      </c>
      <c r="AE270" s="29"/>
      <c r="AF270">
        <v>1</v>
      </c>
      <c r="AG270" t="s">
        <v>157</v>
      </c>
      <c r="AI270">
        <v>27</v>
      </c>
      <c r="AJ270">
        <v>2</v>
      </c>
      <c r="AK270" t="s">
        <v>170</v>
      </c>
      <c r="AL270" t="s">
        <v>77</v>
      </c>
      <c r="AM270">
        <f t="shared" si="20"/>
        <v>1</v>
      </c>
      <c r="AN270">
        <f t="shared" si="21"/>
        <v>1</v>
      </c>
      <c r="AO270" t="str">
        <f t="shared" si="22"/>
        <v/>
      </c>
      <c r="AP270" t="str">
        <f t="shared" si="23"/>
        <v/>
      </c>
      <c r="AQ270">
        <f t="shared" si="24"/>
        <v>2022</v>
      </c>
    </row>
    <row r="271" spans="1:43" x14ac:dyDescent="0.35">
      <c r="A271">
        <v>1551</v>
      </c>
      <c r="B271">
        <v>24</v>
      </c>
      <c r="C271" t="s">
        <v>148</v>
      </c>
      <c r="D271" t="s">
        <v>145</v>
      </c>
      <c r="E271" t="s">
        <v>4</v>
      </c>
      <c r="F271" t="s">
        <v>36</v>
      </c>
      <c r="G271" t="s">
        <v>43</v>
      </c>
      <c r="H271" t="s">
        <v>82</v>
      </c>
      <c r="I271" t="s">
        <v>42</v>
      </c>
      <c r="J271" t="s">
        <v>155</v>
      </c>
      <c r="K271" t="s">
        <v>41</v>
      </c>
      <c r="L271" t="s">
        <v>147</v>
      </c>
      <c r="M271" t="s">
        <v>49</v>
      </c>
      <c r="N271" t="s">
        <v>96</v>
      </c>
      <c r="O271" t="s">
        <v>43</v>
      </c>
      <c r="P271" t="s">
        <v>148</v>
      </c>
      <c r="Q271">
        <v>14</v>
      </c>
      <c r="R271">
        <v>0</v>
      </c>
      <c r="S271">
        <v>2</v>
      </c>
      <c r="T271">
        <v>0</v>
      </c>
      <c r="U271">
        <v>0</v>
      </c>
      <c r="V271">
        <v>21</v>
      </c>
      <c r="W271">
        <v>57</v>
      </c>
      <c r="X271">
        <v>350</v>
      </c>
      <c r="Y271">
        <v>10036</v>
      </c>
      <c r="Z271">
        <v>2296</v>
      </c>
      <c r="AA271">
        <v>3</v>
      </c>
      <c r="AB271" s="29">
        <v>44773</v>
      </c>
      <c r="AC271" s="29">
        <v>36153</v>
      </c>
      <c r="AD271" s="29">
        <v>44565</v>
      </c>
      <c r="AE271" s="29"/>
      <c r="AF271">
        <v>1</v>
      </c>
      <c r="AG271" t="s">
        <v>157</v>
      </c>
      <c r="AI271">
        <v>23</v>
      </c>
      <c r="AJ271">
        <v>1</v>
      </c>
      <c r="AK271" t="s">
        <v>170</v>
      </c>
      <c r="AL271" t="s">
        <v>77</v>
      </c>
      <c r="AM271">
        <f t="shared" si="20"/>
        <v>1</v>
      </c>
      <c r="AN271">
        <f t="shared" si="21"/>
        <v>1</v>
      </c>
      <c r="AO271" t="str">
        <f t="shared" si="22"/>
        <v/>
      </c>
      <c r="AP271" t="str">
        <f t="shared" si="23"/>
        <v/>
      </c>
      <c r="AQ271">
        <f t="shared" si="24"/>
        <v>2022</v>
      </c>
    </row>
    <row r="272" spans="1:43" x14ac:dyDescent="0.35">
      <c r="A272">
        <v>61</v>
      </c>
      <c r="B272">
        <v>37</v>
      </c>
      <c r="C272" t="s">
        <v>148</v>
      </c>
      <c r="D272" t="s">
        <v>145</v>
      </c>
      <c r="E272" t="s">
        <v>4</v>
      </c>
      <c r="F272" t="s">
        <v>36</v>
      </c>
      <c r="G272" t="s">
        <v>42</v>
      </c>
      <c r="H272" t="s">
        <v>82</v>
      </c>
      <c r="I272" t="s">
        <v>43</v>
      </c>
      <c r="J272" t="s">
        <v>146</v>
      </c>
      <c r="K272" t="s">
        <v>42</v>
      </c>
      <c r="L272" t="s">
        <v>152</v>
      </c>
      <c r="M272" t="s">
        <v>49</v>
      </c>
      <c r="N272" t="s">
        <v>160</v>
      </c>
      <c r="P272" t="s">
        <v>148</v>
      </c>
      <c r="Q272">
        <v>21</v>
      </c>
      <c r="R272">
        <v>4</v>
      </c>
      <c r="S272">
        <v>8</v>
      </c>
      <c r="T272">
        <v>0</v>
      </c>
      <c r="U272">
        <v>0</v>
      </c>
      <c r="V272">
        <v>19</v>
      </c>
      <c r="W272">
        <v>73</v>
      </c>
      <c r="X272">
        <v>408</v>
      </c>
      <c r="Y272">
        <v>10227</v>
      </c>
      <c r="Z272">
        <v>3022</v>
      </c>
      <c r="AA272">
        <v>1</v>
      </c>
      <c r="AB272" s="29">
        <v>44773</v>
      </c>
      <c r="AC272" s="29">
        <v>31292</v>
      </c>
      <c r="AD272" s="29">
        <v>44567</v>
      </c>
      <c r="AE272" s="29"/>
      <c r="AF272">
        <v>1</v>
      </c>
      <c r="AG272" t="s">
        <v>149</v>
      </c>
      <c r="AI272">
        <v>36</v>
      </c>
      <c r="AJ272">
        <v>1</v>
      </c>
      <c r="AK272" t="s">
        <v>170</v>
      </c>
      <c r="AL272" t="s">
        <v>77</v>
      </c>
      <c r="AM272">
        <f t="shared" si="20"/>
        <v>1</v>
      </c>
      <c r="AN272">
        <f t="shared" si="21"/>
        <v>1</v>
      </c>
      <c r="AO272" t="str">
        <f t="shared" si="22"/>
        <v/>
      </c>
      <c r="AP272" t="str">
        <f t="shared" si="23"/>
        <v/>
      </c>
      <c r="AQ272">
        <f t="shared" si="24"/>
        <v>2022</v>
      </c>
    </row>
    <row r="273" spans="1:43" x14ac:dyDescent="0.35">
      <c r="A273">
        <v>53</v>
      </c>
      <c r="B273">
        <v>35</v>
      </c>
      <c r="C273" t="s">
        <v>148</v>
      </c>
      <c r="D273" t="s">
        <v>145</v>
      </c>
      <c r="E273" t="s">
        <v>4</v>
      </c>
      <c r="F273" t="s">
        <v>36</v>
      </c>
      <c r="G273" t="s">
        <v>43</v>
      </c>
      <c r="H273" t="s">
        <v>82</v>
      </c>
      <c r="I273" t="s">
        <v>43</v>
      </c>
      <c r="J273" t="s">
        <v>155</v>
      </c>
      <c r="K273" t="s">
        <v>44</v>
      </c>
      <c r="L273" t="s">
        <v>147</v>
      </c>
      <c r="M273" t="s">
        <v>49</v>
      </c>
      <c r="N273" t="s">
        <v>96</v>
      </c>
      <c r="O273" t="s">
        <v>41</v>
      </c>
      <c r="P273" t="s">
        <v>148</v>
      </c>
      <c r="Q273">
        <v>12</v>
      </c>
      <c r="R273">
        <v>1</v>
      </c>
      <c r="S273">
        <v>1</v>
      </c>
      <c r="T273">
        <v>0</v>
      </c>
      <c r="U273">
        <v>0</v>
      </c>
      <c r="V273">
        <v>4</v>
      </c>
      <c r="W273">
        <v>75</v>
      </c>
      <c r="X273">
        <v>464</v>
      </c>
      <c r="Y273">
        <v>10910</v>
      </c>
      <c r="Z273">
        <v>1951</v>
      </c>
      <c r="AA273">
        <v>3</v>
      </c>
      <c r="AB273" s="29">
        <v>44773</v>
      </c>
      <c r="AC273" s="29">
        <v>32128</v>
      </c>
      <c r="AD273" s="29">
        <v>44570</v>
      </c>
      <c r="AE273" s="29"/>
      <c r="AF273">
        <v>1</v>
      </c>
      <c r="AG273" t="s">
        <v>149</v>
      </c>
      <c r="AI273">
        <v>34</v>
      </c>
      <c r="AJ273">
        <v>1</v>
      </c>
      <c r="AK273" t="s">
        <v>170</v>
      </c>
      <c r="AL273" t="s">
        <v>77</v>
      </c>
      <c r="AM273">
        <f t="shared" si="20"/>
        <v>1</v>
      </c>
      <c r="AN273">
        <f t="shared" si="21"/>
        <v>1</v>
      </c>
      <c r="AO273" t="str">
        <f t="shared" si="22"/>
        <v/>
      </c>
      <c r="AP273" t="str">
        <f t="shared" si="23"/>
        <v/>
      </c>
      <c r="AQ273">
        <f t="shared" si="24"/>
        <v>2022</v>
      </c>
    </row>
    <row r="274" spans="1:43" x14ac:dyDescent="0.35">
      <c r="A274">
        <v>407</v>
      </c>
      <c r="B274">
        <v>36</v>
      </c>
      <c r="C274" t="s">
        <v>148</v>
      </c>
      <c r="D274" t="s">
        <v>151</v>
      </c>
      <c r="E274" t="s">
        <v>4</v>
      </c>
      <c r="F274" t="s">
        <v>37</v>
      </c>
      <c r="G274" t="s">
        <v>43</v>
      </c>
      <c r="H274" t="s">
        <v>82</v>
      </c>
      <c r="I274" t="s">
        <v>44</v>
      </c>
      <c r="J274" t="s">
        <v>155</v>
      </c>
      <c r="K274" t="s">
        <v>44</v>
      </c>
      <c r="L274" t="s">
        <v>147</v>
      </c>
      <c r="M274" t="s">
        <v>49</v>
      </c>
      <c r="N274" t="s">
        <v>160</v>
      </c>
      <c r="O274" t="s">
        <v>156</v>
      </c>
      <c r="P274" t="s">
        <v>148</v>
      </c>
      <c r="Q274">
        <v>18</v>
      </c>
      <c r="R274">
        <v>4</v>
      </c>
      <c r="S274">
        <v>4</v>
      </c>
      <c r="T274">
        <v>0</v>
      </c>
      <c r="U274">
        <v>0</v>
      </c>
      <c r="V274">
        <v>18</v>
      </c>
      <c r="W274">
        <v>81</v>
      </c>
      <c r="X274">
        <v>566</v>
      </c>
      <c r="Y274">
        <v>7122</v>
      </c>
      <c r="Z274">
        <v>3688</v>
      </c>
      <c r="AA274">
        <v>2</v>
      </c>
      <c r="AB274" s="29">
        <v>44773</v>
      </c>
      <c r="AC274" s="29">
        <v>31872</v>
      </c>
      <c r="AD274" s="29">
        <v>44577</v>
      </c>
      <c r="AE274" s="29"/>
      <c r="AF274">
        <v>1</v>
      </c>
      <c r="AG274" t="s">
        <v>149</v>
      </c>
      <c r="AI274">
        <v>35</v>
      </c>
      <c r="AJ274">
        <v>1</v>
      </c>
      <c r="AK274" t="s">
        <v>170</v>
      </c>
      <c r="AL274" t="s">
        <v>77</v>
      </c>
      <c r="AM274">
        <f t="shared" si="20"/>
        <v>1</v>
      </c>
      <c r="AN274">
        <f t="shared" si="21"/>
        <v>1</v>
      </c>
      <c r="AO274" t="str">
        <f t="shared" si="22"/>
        <v/>
      </c>
      <c r="AP274" t="str">
        <f t="shared" si="23"/>
        <v/>
      </c>
      <c r="AQ274">
        <f t="shared" si="24"/>
        <v>2022</v>
      </c>
    </row>
    <row r="275" spans="1:43" x14ac:dyDescent="0.35">
      <c r="A275">
        <v>1506</v>
      </c>
      <c r="B275">
        <v>28</v>
      </c>
      <c r="C275" t="s">
        <v>148</v>
      </c>
      <c r="D275" t="s">
        <v>145</v>
      </c>
      <c r="E275" t="s">
        <v>4</v>
      </c>
      <c r="F275" t="s">
        <v>38</v>
      </c>
      <c r="G275" t="s">
        <v>41</v>
      </c>
      <c r="H275" t="s">
        <v>82</v>
      </c>
      <c r="I275" t="s">
        <v>42</v>
      </c>
      <c r="J275" t="s">
        <v>146</v>
      </c>
      <c r="K275" t="s">
        <v>43</v>
      </c>
      <c r="L275" t="s">
        <v>147</v>
      </c>
      <c r="M275" t="s">
        <v>47</v>
      </c>
      <c r="N275" t="s">
        <v>96</v>
      </c>
      <c r="O275" t="s">
        <v>41</v>
      </c>
      <c r="P275" t="s">
        <v>148</v>
      </c>
      <c r="Q275">
        <v>14</v>
      </c>
      <c r="R275">
        <v>1</v>
      </c>
      <c r="S275">
        <v>1</v>
      </c>
      <c r="T275">
        <v>0</v>
      </c>
      <c r="U275">
        <v>0</v>
      </c>
      <c r="V275">
        <v>1</v>
      </c>
      <c r="W275">
        <v>72</v>
      </c>
      <c r="X275">
        <v>1423</v>
      </c>
      <c r="Y275">
        <v>12530</v>
      </c>
      <c r="Z275">
        <v>1563</v>
      </c>
      <c r="AA275">
        <v>2</v>
      </c>
      <c r="AB275" s="29">
        <v>44773</v>
      </c>
      <c r="AC275" s="29">
        <v>34769</v>
      </c>
      <c r="AD275" s="29">
        <v>44586</v>
      </c>
      <c r="AE275" s="29"/>
      <c r="AF275">
        <v>1</v>
      </c>
      <c r="AG275" t="s">
        <v>157</v>
      </c>
      <c r="AI275">
        <v>27</v>
      </c>
      <c r="AJ275">
        <v>1</v>
      </c>
      <c r="AK275" t="s">
        <v>170</v>
      </c>
      <c r="AL275" t="s">
        <v>78</v>
      </c>
      <c r="AM275">
        <f t="shared" si="20"/>
        <v>1</v>
      </c>
      <c r="AN275">
        <f t="shared" si="21"/>
        <v>1</v>
      </c>
      <c r="AO275" t="str">
        <f t="shared" si="22"/>
        <v/>
      </c>
      <c r="AP275" t="str">
        <f t="shared" si="23"/>
        <v/>
      </c>
      <c r="AQ275">
        <f t="shared" si="24"/>
        <v>2022</v>
      </c>
    </row>
    <row r="276" spans="1:43" x14ac:dyDescent="0.35">
      <c r="A276">
        <v>30</v>
      </c>
      <c r="B276">
        <v>21</v>
      </c>
      <c r="C276" t="s">
        <v>148</v>
      </c>
      <c r="D276" t="s">
        <v>145</v>
      </c>
      <c r="E276" t="s">
        <v>4</v>
      </c>
      <c r="F276" t="s">
        <v>36</v>
      </c>
      <c r="G276" t="s">
        <v>43</v>
      </c>
      <c r="H276" t="s">
        <v>82</v>
      </c>
      <c r="I276" t="s">
        <v>43</v>
      </c>
      <c r="J276" t="s">
        <v>146</v>
      </c>
      <c r="K276" t="s">
        <v>44</v>
      </c>
      <c r="L276" t="s">
        <v>147</v>
      </c>
      <c r="M276" t="s">
        <v>49</v>
      </c>
      <c r="N276" t="s">
        <v>95</v>
      </c>
      <c r="P276" t="s">
        <v>148</v>
      </c>
      <c r="Q276">
        <v>14</v>
      </c>
      <c r="R276">
        <v>1</v>
      </c>
      <c r="S276">
        <v>1</v>
      </c>
      <c r="T276">
        <v>0</v>
      </c>
      <c r="U276">
        <v>0</v>
      </c>
      <c r="V276">
        <v>15</v>
      </c>
      <c r="W276">
        <v>96</v>
      </c>
      <c r="X276">
        <v>391</v>
      </c>
      <c r="Y276">
        <v>19281</v>
      </c>
      <c r="Z276">
        <v>1232</v>
      </c>
      <c r="AA276">
        <v>6</v>
      </c>
      <c r="AB276" s="29">
        <v>44773</v>
      </c>
      <c r="AC276" s="29">
        <v>37338</v>
      </c>
      <c r="AD276" s="29">
        <v>44594</v>
      </c>
      <c r="AE276" s="29"/>
      <c r="AF276">
        <v>0</v>
      </c>
      <c r="AG276" t="s">
        <v>157</v>
      </c>
      <c r="AI276">
        <v>21</v>
      </c>
      <c r="AJ276">
        <v>1</v>
      </c>
      <c r="AK276" t="s">
        <v>171</v>
      </c>
      <c r="AL276" t="s">
        <v>77</v>
      </c>
      <c r="AM276">
        <f t="shared" si="20"/>
        <v>1</v>
      </c>
      <c r="AN276">
        <f t="shared" si="21"/>
        <v>2</v>
      </c>
      <c r="AO276" t="str">
        <f t="shared" si="22"/>
        <v/>
      </c>
      <c r="AP276" t="str">
        <f t="shared" si="23"/>
        <v/>
      </c>
      <c r="AQ276">
        <f t="shared" si="24"/>
        <v>2022</v>
      </c>
    </row>
    <row r="277" spans="1:43" x14ac:dyDescent="0.35">
      <c r="A277">
        <v>1875</v>
      </c>
      <c r="B277">
        <v>28</v>
      </c>
      <c r="C277" t="s">
        <v>148</v>
      </c>
      <c r="D277" t="s">
        <v>145</v>
      </c>
      <c r="E277" t="s">
        <v>158</v>
      </c>
      <c r="F277" t="s">
        <v>38</v>
      </c>
      <c r="G277" t="s">
        <v>42</v>
      </c>
      <c r="H277" t="s">
        <v>81</v>
      </c>
      <c r="I277" t="s">
        <v>43</v>
      </c>
      <c r="J277" t="s">
        <v>166</v>
      </c>
      <c r="K277" t="s">
        <v>42</v>
      </c>
      <c r="L277" t="s">
        <v>147</v>
      </c>
      <c r="M277" t="s">
        <v>49</v>
      </c>
      <c r="N277" t="s">
        <v>160</v>
      </c>
      <c r="O277" t="s">
        <v>41</v>
      </c>
      <c r="P277" t="s">
        <v>148</v>
      </c>
      <c r="Q277">
        <v>19</v>
      </c>
      <c r="R277">
        <v>1</v>
      </c>
      <c r="S277">
        <v>1</v>
      </c>
      <c r="T277">
        <v>0</v>
      </c>
      <c r="U277">
        <v>0</v>
      </c>
      <c r="V277">
        <v>3</v>
      </c>
      <c r="W277">
        <v>78</v>
      </c>
      <c r="X277">
        <v>1172</v>
      </c>
      <c r="Y277">
        <v>3692</v>
      </c>
      <c r="Z277">
        <v>2856</v>
      </c>
      <c r="AA277">
        <v>3</v>
      </c>
      <c r="AB277" s="29">
        <v>44773</v>
      </c>
      <c r="AC277" s="29">
        <v>34549</v>
      </c>
      <c r="AD277" s="29">
        <v>44602</v>
      </c>
      <c r="AE277" s="29"/>
      <c r="AF277">
        <v>0</v>
      </c>
      <c r="AG277" t="s">
        <v>157</v>
      </c>
      <c r="AI277">
        <v>28</v>
      </c>
      <c r="AJ277">
        <v>1</v>
      </c>
      <c r="AK277" t="s">
        <v>171</v>
      </c>
      <c r="AL277" t="s">
        <v>77</v>
      </c>
      <c r="AM277">
        <f t="shared" si="20"/>
        <v>1</v>
      </c>
      <c r="AN277">
        <f t="shared" si="21"/>
        <v>2</v>
      </c>
      <c r="AO277" t="str">
        <f t="shared" si="22"/>
        <v/>
      </c>
      <c r="AP277" t="str">
        <f t="shared" si="23"/>
        <v/>
      </c>
      <c r="AQ277">
        <f t="shared" si="24"/>
        <v>2022</v>
      </c>
    </row>
    <row r="278" spans="1:43" x14ac:dyDescent="0.35">
      <c r="A278">
        <v>1270</v>
      </c>
      <c r="B278">
        <v>23</v>
      </c>
      <c r="C278" t="s">
        <v>148</v>
      </c>
      <c r="D278" t="s">
        <v>145</v>
      </c>
      <c r="E278" t="s">
        <v>4</v>
      </c>
      <c r="F278" t="s">
        <v>36</v>
      </c>
      <c r="G278" t="s">
        <v>44</v>
      </c>
      <c r="H278" t="s">
        <v>82</v>
      </c>
      <c r="I278" t="s">
        <v>43</v>
      </c>
      <c r="J278" t="s">
        <v>146</v>
      </c>
      <c r="K278" t="s">
        <v>43</v>
      </c>
      <c r="L278" t="s">
        <v>152</v>
      </c>
      <c r="M278" t="s">
        <v>49</v>
      </c>
      <c r="N278" t="s">
        <v>160</v>
      </c>
      <c r="O278" t="s">
        <v>41</v>
      </c>
      <c r="P278" t="s">
        <v>148</v>
      </c>
      <c r="Q278">
        <v>22</v>
      </c>
      <c r="R278">
        <v>1</v>
      </c>
      <c r="S278">
        <v>1</v>
      </c>
      <c r="T278">
        <v>0</v>
      </c>
      <c r="U278">
        <v>0</v>
      </c>
      <c r="V278">
        <v>1</v>
      </c>
      <c r="W278">
        <v>47</v>
      </c>
      <c r="X278">
        <v>373</v>
      </c>
      <c r="Y278">
        <v>16901</v>
      </c>
      <c r="Z278">
        <v>1223</v>
      </c>
      <c r="AA278">
        <v>2</v>
      </c>
      <c r="AB278" s="29">
        <v>44773</v>
      </c>
      <c r="AC278" s="29">
        <v>36583</v>
      </c>
      <c r="AD278" s="29">
        <v>44603</v>
      </c>
      <c r="AE278" s="29"/>
      <c r="AF278">
        <v>0</v>
      </c>
      <c r="AG278" t="s">
        <v>157</v>
      </c>
      <c r="AI278">
        <v>23</v>
      </c>
      <c r="AJ278">
        <v>1</v>
      </c>
      <c r="AK278" t="s">
        <v>171</v>
      </c>
      <c r="AL278" t="s">
        <v>77</v>
      </c>
      <c r="AM278">
        <f t="shared" si="20"/>
        <v>1</v>
      </c>
      <c r="AN278">
        <f t="shared" si="21"/>
        <v>2</v>
      </c>
      <c r="AO278" t="str">
        <f t="shared" si="22"/>
        <v/>
      </c>
      <c r="AP278" t="str">
        <f t="shared" si="23"/>
        <v/>
      </c>
      <c r="AQ278">
        <f t="shared" si="24"/>
        <v>2022</v>
      </c>
    </row>
    <row r="279" spans="1:43" x14ac:dyDescent="0.35">
      <c r="A279">
        <v>97</v>
      </c>
      <c r="B279">
        <v>36</v>
      </c>
      <c r="C279" t="s">
        <v>148</v>
      </c>
      <c r="D279" t="s">
        <v>145</v>
      </c>
      <c r="E279" t="s">
        <v>4</v>
      </c>
      <c r="F279" t="s">
        <v>38</v>
      </c>
      <c r="G279" t="s">
        <v>42</v>
      </c>
      <c r="H279" t="s">
        <v>81</v>
      </c>
      <c r="I279" t="s">
        <v>44</v>
      </c>
      <c r="J279" t="s">
        <v>155</v>
      </c>
      <c r="K279" t="s">
        <v>44</v>
      </c>
      <c r="L279" t="s">
        <v>147</v>
      </c>
      <c r="M279" t="s">
        <v>49</v>
      </c>
      <c r="N279" t="s">
        <v>160</v>
      </c>
      <c r="P279" t="s">
        <v>148</v>
      </c>
      <c r="Q279">
        <v>12</v>
      </c>
      <c r="R279">
        <v>3</v>
      </c>
      <c r="S279">
        <v>5</v>
      </c>
      <c r="T279">
        <v>0</v>
      </c>
      <c r="U279">
        <v>0</v>
      </c>
      <c r="V279">
        <v>6</v>
      </c>
      <c r="W279">
        <v>55</v>
      </c>
      <c r="X279">
        <v>132</v>
      </c>
      <c r="Y279">
        <v>22002</v>
      </c>
      <c r="Z279">
        <v>3038</v>
      </c>
      <c r="AA279">
        <v>3</v>
      </c>
      <c r="AB279" s="29">
        <v>44773</v>
      </c>
      <c r="AC279" s="29">
        <v>31684</v>
      </c>
      <c r="AD279" s="29">
        <v>44604</v>
      </c>
      <c r="AE279" s="29"/>
      <c r="AF279">
        <v>0</v>
      </c>
      <c r="AG279" t="s">
        <v>149</v>
      </c>
      <c r="AI279">
        <v>36</v>
      </c>
      <c r="AJ279">
        <v>2</v>
      </c>
      <c r="AK279" t="s">
        <v>171</v>
      </c>
      <c r="AL279" t="s">
        <v>77</v>
      </c>
      <c r="AM279">
        <f t="shared" si="20"/>
        <v>1</v>
      </c>
      <c r="AN279">
        <f t="shared" si="21"/>
        <v>2</v>
      </c>
      <c r="AO279" t="str">
        <f t="shared" si="22"/>
        <v/>
      </c>
      <c r="AP279" t="str">
        <f t="shared" si="23"/>
        <v/>
      </c>
      <c r="AQ279">
        <f t="shared" si="24"/>
        <v>2022</v>
      </c>
    </row>
    <row r="280" spans="1:43" x14ac:dyDescent="0.35">
      <c r="A280">
        <v>63</v>
      </c>
      <c r="B280">
        <v>35</v>
      </c>
      <c r="C280" t="s">
        <v>148</v>
      </c>
      <c r="D280" t="s">
        <v>145</v>
      </c>
      <c r="E280" t="s">
        <v>4</v>
      </c>
      <c r="F280" t="s">
        <v>35</v>
      </c>
      <c r="G280" t="s">
        <v>44</v>
      </c>
      <c r="H280" t="s">
        <v>82</v>
      </c>
      <c r="I280" t="s">
        <v>44</v>
      </c>
      <c r="J280" t="s">
        <v>155</v>
      </c>
      <c r="K280" t="s">
        <v>44</v>
      </c>
      <c r="L280" t="s">
        <v>147</v>
      </c>
      <c r="M280" t="s">
        <v>49</v>
      </c>
      <c r="N280" t="s">
        <v>160</v>
      </c>
      <c r="P280" t="s">
        <v>148</v>
      </c>
      <c r="Q280">
        <v>19</v>
      </c>
      <c r="R280">
        <v>1</v>
      </c>
      <c r="S280">
        <v>1</v>
      </c>
      <c r="T280">
        <v>0</v>
      </c>
      <c r="U280">
        <v>0</v>
      </c>
      <c r="V280">
        <v>8</v>
      </c>
      <c r="W280">
        <v>36</v>
      </c>
      <c r="X280">
        <v>1229</v>
      </c>
      <c r="Y280">
        <v>4892</v>
      </c>
      <c r="Z280">
        <v>2269</v>
      </c>
      <c r="AA280">
        <v>2</v>
      </c>
      <c r="AB280" s="29">
        <v>44773</v>
      </c>
      <c r="AC280" s="29">
        <v>32249</v>
      </c>
      <c r="AD280" s="29">
        <v>44616</v>
      </c>
      <c r="AE280" s="29"/>
      <c r="AF280">
        <v>0</v>
      </c>
      <c r="AG280" t="s">
        <v>149</v>
      </c>
      <c r="AI280">
        <v>35</v>
      </c>
      <c r="AJ280">
        <v>1</v>
      </c>
      <c r="AK280" t="s">
        <v>171</v>
      </c>
      <c r="AL280" t="s">
        <v>77</v>
      </c>
      <c r="AM280">
        <f t="shared" si="20"/>
        <v>1</v>
      </c>
      <c r="AN280">
        <f t="shared" si="21"/>
        <v>2</v>
      </c>
      <c r="AO280" t="str">
        <f t="shared" si="22"/>
        <v/>
      </c>
      <c r="AP280" t="str">
        <f t="shared" si="23"/>
        <v/>
      </c>
      <c r="AQ280">
        <f t="shared" si="24"/>
        <v>2022</v>
      </c>
    </row>
    <row r="281" spans="1:43" x14ac:dyDescent="0.35">
      <c r="A281">
        <v>945</v>
      </c>
      <c r="B281">
        <v>48</v>
      </c>
      <c r="C281" t="s">
        <v>148</v>
      </c>
      <c r="D281" t="s">
        <v>145</v>
      </c>
      <c r="E281" t="s">
        <v>4</v>
      </c>
      <c r="F281" t="s">
        <v>37</v>
      </c>
      <c r="G281" t="s">
        <v>44</v>
      </c>
      <c r="H281" t="s">
        <v>82</v>
      </c>
      <c r="I281" t="s">
        <v>43</v>
      </c>
      <c r="J281" t="s">
        <v>146</v>
      </c>
      <c r="K281" t="s">
        <v>43</v>
      </c>
      <c r="L281" t="s">
        <v>48</v>
      </c>
      <c r="M281" t="s">
        <v>48</v>
      </c>
      <c r="N281" t="s">
        <v>160</v>
      </c>
      <c r="O281" t="s">
        <v>156</v>
      </c>
      <c r="P281" t="s">
        <v>148</v>
      </c>
      <c r="Q281">
        <v>17</v>
      </c>
      <c r="R281">
        <v>4</v>
      </c>
      <c r="S281">
        <v>13</v>
      </c>
      <c r="T281">
        <v>0</v>
      </c>
      <c r="U281">
        <v>0</v>
      </c>
      <c r="V281">
        <v>20</v>
      </c>
      <c r="W281">
        <v>51</v>
      </c>
      <c r="X281">
        <v>1469</v>
      </c>
      <c r="Y281">
        <v>5543</v>
      </c>
      <c r="Z281">
        <v>2259</v>
      </c>
      <c r="AA281">
        <v>2</v>
      </c>
      <c r="AB281" s="29">
        <v>44773</v>
      </c>
      <c r="AC281" s="29">
        <v>27552</v>
      </c>
      <c r="AD281" s="29">
        <v>44619</v>
      </c>
      <c r="AE281" s="29"/>
      <c r="AF281">
        <v>0</v>
      </c>
      <c r="AG281" t="s">
        <v>153</v>
      </c>
      <c r="AI281">
        <v>48</v>
      </c>
      <c r="AJ281">
        <v>1</v>
      </c>
      <c r="AK281" t="s">
        <v>171</v>
      </c>
      <c r="AL281" t="s">
        <v>77</v>
      </c>
      <c r="AM281">
        <f t="shared" si="20"/>
        <v>1</v>
      </c>
      <c r="AN281">
        <f t="shared" si="21"/>
        <v>2</v>
      </c>
      <c r="AO281" t="str">
        <f t="shared" si="22"/>
        <v/>
      </c>
      <c r="AP281" t="str">
        <f t="shared" si="23"/>
        <v/>
      </c>
      <c r="AQ281">
        <f t="shared" si="24"/>
        <v>2022</v>
      </c>
    </row>
    <row r="282" spans="1:43" x14ac:dyDescent="0.35">
      <c r="A282">
        <v>1206</v>
      </c>
      <c r="B282">
        <v>44</v>
      </c>
      <c r="C282" t="s">
        <v>148</v>
      </c>
      <c r="D282" t="s">
        <v>164</v>
      </c>
      <c r="E282" t="s">
        <v>4</v>
      </c>
      <c r="F282" t="s">
        <v>38</v>
      </c>
      <c r="G282" t="s">
        <v>44</v>
      </c>
      <c r="H282" t="s">
        <v>82</v>
      </c>
      <c r="I282" t="s">
        <v>41</v>
      </c>
      <c r="J282" t="s">
        <v>146</v>
      </c>
      <c r="K282" t="s">
        <v>43</v>
      </c>
      <c r="L282" t="s">
        <v>147</v>
      </c>
      <c r="M282" t="s">
        <v>49</v>
      </c>
      <c r="N282" t="s">
        <v>95</v>
      </c>
      <c r="P282" t="s">
        <v>148</v>
      </c>
      <c r="Q282">
        <v>13</v>
      </c>
      <c r="R282">
        <v>2</v>
      </c>
      <c r="S282">
        <v>6</v>
      </c>
      <c r="T282">
        <v>0</v>
      </c>
      <c r="U282">
        <v>0</v>
      </c>
      <c r="V282">
        <v>17</v>
      </c>
      <c r="W282">
        <v>74</v>
      </c>
      <c r="X282">
        <v>111</v>
      </c>
      <c r="Y282">
        <v>4279</v>
      </c>
      <c r="Z282">
        <v>2290</v>
      </c>
      <c r="AA282">
        <v>3</v>
      </c>
      <c r="AB282" s="29">
        <v>44773</v>
      </c>
      <c r="AC282" s="29">
        <v>29003</v>
      </c>
      <c r="AD282" s="29">
        <v>44622</v>
      </c>
      <c r="AE282" s="29"/>
      <c r="AF282">
        <v>0</v>
      </c>
      <c r="AG282" t="s">
        <v>153</v>
      </c>
      <c r="AI282">
        <v>44</v>
      </c>
      <c r="AJ282">
        <v>1</v>
      </c>
      <c r="AK282" t="s">
        <v>171</v>
      </c>
      <c r="AL282" t="s">
        <v>77</v>
      </c>
      <c r="AM282">
        <f t="shared" si="20"/>
        <v>1</v>
      </c>
      <c r="AN282">
        <f t="shared" si="21"/>
        <v>3</v>
      </c>
      <c r="AO282" t="str">
        <f t="shared" si="22"/>
        <v/>
      </c>
      <c r="AP282" t="str">
        <f t="shared" si="23"/>
        <v/>
      </c>
      <c r="AQ282">
        <f t="shared" si="24"/>
        <v>2022</v>
      </c>
    </row>
    <row r="283" spans="1:43" x14ac:dyDescent="0.35">
      <c r="A283">
        <v>1258</v>
      </c>
      <c r="B283">
        <v>48</v>
      </c>
      <c r="C283" t="s">
        <v>148</v>
      </c>
      <c r="D283" t="s">
        <v>145</v>
      </c>
      <c r="E283" t="s">
        <v>4</v>
      </c>
      <c r="F283" t="s">
        <v>36</v>
      </c>
      <c r="G283" t="s">
        <v>44</v>
      </c>
      <c r="H283" t="s">
        <v>82</v>
      </c>
      <c r="I283" t="s">
        <v>44</v>
      </c>
      <c r="J283" t="s">
        <v>155</v>
      </c>
      <c r="K283" t="s">
        <v>42</v>
      </c>
      <c r="L283" t="s">
        <v>41</v>
      </c>
      <c r="M283" t="s">
        <v>48</v>
      </c>
      <c r="N283" t="s">
        <v>95</v>
      </c>
      <c r="P283" t="s">
        <v>148</v>
      </c>
      <c r="Q283">
        <v>11</v>
      </c>
      <c r="R283">
        <v>5</v>
      </c>
      <c r="S283">
        <v>7</v>
      </c>
      <c r="T283">
        <v>0</v>
      </c>
      <c r="U283">
        <v>0</v>
      </c>
      <c r="V283">
        <v>2</v>
      </c>
      <c r="W283">
        <v>76</v>
      </c>
      <c r="X283">
        <v>969</v>
      </c>
      <c r="Y283">
        <v>16620</v>
      </c>
      <c r="Z283">
        <v>2559</v>
      </c>
      <c r="AA283">
        <v>4</v>
      </c>
      <c r="AB283" s="29">
        <v>44773</v>
      </c>
      <c r="AC283" s="29">
        <v>27525</v>
      </c>
      <c r="AD283" s="29">
        <v>44623</v>
      </c>
      <c r="AE283" s="29"/>
      <c r="AF283">
        <v>0</v>
      </c>
      <c r="AG283" t="s">
        <v>153</v>
      </c>
      <c r="AI283">
        <v>48</v>
      </c>
      <c r="AJ283">
        <v>1</v>
      </c>
      <c r="AK283" t="s">
        <v>171</v>
      </c>
      <c r="AL283" t="s">
        <v>78</v>
      </c>
      <c r="AM283">
        <f t="shared" si="20"/>
        <v>1</v>
      </c>
      <c r="AN283">
        <f t="shared" si="21"/>
        <v>3</v>
      </c>
      <c r="AO283" t="str">
        <f t="shared" si="22"/>
        <v/>
      </c>
      <c r="AP283" t="str">
        <f t="shared" si="23"/>
        <v/>
      </c>
      <c r="AQ283">
        <f t="shared" si="24"/>
        <v>2022</v>
      </c>
    </row>
    <row r="284" spans="1:43" x14ac:dyDescent="0.35">
      <c r="A284">
        <v>201</v>
      </c>
      <c r="B284">
        <v>19</v>
      </c>
      <c r="C284" t="s">
        <v>148</v>
      </c>
      <c r="D284" t="s">
        <v>145</v>
      </c>
      <c r="E284" t="s">
        <v>4</v>
      </c>
      <c r="F284" t="s">
        <v>35</v>
      </c>
      <c r="G284" t="s">
        <v>42</v>
      </c>
      <c r="H284" t="s">
        <v>81</v>
      </c>
      <c r="I284" t="s">
        <v>43</v>
      </c>
      <c r="J284" t="s">
        <v>155</v>
      </c>
      <c r="K284" t="s">
        <v>42</v>
      </c>
      <c r="L284" t="s">
        <v>147</v>
      </c>
      <c r="M284" t="s">
        <v>49</v>
      </c>
      <c r="N284" t="s">
        <v>95</v>
      </c>
      <c r="P284" t="s">
        <v>148</v>
      </c>
      <c r="Q284">
        <v>14</v>
      </c>
      <c r="R284">
        <v>1</v>
      </c>
      <c r="S284">
        <v>1</v>
      </c>
      <c r="T284">
        <v>0</v>
      </c>
      <c r="U284">
        <v>0</v>
      </c>
      <c r="V284">
        <v>3</v>
      </c>
      <c r="W284">
        <v>79</v>
      </c>
      <c r="X284">
        <v>1181</v>
      </c>
      <c r="Y284">
        <v>16102</v>
      </c>
      <c r="Z284">
        <v>1483</v>
      </c>
      <c r="AA284">
        <v>3</v>
      </c>
      <c r="AB284" s="29">
        <v>44773</v>
      </c>
      <c r="AC284" s="29">
        <v>38070</v>
      </c>
      <c r="AD284" s="29">
        <v>44624</v>
      </c>
      <c r="AE284" s="29"/>
      <c r="AF284">
        <v>0</v>
      </c>
      <c r="AG284" t="s">
        <v>172</v>
      </c>
      <c r="AI284">
        <v>19</v>
      </c>
      <c r="AJ284">
        <v>1</v>
      </c>
      <c r="AK284" t="s">
        <v>171</v>
      </c>
      <c r="AL284" t="s">
        <v>77</v>
      </c>
      <c r="AM284">
        <f t="shared" si="20"/>
        <v>1</v>
      </c>
      <c r="AN284">
        <f t="shared" si="21"/>
        <v>3</v>
      </c>
      <c r="AO284" t="str">
        <f t="shared" si="22"/>
        <v/>
      </c>
      <c r="AP284" t="str">
        <f t="shared" si="23"/>
        <v/>
      </c>
      <c r="AQ284">
        <f t="shared" si="24"/>
        <v>2022</v>
      </c>
    </row>
    <row r="285" spans="1:43" x14ac:dyDescent="0.35">
      <c r="A285">
        <v>508</v>
      </c>
      <c r="B285">
        <v>30</v>
      </c>
      <c r="C285" t="s">
        <v>148</v>
      </c>
      <c r="D285" t="s">
        <v>145</v>
      </c>
      <c r="E285" t="s">
        <v>158</v>
      </c>
      <c r="F285" t="s">
        <v>35</v>
      </c>
      <c r="G285" t="s">
        <v>43</v>
      </c>
      <c r="H285" t="s">
        <v>82</v>
      </c>
      <c r="I285" t="s">
        <v>43</v>
      </c>
      <c r="J285" t="s">
        <v>166</v>
      </c>
      <c r="K285" t="s">
        <v>42</v>
      </c>
      <c r="L285" t="s">
        <v>147</v>
      </c>
      <c r="M285" t="s">
        <v>49</v>
      </c>
      <c r="N285" t="s">
        <v>160</v>
      </c>
      <c r="O285" t="s">
        <v>41</v>
      </c>
      <c r="P285" t="s">
        <v>148</v>
      </c>
      <c r="Q285">
        <v>18</v>
      </c>
      <c r="R285">
        <v>1</v>
      </c>
      <c r="S285">
        <v>1</v>
      </c>
      <c r="T285">
        <v>0</v>
      </c>
      <c r="U285">
        <v>0</v>
      </c>
      <c r="V285">
        <v>2</v>
      </c>
      <c r="W285">
        <v>72</v>
      </c>
      <c r="X285">
        <v>202</v>
      </c>
      <c r="Y285">
        <v>17434</v>
      </c>
      <c r="Z285">
        <v>2476</v>
      </c>
      <c r="AA285">
        <v>3</v>
      </c>
      <c r="AB285" s="29">
        <v>44773</v>
      </c>
      <c r="AC285" s="29">
        <v>34128</v>
      </c>
      <c r="AD285" s="29">
        <v>44626</v>
      </c>
      <c r="AE285" s="29"/>
      <c r="AF285">
        <v>0</v>
      </c>
      <c r="AG285" t="s">
        <v>149</v>
      </c>
      <c r="AI285">
        <v>30</v>
      </c>
      <c r="AJ285">
        <v>1</v>
      </c>
      <c r="AK285" t="s">
        <v>171</v>
      </c>
      <c r="AL285" t="s">
        <v>77</v>
      </c>
      <c r="AM285">
        <f t="shared" si="20"/>
        <v>1</v>
      </c>
      <c r="AN285">
        <f t="shared" si="21"/>
        <v>3</v>
      </c>
      <c r="AO285" t="str">
        <f t="shared" si="22"/>
        <v/>
      </c>
      <c r="AP285" t="str">
        <f t="shared" si="23"/>
        <v/>
      </c>
      <c r="AQ285">
        <f t="shared" si="24"/>
        <v>2022</v>
      </c>
    </row>
    <row r="286" spans="1:43" x14ac:dyDescent="0.35">
      <c r="A286">
        <v>1558</v>
      </c>
      <c r="B286">
        <v>29</v>
      </c>
      <c r="C286" t="s">
        <v>148</v>
      </c>
      <c r="D286" t="s">
        <v>145</v>
      </c>
      <c r="E286" t="s">
        <v>4</v>
      </c>
      <c r="F286" t="s">
        <v>38</v>
      </c>
      <c r="G286" t="s">
        <v>43</v>
      </c>
      <c r="H286" t="s">
        <v>82</v>
      </c>
      <c r="I286" t="s">
        <v>44</v>
      </c>
      <c r="J286" t="s">
        <v>146</v>
      </c>
      <c r="K286" t="s">
        <v>43</v>
      </c>
      <c r="L286" t="s">
        <v>48</v>
      </c>
      <c r="M286" t="s">
        <v>48</v>
      </c>
      <c r="N286" t="s">
        <v>160</v>
      </c>
      <c r="O286" t="s">
        <v>156</v>
      </c>
      <c r="P286" t="s">
        <v>148</v>
      </c>
      <c r="Q286">
        <v>18</v>
      </c>
      <c r="R286">
        <v>6</v>
      </c>
      <c r="S286">
        <v>5</v>
      </c>
      <c r="T286">
        <v>0</v>
      </c>
      <c r="U286">
        <v>0</v>
      </c>
      <c r="V286">
        <v>9</v>
      </c>
      <c r="W286">
        <v>91</v>
      </c>
      <c r="X286">
        <v>598</v>
      </c>
      <c r="Y286">
        <v>22376</v>
      </c>
      <c r="Z286">
        <v>2451</v>
      </c>
      <c r="AA286">
        <v>2</v>
      </c>
      <c r="AB286" s="29">
        <v>44773</v>
      </c>
      <c r="AC286" s="29">
        <v>34412</v>
      </c>
      <c r="AD286" s="29">
        <v>44627</v>
      </c>
      <c r="AE286" s="29"/>
      <c r="AF286">
        <v>0</v>
      </c>
      <c r="AG286" t="s">
        <v>157</v>
      </c>
      <c r="AI286">
        <v>29</v>
      </c>
      <c r="AJ286">
        <v>1</v>
      </c>
      <c r="AK286" t="s">
        <v>171</v>
      </c>
      <c r="AL286" t="s">
        <v>77</v>
      </c>
      <c r="AM286">
        <f t="shared" si="20"/>
        <v>1</v>
      </c>
      <c r="AN286">
        <f t="shared" si="21"/>
        <v>3</v>
      </c>
      <c r="AO286" t="str">
        <f t="shared" si="22"/>
        <v/>
      </c>
      <c r="AP286" t="str">
        <f t="shared" si="23"/>
        <v/>
      </c>
      <c r="AQ286">
        <f t="shared" si="24"/>
        <v>2022</v>
      </c>
    </row>
    <row r="287" spans="1:43" x14ac:dyDescent="0.35">
      <c r="A287">
        <v>54</v>
      </c>
      <c r="B287">
        <v>27</v>
      </c>
      <c r="C287" t="s">
        <v>148</v>
      </c>
      <c r="D287" t="s">
        <v>145</v>
      </c>
      <c r="E287" t="s">
        <v>4</v>
      </c>
      <c r="F287" t="s">
        <v>37</v>
      </c>
      <c r="G287" t="s">
        <v>44</v>
      </c>
      <c r="H287" t="s">
        <v>81</v>
      </c>
      <c r="I287" t="s">
        <v>43</v>
      </c>
      <c r="J287" t="s">
        <v>155</v>
      </c>
      <c r="K287" t="s">
        <v>41</v>
      </c>
      <c r="L287" t="s">
        <v>147</v>
      </c>
      <c r="M287" t="s">
        <v>49</v>
      </c>
      <c r="N287" t="s">
        <v>96</v>
      </c>
      <c r="O287" t="s">
        <v>41</v>
      </c>
      <c r="P287" t="s">
        <v>148</v>
      </c>
      <c r="Q287">
        <v>13</v>
      </c>
      <c r="R287">
        <v>1</v>
      </c>
      <c r="S287">
        <v>1</v>
      </c>
      <c r="T287">
        <v>0</v>
      </c>
      <c r="U287">
        <v>0</v>
      </c>
      <c r="V287">
        <v>2</v>
      </c>
      <c r="W287">
        <v>33</v>
      </c>
      <c r="X287">
        <v>1240</v>
      </c>
      <c r="Y287">
        <v>19715</v>
      </c>
      <c r="Z287">
        <v>2341</v>
      </c>
      <c r="AA287">
        <v>6</v>
      </c>
      <c r="AB287" s="29">
        <v>44773</v>
      </c>
      <c r="AC287" s="29">
        <v>34949</v>
      </c>
      <c r="AD287" s="29">
        <v>44653</v>
      </c>
      <c r="AE287" s="29"/>
      <c r="AF287">
        <v>0</v>
      </c>
      <c r="AG287" t="s">
        <v>157</v>
      </c>
      <c r="AI287">
        <v>27</v>
      </c>
      <c r="AJ287">
        <v>2</v>
      </c>
      <c r="AK287" t="s">
        <v>171</v>
      </c>
      <c r="AL287" t="s">
        <v>77</v>
      </c>
      <c r="AM287">
        <f t="shared" si="20"/>
        <v>2</v>
      </c>
      <c r="AN287">
        <f t="shared" si="21"/>
        <v>4</v>
      </c>
      <c r="AO287" t="str">
        <f t="shared" si="22"/>
        <v/>
      </c>
      <c r="AP287" t="str">
        <f t="shared" si="23"/>
        <v/>
      </c>
      <c r="AQ287">
        <f t="shared" si="24"/>
        <v>2022</v>
      </c>
    </row>
    <row r="288" spans="1:43" x14ac:dyDescent="0.35">
      <c r="A288">
        <v>95</v>
      </c>
      <c r="B288">
        <v>31</v>
      </c>
      <c r="C288" t="s">
        <v>148</v>
      </c>
      <c r="D288" t="s">
        <v>145</v>
      </c>
      <c r="E288" t="s">
        <v>4</v>
      </c>
      <c r="F288" t="s">
        <v>37</v>
      </c>
      <c r="G288" t="s">
        <v>43</v>
      </c>
      <c r="H288" t="s">
        <v>82</v>
      </c>
      <c r="I288" t="s">
        <v>43</v>
      </c>
      <c r="J288" t="s">
        <v>146</v>
      </c>
      <c r="K288" t="s">
        <v>42</v>
      </c>
      <c r="L288" t="s">
        <v>41</v>
      </c>
      <c r="M288" t="s">
        <v>49</v>
      </c>
      <c r="N288" t="s">
        <v>95</v>
      </c>
      <c r="P288" t="s">
        <v>148</v>
      </c>
      <c r="Q288">
        <v>17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87</v>
      </c>
      <c r="X288">
        <v>1082</v>
      </c>
      <c r="Y288">
        <v>18775</v>
      </c>
      <c r="Z288">
        <v>2501</v>
      </c>
      <c r="AA288">
        <v>4</v>
      </c>
      <c r="AB288" s="29">
        <v>44773</v>
      </c>
      <c r="AC288" s="29">
        <v>33601</v>
      </c>
      <c r="AD288" s="29">
        <v>44653</v>
      </c>
      <c r="AE288" s="29"/>
      <c r="AF288">
        <v>0</v>
      </c>
      <c r="AG288" t="s">
        <v>149</v>
      </c>
      <c r="AI288">
        <v>31</v>
      </c>
      <c r="AJ288">
        <v>1</v>
      </c>
      <c r="AK288" t="s">
        <v>171</v>
      </c>
      <c r="AL288" t="s">
        <v>77</v>
      </c>
      <c r="AM288">
        <f t="shared" si="20"/>
        <v>2</v>
      </c>
      <c r="AN288">
        <f t="shared" si="21"/>
        <v>4</v>
      </c>
      <c r="AO288" t="str">
        <f t="shared" si="22"/>
        <v/>
      </c>
      <c r="AP288" t="str">
        <f t="shared" si="23"/>
        <v/>
      </c>
      <c r="AQ288">
        <f t="shared" si="24"/>
        <v>2022</v>
      </c>
    </row>
    <row r="289" spans="1:43" x14ac:dyDescent="0.35">
      <c r="A289">
        <v>1492</v>
      </c>
      <c r="B289">
        <v>35</v>
      </c>
      <c r="C289" t="s">
        <v>148</v>
      </c>
      <c r="D289" t="s">
        <v>145</v>
      </c>
      <c r="E289" t="s">
        <v>158</v>
      </c>
      <c r="F289" t="s">
        <v>35</v>
      </c>
      <c r="G289" t="s">
        <v>44</v>
      </c>
      <c r="H289" t="s">
        <v>82</v>
      </c>
      <c r="I289" t="s">
        <v>43</v>
      </c>
      <c r="J289" t="s">
        <v>166</v>
      </c>
      <c r="K289" t="s">
        <v>43</v>
      </c>
      <c r="L289" t="s">
        <v>147</v>
      </c>
      <c r="M289" t="s">
        <v>49</v>
      </c>
      <c r="N289" t="s">
        <v>160</v>
      </c>
      <c r="O289" t="s">
        <v>41</v>
      </c>
      <c r="P289" t="s">
        <v>148</v>
      </c>
      <c r="Q289">
        <v>13</v>
      </c>
      <c r="R289">
        <v>1</v>
      </c>
      <c r="S289">
        <v>1</v>
      </c>
      <c r="T289">
        <v>0</v>
      </c>
      <c r="U289">
        <v>0</v>
      </c>
      <c r="V289">
        <v>7</v>
      </c>
      <c r="W289">
        <v>76</v>
      </c>
      <c r="X289">
        <v>660</v>
      </c>
      <c r="Y289">
        <v>16192</v>
      </c>
      <c r="Z289">
        <v>2404</v>
      </c>
      <c r="AA289">
        <v>3</v>
      </c>
      <c r="AB289" s="29">
        <v>44773</v>
      </c>
      <c r="AC289" s="29">
        <v>32135</v>
      </c>
      <c r="AD289" s="29">
        <v>44661</v>
      </c>
      <c r="AE289" s="29"/>
      <c r="AF289">
        <v>0</v>
      </c>
      <c r="AG289" t="s">
        <v>149</v>
      </c>
      <c r="AI289">
        <v>35</v>
      </c>
      <c r="AJ289">
        <v>1</v>
      </c>
      <c r="AK289" t="s">
        <v>171</v>
      </c>
      <c r="AL289" t="s">
        <v>77</v>
      </c>
      <c r="AM289">
        <f t="shared" si="20"/>
        <v>2</v>
      </c>
      <c r="AN289">
        <f t="shared" si="21"/>
        <v>4</v>
      </c>
      <c r="AO289" t="str">
        <f t="shared" si="22"/>
        <v/>
      </c>
      <c r="AP289" t="str">
        <f t="shared" si="23"/>
        <v/>
      </c>
      <c r="AQ289">
        <f t="shared" si="24"/>
        <v>2022</v>
      </c>
    </row>
    <row r="290" spans="1:43" x14ac:dyDescent="0.35">
      <c r="A290">
        <v>1961</v>
      </c>
      <c r="B290">
        <v>38</v>
      </c>
      <c r="C290" t="s">
        <v>148</v>
      </c>
      <c r="D290" t="s">
        <v>145</v>
      </c>
      <c r="E290" t="s">
        <v>158</v>
      </c>
      <c r="F290" t="s">
        <v>38</v>
      </c>
      <c r="G290" t="s">
        <v>41</v>
      </c>
      <c r="H290" t="s">
        <v>82</v>
      </c>
      <c r="I290" t="s">
        <v>42</v>
      </c>
      <c r="J290" t="s">
        <v>166</v>
      </c>
      <c r="K290" t="s">
        <v>41</v>
      </c>
      <c r="L290" t="s">
        <v>147</v>
      </c>
      <c r="M290" t="s">
        <v>48</v>
      </c>
      <c r="N290" t="s">
        <v>95</v>
      </c>
      <c r="P290" t="s">
        <v>148</v>
      </c>
      <c r="Q290">
        <v>14</v>
      </c>
      <c r="R290">
        <v>4</v>
      </c>
      <c r="S290">
        <v>20</v>
      </c>
      <c r="T290">
        <v>0</v>
      </c>
      <c r="U290">
        <v>0</v>
      </c>
      <c r="V290">
        <v>1</v>
      </c>
      <c r="W290">
        <v>59</v>
      </c>
      <c r="X290">
        <v>1404</v>
      </c>
      <c r="Y290">
        <v>11473</v>
      </c>
      <c r="Z290">
        <v>2858</v>
      </c>
      <c r="AA290">
        <v>3</v>
      </c>
      <c r="AB290" s="29">
        <v>44773</v>
      </c>
      <c r="AC290" s="29">
        <v>31004</v>
      </c>
      <c r="AD290" s="29">
        <v>44662</v>
      </c>
      <c r="AE290" s="29"/>
      <c r="AF290">
        <v>0</v>
      </c>
      <c r="AG290" t="s">
        <v>149</v>
      </c>
      <c r="AI290">
        <v>38</v>
      </c>
      <c r="AJ290">
        <v>2</v>
      </c>
      <c r="AK290" t="s">
        <v>171</v>
      </c>
      <c r="AL290" t="s">
        <v>77</v>
      </c>
      <c r="AM290">
        <f t="shared" si="20"/>
        <v>2</v>
      </c>
      <c r="AN290">
        <f t="shared" si="21"/>
        <v>4</v>
      </c>
      <c r="AO290" t="str">
        <f t="shared" si="22"/>
        <v/>
      </c>
      <c r="AP290" t="str">
        <f t="shared" si="23"/>
        <v/>
      </c>
      <c r="AQ290">
        <f t="shared" si="24"/>
        <v>2022</v>
      </c>
    </row>
    <row r="291" spans="1:43" x14ac:dyDescent="0.35">
      <c r="A291">
        <v>155</v>
      </c>
      <c r="B291">
        <v>36</v>
      </c>
      <c r="C291" t="s">
        <v>148</v>
      </c>
      <c r="D291" t="s">
        <v>145</v>
      </c>
      <c r="E291" t="s">
        <v>4</v>
      </c>
      <c r="F291" t="s">
        <v>36</v>
      </c>
      <c r="G291" t="s">
        <v>41</v>
      </c>
      <c r="H291" t="s">
        <v>81</v>
      </c>
      <c r="I291" t="s">
        <v>43</v>
      </c>
      <c r="J291" t="s">
        <v>155</v>
      </c>
      <c r="K291" t="s">
        <v>44</v>
      </c>
      <c r="L291" t="s">
        <v>152</v>
      </c>
      <c r="M291" t="s">
        <v>49</v>
      </c>
      <c r="N291" t="s">
        <v>96</v>
      </c>
      <c r="O291" t="s">
        <v>41</v>
      </c>
      <c r="P291" t="s">
        <v>148</v>
      </c>
      <c r="Q291">
        <v>22</v>
      </c>
      <c r="R291">
        <v>5</v>
      </c>
      <c r="S291">
        <v>7</v>
      </c>
      <c r="T291">
        <v>0</v>
      </c>
      <c r="U291">
        <v>0</v>
      </c>
      <c r="V291">
        <v>3</v>
      </c>
      <c r="W291">
        <v>39</v>
      </c>
      <c r="X291">
        <v>922</v>
      </c>
      <c r="Y291">
        <v>2561</v>
      </c>
      <c r="Z291">
        <v>2835</v>
      </c>
      <c r="AA291">
        <v>2</v>
      </c>
      <c r="AB291" s="29">
        <v>44773</v>
      </c>
      <c r="AC291" s="29">
        <v>31798</v>
      </c>
      <c r="AD291" s="29">
        <v>44672</v>
      </c>
      <c r="AE291" s="29"/>
      <c r="AF291">
        <v>0</v>
      </c>
      <c r="AG291" t="s">
        <v>149</v>
      </c>
      <c r="AI291">
        <v>36</v>
      </c>
      <c r="AJ291">
        <v>1</v>
      </c>
      <c r="AK291" t="s">
        <v>171</v>
      </c>
      <c r="AL291" t="s">
        <v>77</v>
      </c>
      <c r="AM291">
        <f t="shared" si="20"/>
        <v>2</v>
      </c>
      <c r="AN291">
        <f t="shared" si="21"/>
        <v>4</v>
      </c>
      <c r="AO291" t="str">
        <f t="shared" si="22"/>
        <v/>
      </c>
      <c r="AP291" t="str">
        <f t="shared" si="23"/>
        <v/>
      </c>
      <c r="AQ291">
        <f t="shared" si="24"/>
        <v>2022</v>
      </c>
    </row>
    <row r="292" spans="1:43" x14ac:dyDescent="0.35">
      <c r="A292">
        <v>662</v>
      </c>
      <c r="B292">
        <v>38</v>
      </c>
      <c r="C292" t="s">
        <v>148</v>
      </c>
      <c r="D292" t="s">
        <v>145</v>
      </c>
      <c r="E292" t="s">
        <v>4</v>
      </c>
      <c r="F292" t="s">
        <v>35</v>
      </c>
      <c r="G292" t="s">
        <v>43</v>
      </c>
      <c r="H292" t="s">
        <v>81</v>
      </c>
      <c r="I292" t="s">
        <v>43</v>
      </c>
      <c r="J292" t="s">
        <v>146</v>
      </c>
      <c r="K292" t="s">
        <v>41</v>
      </c>
      <c r="L292" t="s">
        <v>147</v>
      </c>
      <c r="M292" t="s">
        <v>48</v>
      </c>
      <c r="N292" t="s">
        <v>95</v>
      </c>
      <c r="P292" t="s">
        <v>148</v>
      </c>
      <c r="Q292">
        <v>17</v>
      </c>
      <c r="R292">
        <v>3</v>
      </c>
      <c r="S292">
        <v>8</v>
      </c>
      <c r="T292">
        <v>0</v>
      </c>
      <c r="U292">
        <v>0</v>
      </c>
      <c r="V292">
        <v>1</v>
      </c>
      <c r="W292">
        <v>43</v>
      </c>
      <c r="X292">
        <v>362</v>
      </c>
      <c r="Y292">
        <v>14561</v>
      </c>
      <c r="Z292">
        <v>2619</v>
      </c>
      <c r="AA292">
        <v>3</v>
      </c>
      <c r="AB292" s="29">
        <v>44773</v>
      </c>
      <c r="AC292" s="29">
        <v>31142</v>
      </c>
      <c r="AD292" s="29">
        <v>44673</v>
      </c>
      <c r="AE292" s="29"/>
      <c r="AF292">
        <v>0</v>
      </c>
      <c r="AG292" t="s">
        <v>149</v>
      </c>
      <c r="AI292">
        <v>38</v>
      </c>
      <c r="AJ292">
        <v>2</v>
      </c>
      <c r="AK292" t="s">
        <v>171</v>
      </c>
      <c r="AL292" t="s">
        <v>77</v>
      </c>
      <c r="AM292">
        <f t="shared" si="20"/>
        <v>2</v>
      </c>
      <c r="AN292">
        <f t="shared" si="21"/>
        <v>4</v>
      </c>
      <c r="AO292" t="str">
        <f t="shared" si="22"/>
        <v/>
      </c>
      <c r="AP292" t="str">
        <f t="shared" si="23"/>
        <v/>
      </c>
      <c r="AQ292">
        <f t="shared" si="24"/>
        <v>2022</v>
      </c>
    </row>
    <row r="293" spans="1:43" x14ac:dyDescent="0.35">
      <c r="A293">
        <v>1115</v>
      </c>
      <c r="B293">
        <v>34</v>
      </c>
      <c r="C293" t="s">
        <v>148</v>
      </c>
      <c r="D293" t="s">
        <v>164</v>
      </c>
      <c r="E293" t="s">
        <v>4</v>
      </c>
      <c r="F293" t="s">
        <v>37</v>
      </c>
      <c r="G293" t="s">
        <v>43</v>
      </c>
      <c r="H293" t="s">
        <v>82</v>
      </c>
      <c r="I293" t="s">
        <v>42</v>
      </c>
      <c r="J293" t="s">
        <v>146</v>
      </c>
      <c r="K293" t="s">
        <v>44</v>
      </c>
      <c r="L293" t="s">
        <v>147</v>
      </c>
      <c r="M293" t="s">
        <v>49</v>
      </c>
      <c r="N293" t="s">
        <v>160</v>
      </c>
      <c r="O293" t="s">
        <v>43</v>
      </c>
      <c r="P293" t="s">
        <v>148</v>
      </c>
      <c r="Q293">
        <v>17</v>
      </c>
      <c r="R293">
        <v>3</v>
      </c>
      <c r="S293">
        <v>6</v>
      </c>
      <c r="T293">
        <v>0</v>
      </c>
      <c r="U293">
        <v>0</v>
      </c>
      <c r="V293">
        <v>3</v>
      </c>
      <c r="W293">
        <v>40</v>
      </c>
      <c r="X293">
        <v>697</v>
      </c>
      <c r="Y293">
        <v>22478</v>
      </c>
      <c r="Z293">
        <v>2979</v>
      </c>
      <c r="AA293">
        <v>2</v>
      </c>
      <c r="AB293" s="29">
        <v>44773</v>
      </c>
      <c r="AC293" s="29">
        <v>32634</v>
      </c>
      <c r="AD293" s="29">
        <v>44678</v>
      </c>
      <c r="AE293" s="29"/>
      <c r="AF293">
        <v>0</v>
      </c>
      <c r="AG293" t="s">
        <v>149</v>
      </c>
      <c r="AI293">
        <v>34</v>
      </c>
      <c r="AJ293">
        <v>1</v>
      </c>
      <c r="AK293" t="s">
        <v>171</v>
      </c>
      <c r="AL293" t="s">
        <v>77</v>
      </c>
      <c r="AM293">
        <f t="shared" si="20"/>
        <v>2</v>
      </c>
      <c r="AN293">
        <f t="shared" si="21"/>
        <v>4</v>
      </c>
      <c r="AO293" t="str">
        <f t="shared" si="22"/>
        <v/>
      </c>
      <c r="AP293" t="str">
        <f t="shared" si="23"/>
        <v/>
      </c>
      <c r="AQ293">
        <f t="shared" si="24"/>
        <v>2022</v>
      </c>
    </row>
    <row r="294" spans="1:43" x14ac:dyDescent="0.35">
      <c r="A294">
        <v>1190</v>
      </c>
      <c r="B294">
        <v>32</v>
      </c>
      <c r="C294" t="s">
        <v>148</v>
      </c>
      <c r="D294" t="s">
        <v>164</v>
      </c>
      <c r="E294" t="s">
        <v>158</v>
      </c>
      <c r="F294" t="s">
        <v>35</v>
      </c>
      <c r="G294" t="s">
        <v>43</v>
      </c>
      <c r="H294" t="s">
        <v>81</v>
      </c>
      <c r="I294" t="s">
        <v>43</v>
      </c>
      <c r="J294" t="s">
        <v>166</v>
      </c>
      <c r="K294" t="s">
        <v>41</v>
      </c>
      <c r="L294" t="s">
        <v>147</v>
      </c>
      <c r="M294" t="s">
        <v>49</v>
      </c>
      <c r="N294" t="s">
        <v>96</v>
      </c>
      <c r="O294" t="s">
        <v>43</v>
      </c>
      <c r="P294" t="s">
        <v>148</v>
      </c>
      <c r="Q294">
        <v>12</v>
      </c>
      <c r="R294">
        <v>1</v>
      </c>
      <c r="S294">
        <v>1</v>
      </c>
      <c r="T294">
        <v>0</v>
      </c>
      <c r="U294">
        <v>0</v>
      </c>
      <c r="V294">
        <v>2</v>
      </c>
      <c r="W294">
        <v>76</v>
      </c>
      <c r="X294">
        <v>862</v>
      </c>
      <c r="Y294">
        <v>14947</v>
      </c>
      <c r="Z294">
        <v>2827</v>
      </c>
      <c r="AA294">
        <v>3</v>
      </c>
      <c r="AB294" s="29">
        <v>44773</v>
      </c>
      <c r="AC294" s="29">
        <v>33345</v>
      </c>
      <c r="AD294" s="29">
        <v>44685</v>
      </c>
      <c r="AE294" s="29"/>
      <c r="AF294">
        <v>0</v>
      </c>
      <c r="AG294" t="s">
        <v>149</v>
      </c>
      <c r="AI294">
        <v>32</v>
      </c>
      <c r="AJ294">
        <v>1</v>
      </c>
      <c r="AK294" t="s">
        <v>171</v>
      </c>
      <c r="AL294" t="s">
        <v>77</v>
      </c>
      <c r="AM294">
        <f t="shared" si="20"/>
        <v>2</v>
      </c>
      <c r="AN294">
        <f t="shared" si="21"/>
        <v>5</v>
      </c>
      <c r="AO294" t="str">
        <f t="shared" si="22"/>
        <v/>
      </c>
      <c r="AP294" t="str">
        <f t="shared" si="23"/>
        <v/>
      </c>
      <c r="AQ294">
        <f t="shared" si="24"/>
        <v>2022</v>
      </c>
    </row>
    <row r="295" spans="1:43" x14ac:dyDescent="0.35">
      <c r="A295">
        <v>39</v>
      </c>
      <c r="B295">
        <v>33</v>
      </c>
      <c r="C295" t="s">
        <v>148</v>
      </c>
      <c r="D295" t="s">
        <v>145</v>
      </c>
      <c r="E295" t="s">
        <v>4</v>
      </c>
      <c r="F295" t="s">
        <v>38</v>
      </c>
      <c r="G295" t="s">
        <v>43</v>
      </c>
      <c r="H295" t="s">
        <v>82</v>
      </c>
      <c r="I295" t="s">
        <v>43</v>
      </c>
      <c r="J295" t="s">
        <v>155</v>
      </c>
      <c r="K295" t="s">
        <v>44</v>
      </c>
      <c r="L295" t="s">
        <v>147</v>
      </c>
      <c r="M295" t="s">
        <v>49</v>
      </c>
      <c r="N295" t="s">
        <v>95</v>
      </c>
      <c r="P295" t="s">
        <v>148</v>
      </c>
      <c r="Q295">
        <v>11</v>
      </c>
      <c r="R295">
        <v>4</v>
      </c>
      <c r="S295">
        <v>7</v>
      </c>
      <c r="T295">
        <v>0</v>
      </c>
      <c r="U295">
        <v>0</v>
      </c>
      <c r="V295">
        <v>2</v>
      </c>
      <c r="W295">
        <v>78</v>
      </c>
      <c r="X295">
        <v>924</v>
      </c>
      <c r="Y295">
        <v>6670</v>
      </c>
      <c r="Z295">
        <v>2496</v>
      </c>
      <c r="AA295">
        <v>3</v>
      </c>
      <c r="AB295" s="29">
        <v>44773</v>
      </c>
      <c r="AC295" s="29">
        <v>32780</v>
      </c>
      <c r="AD295" s="29">
        <v>44686</v>
      </c>
      <c r="AE295" s="29"/>
      <c r="AF295">
        <v>0</v>
      </c>
      <c r="AG295" t="s">
        <v>149</v>
      </c>
      <c r="AI295">
        <v>33</v>
      </c>
      <c r="AJ295">
        <v>1</v>
      </c>
      <c r="AK295" t="s">
        <v>171</v>
      </c>
      <c r="AL295" t="s">
        <v>77</v>
      </c>
      <c r="AM295">
        <f t="shared" si="20"/>
        <v>2</v>
      </c>
      <c r="AN295">
        <f t="shared" si="21"/>
        <v>5</v>
      </c>
      <c r="AO295" t="str">
        <f t="shared" si="22"/>
        <v/>
      </c>
      <c r="AP295" t="str">
        <f t="shared" si="23"/>
        <v/>
      </c>
      <c r="AQ295">
        <f t="shared" si="24"/>
        <v>2022</v>
      </c>
    </row>
    <row r="296" spans="1:43" x14ac:dyDescent="0.35">
      <c r="A296">
        <v>934</v>
      </c>
      <c r="B296">
        <v>34</v>
      </c>
      <c r="C296" t="s">
        <v>148</v>
      </c>
      <c r="D296" t="s">
        <v>145</v>
      </c>
      <c r="E296" t="s">
        <v>4</v>
      </c>
      <c r="F296" t="s">
        <v>38</v>
      </c>
      <c r="G296" t="s">
        <v>42</v>
      </c>
      <c r="H296" t="s">
        <v>82</v>
      </c>
      <c r="I296" t="s">
        <v>43</v>
      </c>
      <c r="J296" t="s">
        <v>155</v>
      </c>
      <c r="K296" t="s">
        <v>42</v>
      </c>
      <c r="L296" t="s">
        <v>147</v>
      </c>
      <c r="M296" t="s">
        <v>49</v>
      </c>
      <c r="N296" t="s">
        <v>96</v>
      </c>
      <c r="O296" t="s">
        <v>156</v>
      </c>
      <c r="P296" t="s">
        <v>148</v>
      </c>
      <c r="Q296">
        <v>14</v>
      </c>
      <c r="R296">
        <v>1</v>
      </c>
      <c r="S296">
        <v>1</v>
      </c>
      <c r="T296">
        <v>0</v>
      </c>
      <c r="U296">
        <v>0</v>
      </c>
      <c r="V296">
        <v>10</v>
      </c>
      <c r="W296">
        <v>83</v>
      </c>
      <c r="X296">
        <v>546</v>
      </c>
      <c r="Y296">
        <v>6896</v>
      </c>
      <c r="Z296">
        <v>2008</v>
      </c>
      <c r="AA296">
        <v>3</v>
      </c>
      <c r="AB296" s="29">
        <v>44773</v>
      </c>
      <c r="AC296" s="29">
        <v>32519</v>
      </c>
      <c r="AD296" s="29">
        <v>44688</v>
      </c>
      <c r="AE296" s="29"/>
      <c r="AF296">
        <v>0</v>
      </c>
      <c r="AG296" t="s">
        <v>149</v>
      </c>
      <c r="AI296">
        <v>34</v>
      </c>
      <c r="AJ296">
        <v>1</v>
      </c>
      <c r="AK296" t="s">
        <v>171</v>
      </c>
      <c r="AL296" t="s">
        <v>77</v>
      </c>
      <c r="AM296">
        <f t="shared" si="20"/>
        <v>2</v>
      </c>
      <c r="AN296">
        <f t="shared" si="21"/>
        <v>5</v>
      </c>
      <c r="AO296" t="str">
        <f t="shared" si="22"/>
        <v/>
      </c>
      <c r="AP296" t="str">
        <f t="shared" si="23"/>
        <v/>
      </c>
      <c r="AQ296">
        <f t="shared" si="24"/>
        <v>2022</v>
      </c>
    </row>
    <row r="297" spans="1:43" x14ac:dyDescent="0.35">
      <c r="A297">
        <v>715</v>
      </c>
      <c r="B297">
        <v>37</v>
      </c>
      <c r="C297" t="s">
        <v>148</v>
      </c>
      <c r="D297" t="s">
        <v>145</v>
      </c>
      <c r="E297" t="s">
        <v>4</v>
      </c>
      <c r="F297" t="s">
        <v>36</v>
      </c>
      <c r="G297" t="s">
        <v>44</v>
      </c>
      <c r="H297" t="s">
        <v>82</v>
      </c>
      <c r="I297" t="s">
        <v>44</v>
      </c>
      <c r="J297" t="s">
        <v>146</v>
      </c>
      <c r="K297" t="s">
        <v>44</v>
      </c>
      <c r="L297" t="s">
        <v>48</v>
      </c>
      <c r="M297" t="s">
        <v>49</v>
      </c>
      <c r="N297" t="s">
        <v>95</v>
      </c>
      <c r="P297" t="s">
        <v>148</v>
      </c>
      <c r="Q297">
        <v>17</v>
      </c>
      <c r="R297">
        <v>3</v>
      </c>
      <c r="S297">
        <v>4</v>
      </c>
      <c r="T297">
        <v>0</v>
      </c>
      <c r="U297">
        <v>0</v>
      </c>
      <c r="V297">
        <v>10</v>
      </c>
      <c r="W297">
        <v>80</v>
      </c>
      <c r="X297">
        <v>1225</v>
      </c>
      <c r="Y297">
        <v>15232</v>
      </c>
      <c r="Z297">
        <v>4680</v>
      </c>
      <c r="AA297">
        <v>2</v>
      </c>
      <c r="AB297" s="29">
        <v>44773</v>
      </c>
      <c r="AC297" s="29">
        <v>31620</v>
      </c>
      <c r="AD297" s="29">
        <v>44689</v>
      </c>
      <c r="AE297" s="29"/>
      <c r="AF297">
        <v>0</v>
      </c>
      <c r="AG297" t="s">
        <v>149</v>
      </c>
      <c r="AI297">
        <v>37</v>
      </c>
      <c r="AJ297">
        <v>2</v>
      </c>
      <c r="AK297" t="s">
        <v>171</v>
      </c>
      <c r="AL297" t="s">
        <v>77</v>
      </c>
      <c r="AM297">
        <f t="shared" si="20"/>
        <v>2</v>
      </c>
      <c r="AN297">
        <f t="shared" si="21"/>
        <v>5</v>
      </c>
      <c r="AO297" t="str">
        <f t="shared" si="22"/>
        <v/>
      </c>
      <c r="AP297" t="str">
        <f t="shared" si="23"/>
        <v/>
      </c>
      <c r="AQ297">
        <f t="shared" si="24"/>
        <v>2022</v>
      </c>
    </row>
    <row r="298" spans="1:43" x14ac:dyDescent="0.35">
      <c r="A298">
        <v>1030</v>
      </c>
      <c r="B298">
        <v>50</v>
      </c>
      <c r="C298" t="s">
        <v>148</v>
      </c>
      <c r="D298" t="s">
        <v>145</v>
      </c>
      <c r="E298" t="s">
        <v>4</v>
      </c>
      <c r="F298" t="s">
        <v>38</v>
      </c>
      <c r="G298" t="s">
        <v>41</v>
      </c>
      <c r="H298" t="s">
        <v>82</v>
      </c>
      <c r="I298" t="s">
        <v>43</v>
      </c>
      <c r="J298" t="s">
        <v>155</v>
      </c>
      <c r="K298" t="s">
        <v>44</v>
      </c>
      <c r="L298" t="s">
        <v>48</v>
      </c>
      <c r="M298" t="s">
        <v>49</v>
      </c>
      <c r="N298" t="s">
        <v>160</v>
      </c>
      <c r="P298" t="s">
        <v>148</v>
      </c>
      <c r="Q298">
        <v>18</v>
      </c>
      <c r="R298">
        <v>4</v>
      </c>
      <c r="S298">
        <v>8</v>
      </c>
      <c r="T298">
        <v>0</v>
      </c>
      <c r="U298">
        <v>0</v>
      </c>
      <c r="V298">
        <v>9</v>
      </c>
      <c r="W298">
        <v>64</v>
      </c>
      <c r="X298">
        <v>804</v>
      </c>
      <c r="Y298">
        <v>20165</v>
      </c>
      <c r="Z298">
        <v>2380</v>
      </c>
      <c r="AA298">
        <v>5</v>
      </c>
      <c r="AB298" s="29">
        <v>44773</v>
      </c>
      <c r="AC298" s="29">
        <v>26675</v>
      </c>
      <c r="AD298" s="29">
        <v>44690</v>
      </c>
      <c r="AE298" s="29"/>
      <c r="AF298">
        <v>0</v>
      </c>
      <c r="AG298" t="s">
        <v>167</v>
      </c>
      <c r="AI298">
        <v>50</v>
      </c>
      <c r="AJ298">
        <v>1</v>
      </c>
      <c r="AK298" t="s">
        <v>171</v>
      </c>
      <c r="AL298" t="s">
        <v>78</v>
      </c>
      <c r="AM298">
        <f t="shared" si="20"/>
        <v>2</v>
      </c>
      <c r="AN298">
        <f t="shared" si="21"/>
        <v>5</v>
      </c>
      <c r="AO298" t="str">
        <f t="shared" si="22"/>
        <v/>
      </c>
      <c r="AP298" t="str">
        <f t="shared" si="23"/>
        <v/>
      </c>
      <c r="AQ298">
        <f t="shared" si="24"/>
        <v>2022</v>
      </c>
    </row>
    <row r="299" spans="1:43" x14ac:dyDescent="0.35">
      <c r="A299">
        <v>1687</v>
      </c>
      <c r="B299">
        <v>38</v>
      </c>
      <c r="C299" t="s">
        <v>148</v>
      </c>
      <c r="D299" t="s">
        <v>145</v>
      </c>
      <c r="E299" t="s">
        <v>4</v>
      </c>
      <c r="F299" t="s">
        <v>36</v>
      </c>
      <c r="G299" t="s">
        <v>44</v>
      </c>
      <c r="H299" t="s">
        <v>81</v>
      </c>
      <c r="I299" t="s">
        <v>43</v>
      </c>
      <c r="J299" t="s">
        <v>155</v>
      </c>
      <c r="K299" t="s">
        <v>43</v>
      </c>
      <c r="L299" t="s">
        <v>147</v>
      </c>
      <c r="M299" t="s">
        <v>48</v>
      </c>
      <c r="N299" t="s">
        <v>160</v>
      </c>
      <c r="O299" t="s">
        <v>41</v>
      </c>
      <c r="P299" t="s">
        <v>148</v>
      </c>
      <c r="Q299">
        <v>19</v>
      </c>
      <c r="R299">
        <v>7</v>
      </c>
      <c r="S299">
        <v>7</v>
      </c>
      <c r="T299">
        <v>0</v>
      </c>
      <c r="U299">
        <v>0</v>
      </c>
      <c r="V299">
        <v>4</v>
      </c>
      <c r="W299">
        <v>87</v>
      </c>
      <c r="X299">
        <v>1495</v>
      </c>
      <c r="Y299">
        <v>26176</v>
      </c>
      <c r="Z299">
        <v>3306</v>
      </c>
      <c r="AA299">
        <v>5</v>
      </c>
      <c r="AB299" s="29">
        <v>44773</v>
      </c>
      <c r="AC299" s="29">
        <v>31142</v>
      </c>
      <c r="AD299" s="29">
        <v>44691</v>
      </c>
      <c r="AE299" s="29"/>
      <c r="AF299">
        <v>0</v>
      </c>
      <c r="AG299" t="s">
        <v>149</v>
      </c>
      <c r="AI299">
        <v>38</v>
      </c>
      <c r="AJ299">
        <v>1</v>
      </c>
      <c r="AK299" t="s">
        <v>171</v>
      </c>
      <c r="AL299" t="s">
        <v>77</v>
      </c>
      <c r="AM299">
        <f t="shared" si="20"/>
        <v>2</v>
      </c>
      <c r="AN299">
        <f t="shared" si="21"/>
        <v>5</v>
      </c>
      <c r="AO299" t="str">
        <f t="shared" si="22"/>
        <v/>
      </c>
      <c r="AP299" t="str">
        <f t="shared" si="23"/>
        <v/>
      </c>
      <c r="AQ299">
        <f t="shared" si="24"/>
        <v>2022</v>
      </c>
    </row>
    <row r="300" spans="1:43" x14ac:dyDescent="0.35">
      <c r="A300">
        <v>643</v>
      </c>
      <c r="B300">
        <v>24</v>
      </c>
      <c r="C300" t="s">
        <v>148</v>
      </c>
      <c r="D300" t="s">
        <v>145</v>
      </c>
      <c r="E300" t="s">
        <v>4</v>
      </c>
      <c r="F300" t="s">
        <v>36</v>
      </c>
      <c r="G300" t="s">
        <v>44</v>
      </c>
      <c r="H300" t="s">
        <v>82</v>
      </c>
      <c r="I300" t="s">
        <v>42</v>
      </c>
      <c r="J300" t="s">
        <v>155</v>
      </c>
      <c r="K300" t="s">
        <v>42</v>
      </c>
      <c r="L300" t="s">
        <v>152</v>
      </c>
      <c r="M300" t="s">
        <v>49</v>
      </c>
      <c r="N300" t="s">
        <v>160</v>
      </c>
      <c r="O300" t="s">
        <v>41</v>
      </c>
      <c r="P300" t="s">
        <v>148</v>
      </c>
      <c r="Q300">
        <v>21</v>
      </c>
      <c r="R300">
        <v>1</v>
      </c>
      <c r="S300">
        <v>1</v>
      </c>
      <c r="T300">
        <v>0</v>
      </c>
      <c r="U300">
        <v>0</v>
      </c>
      <c r="V300">
        <v>17</v>
      </c>
      <c r="W300">
        <v>94</v>
      </c>
      <c r="X300">
        <v>823</v>
      </c>
      <c r="Y300">
        <v>9100</v>
      </c>
      <c r="Z300">
        <v>2127</v>
      </c>
      <c r="AA300">
        <v>2</v>
      </c>
      <c r="AB300" s="29">
        <v>44773</v>
      </c>
      <c r="AC300" s="29">
        <v>36024</v>
      </c>
      <c r="AD300" s="29">
        <v>44695</v>
      </c>
      <c r="AE300" s="29"/>
      <c r="AF300">
        <v>0</v>
      </c>
      <c r="AG300" t="s">
        <v>157</v>
      </c>
      <c r="AI300">
        <v>24</v>
      </c>
      <c r="AJ300">
        <v>2</v>
      </c>
      <c r="AK300" t="s">
        <v>171</v>
      </c>
      <c r="AL300" t="s">
        <v>77</v>
      </c>
      <c r="AM300">
        <f t="shared" si="20"/>
        <v>2</v>
      </c>
      <c r="AN300">
        <f t="shared" si="21"/>
        <v>5</v>
      </c>
      <c r="AO300" t="str">
        <f t="shared" si="22"/>
        <v/>
      </c>
      <c r="AP300" t="str">
        <f t="shared" si="23"/>
        <v/>
      </c>
      <c r="AQ300">
        <f t="shared" si="24"/>
        <v>2022</v>
      </c>
    </row>
    <row r="301" spans="1:43" x14ac:dyDescent="0.35">
      <c r="A301">
        <v>749</v>
      </c>
      <c r="B301">
        <v>29</v>
      </c>
      <c r="C301" t="s">
        <v>148</v>
      </c>
      <c r="D301" t="s">
        <v>145</v>
      </c>
      <c r="E301" t="s">
        <v>158</v>
      </c>
      <c r="F301" t="s">
        <v>38</v>
      </c>
      <c r="G301" t="s">
        <v>43</v>
      </c>
      <c r="H301" t="s">
        <v>82</v>
      </c>
      <c r="I301" t="s">
        <v>43</v>
      </c>
      <c r="J301" t="s">
        <v>166</v>
      </c>
      <c r="K301" t="s">
        <v>43</v>
      </c>
      <c r="L301" t="s">
        <v>147</v>
      </c>
      <c r="M301" t="s">
        <v>49</v>
      </c>
      <c r="N301" t="s">
        <v>95</v>
      </c>
      <c r="P301" t="s">
        <v>148</v>
      </c>
      <c r="Q301">
        <v>11</v>
      </c>
      <c r="R301">
        <v>1</v>
      </c>
      <c r="S301">
        <v>1</v>
      </c>
      <c r="T301">
        <v>0</v>
      </c>
      <c r="U301">
        <v>0</v>
      </c>
      <c r="V301">
        <v>10</v>
      </c>
      <c r="W301">
        <v>99</v>
      </c>
      <c r="X301">
        <v>1396</v>
      </c>
      <c r="Y301">
        <v>2755</v>
      </c>
      <c r="Z301">
        <v>2642</v>
      </c>
      <c r="AA301">
        <v>6</v>
      </c>
      <c r="AB301" s="29">
        <v>44773</v>
      </c>
      <c r="AC301" s="29">
        <v>34365</v>
      </c>
      <c r="AD301" s="29">
        <v>44695</v>
      </c>
      <c r="AE301" s="29"/>
      <c r="AF301">
        <v>0</v>
      </c>
      <c r="AG301" t="s">
        <v>157</v>
      </c>
      <c r="AI301">
        <v>29</v>
      </c>
      <c r="AJ301">
        <v>1</v>
      </c>
      <c r="AK301" t="s">
        <v>171</v>
      </c>
      <c r="AL301" t="s">
        <v>78</v>
      </c>
      <c r="AM301">
        <f t="shared" si="20"/>
        <v>2</v>
      </c>
      <c r="AN301">
        <f t="shared" si="21"/>
        <v>5</v>
      </c>
      <c r="AO301" t="str">
        <f t="shared" si="22"/>
        <v/>
      </c>
      <c r="AP301" t="str">
        <f t="shared" si="23"/>
        <v/>
      </c>
      <c r="AQ301">
        <f t="shared" si="24"/>
        <v>2022</v>
      </c>
    </row>
    <row r="302" spans="1:43" x14ac:dyDescent="0.35">
      <c r="A302">
        <v>1368</v>
      </c>
      <c r="B302">
        <v>18</v>
      </c>
      <c r="C302" t="s">
        <v>148</v>
      </c>
      <c r="D302" t="s">
        <v>164</v>
      </c>
      <c r="E302" t="s">
        <v>4</v>
      </c>
      <c r="F302" t="s">
        <v>38</v>
      </c>
      <c r="G302" t="s">
        <v>44</v>
      </c>
      <c r="H302" t="s">
        <v>81</v>
      </c>
      <c r="I302" t="s">
        <v>43</v>
      </c>
      <c r="J302" t="s">
        <v>155</v>
      </c>
      <c r="K302" t="s">
        <v>44</v>
      </c>
      <c r="L302" t="s">
        <v>147</v>
      </c>
      <c r="M302" t="s">
        <v>50</v>
      </c>
      <c r="N302" t="s">
        <v>95</v>
      </c>
      <c r="P302" t="s">
        <v>148</v>
      </c>
      <c r="Q302">
        <v>15</v>
      </c>
      <c r="R302">
        <v>1</v>
      </c>
      <c r="S302">
        <v>2</v>
      </c>
      <c r="T302">
        <v>0</v>
      </c>
      <c r="U302">
        <v>0</v>
      </c>
      <c r="V302">
        <v>1</v>
      </c>
      <c r="W302">
        <v>97</v>
      </c>
      <c r="X302">
        <v>1124</v>
      </c>
      <c r="Y302">
        <v>19305</v>
      </c>
      <c r="Z302">
        <v>1611</v>
      </c>
      <c r="AA302">
        <v>5</v>
      </c>
      <c r="AB302" s="29">
        <v>44773</v>
      </c>
      <c r="AC302" s="29">
        <v>38230</v>
      </c>
      <c r="AD302" s="29">
        <v>44697</v>
      </c>
      <c r="AE302" s="29"/>
      <c r="AF302">
        <v>0</v>
      </c>
      <c r="AG302" t="s">
        <v>172</v>
      </c>
      <c r="AI302">
        <v>18</v>
      </c>
      <c r="AJ302">
        <v>1</v>
      </c>
      <c r="AK302" t="s">
        <v>171</v>
      </c>
      <c r="AL302" t="s">
        <v>77</v>
      </c>
      <c r="AM302">
        <f t="shared" si="20"/>
        <v>2</v>
      </c>
      <c r="AN302">
        <f t="shared" si="21"/>
        <v>5</v>
      </c>
      <c r="AO302" t="str">
        <f t="shared" si="22"/>
        <v/>
      </c>
      <c r="AP302" t="str">
        <f t="shared" si="23"/>
        <v/>
      </c>
      <c r="AQ302">
        <f t="shared" si="24"/>
        <v>2022</v>
      </c>
    </row>
    <row r="303" spans="1:43" x14ac:dyDescent="0.35">
      <c r="A303">
        <v>2012</v>
      </c>
      <c r="B303">
        <v>40</v>
      </c>
      <c r="C303" t="s">
        <v>148</v>
      </c>
      <c r="D303" t="s">
        <v>145</v>
      </c>
      <c r="E303" t="s">
        <v>4</v>
      </c>
      <c r="F303" t="s">
        <v>37</v>
      </c>
      <c r="G303" t="s">
        <v>41</v>
      </c>
      <c r="H303" t="s">
        <v>82</v>
      </c>
      <c r="I303" t="s">
        <v>43</v>
      </c>
      <c r="J303" t="s">
        <v>155</v>
      </c>
      <c r="K303" t="s">
        <v>44</v>
      </c>
      <c r="L303" t="s">
        <v>147</v>
      </c>
      <c r="M303" t="s">
        <v>48</v>
      </c>
      <c r="N303" t="s">
        <v>160</v>
      </c>
      <c r="O303" t="s">
        <v>156</v>
      </c>
      <c r="P303" t="s">
        <v>148</v>
      </c>
      <c r="Q303">
        <v>19</v>
      </c>
      <c r="R303">
        <v>8</v>
      </c>
      <c r="S303">
        <v>8</v>
      </c>
      <c r="T303">
        <v>0</v>
      </c>
      <c r="U303">
        <v>0</v>
      </c>
      <c r="V303">
        <v>1</v>
      </c>
      <c r="W303">
        <v>83</v>
      </c>
      <c r="X303">
        <v>543</v>
      </c>
      <c r="Y303">
        <v>4060</v>
      </c>
      <c r="Z303">
        <v>2406</v>
      </c>
      <c r="AA303">
        <v>3</v>
      </c>
      <c r="AB303" s="29">
        <v>44773</v>
      </c>
      <c r="AC303" s="29">
        <v>30475</v>
      </c>
      <c r="AD303" s="29">
        <v>44703</v>
      </c>
      <c r="AE303" s="29"/>
      <c r="AF303">
        <v>0</v>
      </c>
      <c r="AG303" t="s">
        <v>153</v>
      </c>
      <c r="AI303">
        <v>40</v>
      </c>
      <c r="AJ303">
        <v>1</v>
      </c>
      <c r="AK303" t="s">
        <v>171</v>
      </c>
      <c r="AL303" t="s">
        <v>77</v>
      </c>
      <c r="AM303">
        <f t="shared" si="20"/>
        <v>2</v>
      </c>
      <c r="AN303">
        <f t="shared" si="21"/>
        <v>5</v>
      </c>
      <c r="AO303" t="str">
        <f t="shared" si="22"/>
        <v/>
      </c>
      <c r="AP303" t="str">
        <f t="shared" si="23"/>
        <v/>
      </c>
      <c r="AQ303">
        <f t="shared" si="24"/>
        <v>2022</v>
      </c>
    </row>
    <row r="304" spans="1:43" x14ac:dyDescent="0.35">
      <c r="A304">
        <v>1865</v>
      </c>
      <c r="B304">
        <v>29</v>
      </c>
      <c r="C304" t="s">
        <v>148</v>
      </c>
      <c r="D304" t="s">
        <v>145</v>
      </c>
      <c r="E304" t="s">
        <v>168</v>
      </c>
      <c r="F304" t="s">
        <v>35</v>
      </c>
      <c r="G304" t="s">
        <v>44</v>
      </c>
      <c r="H304" t="s">
        <v>82</v>
      </c>
      <c r="I304" t="s">
        <v>42</v>
      </c>
      <c r="J304" t="s">
        <v>168</v>
      </c>
      <c r="K304" t="s">
        <v>42</v>
      </c>
      <c r="L304" t="s">
        <v>147</v>
      </c>
      <c r="M304" t="s">
        <v>49</v>
      </c>
      <c r="N304" t="s">
        <v>160</v>
      </c>
      <c r="P304" t="s">
        <v>148</v>
      </c>
      <c r="Q304">
        <v>11</v>
      </c>
      <c r="R304">
        <v>1</v>
      </c>
      <c r="S304">
        <v>1</v>
      </c>
      <c r="T304">
        <v>0</v>
      </c>
      <c r="U304">
        <v>0</v>
      </c>
      <c r="V304">
        <v>6</v>
      </c>
      <c r="W304">
        <v>87</v>
      </c>
      <c r="X304">
        <v>352</v>
      </c>
      <c r="Y304">
        <v>15434</v>
      </c>
      <c r="Z304">
        <v>2804</v>
      </c>
      <c r="AA304">
        <v>3</v>
      </c>
      <c r="AB304" s="29">
        <v>44773</v>
      </c>
      <c r="AC304" s="29">
        <v>34295</v>
      </c>
      <c r="AD304" s="29">
        <v>44736</v>
      </c>
      <c r="AE304" s="29"/>
      <c r="AF304">
        <v>0</v>
      </c>
      <c r="AG304" t="s">
        <v>157</v>
      </c>
      <c r="AI304">
        <v>29</v>
      </c>
      <c r="AJ304">
        <v>1</v>
      </c>
      <c r="AK304" t="s">
        <v>171</v>
      </c>
      <c r="AL304" t="s">
        <v>77</v>
      </c>
      <c r="AM304">
        <f t="shared" si="20"/>
        <v>2</v>
      </c>
      <c r="AN304">
        <f t="shared" si="21"/>
        <v>6</v>
      </c>
      <c r="AO304" t="str">
        <f t="shared" si="22"/>
        <v/>
      </c>
      <c r="AP304" t="str">
        <f t="shared" si="23"/>
        <v/>
      </c>
      <c r="AQ304">
        <f t="shared" si="24"/>
        <v>2022</v>
      </c>
    </row>
    <row r="305" spans="1:43" x14ac:dyDescent="0.35">
      <c r="A305">
        <v>411</v>
      </c>
      <c r="B305">
        <v>18</v>
      </c>
      <c r="C305" t="s">
        <v>148</v>
      </c>
      <c r="D305" t="s">
        <v>145</v>
      </c>
      <c r="E305" t="s">
        <v>158</v>
      </c>
      <c r="F305" t="s">
        <v>38</v>
      </c>
      <c r="G305" t="s">
        <v>44</v>
      </c>
      <c r="H305" t="s">
        <v>81</v>
      </c>
      <c r="I305" t="s">
        <v>42</v>
      </c>
      <c r="J305" t="s">
        <v>166</v>
      </c>
      <c r="K305" t="s">
        <v>43</v>
      </c>
      <c r="L305" t="s">
        <v>147</v>
      </c>
      <c r="M305" t="s">
        <v>49</v>
      </c>
      <c r="N305" t="s">
        <v>95</v>
      </c>
      <c r="P305" t="s">
        <v>148</v>
      </c>
      <c r="Q305">
        <v>12</v>
      </c>
      <c r="R305">
        <v>1</v>
      </c>
      <c r="S305">
        <v>0</v>
      </c>
      <c r="T305">
        <v>0</v>
      </c>
      <c r="U305">
        <v>0</v>
      </c>
      <c r="V305">
        <v>10</v>
      </c>
      <c r="W305">
        <v>69</v>
      </c>
      <c r="X305">
        <v>812</v>
      </c>
      <c r="Y305">
        <v>9724</v>
      </c>
      <c r="Z305">
        <v>1200</v>
      </c>
      <c r="AA305">
        <v>2</v>
      </c>
      <c r="AB305" s="29">
        <v>44773</v>
      </c>
      <c r="AC305" s="29">
        <v>38282</v>
      </c>
      <c r="AD305" s="29">
        <v>44777</v>
      </c>
      <c r="AE305" s="29"/>
      <c r="AF305">
        <v>0</v>
      </c>
      <c r="AG305" t="s">
        <v>172</v>
      </c>
      <c r="AI305">
        <v>18</v>
      </c>
      <c r="AJ305">
        <v>1</v>
      </c>
      <c r="AK305" t="s">
        <v>171</v>
      </c>
      <c r="AL305" t="s">
        <v>77</v>
      </c>
      <c r="AM305">
        <f t="shared" si="20"/>
        <v>3</v>
      </c>
      <c r="AN305">
        <f t="shared" si="21"/>
        <v>8</v>
      </c>
      <c r="AO305" t="str">
        <f t="shared" si="22"/>
        <v/>
      </c>
      <c r="AP305" t="str">
        <f t="shared" si="23"/>
        <v/>
      </c>
      <c r="AQ305">
        <f t="shared" si="24"/>
        <v>2022</v>
      </c>
    </row>
    <row r="306" spans="1:43" x14ac:dyDescent="0.35">
      <c r="A306">
        <v>556</v>
      </c>
      <c r="B306">
        <v>38</v>
      </c>
      <c r="C306" t="s">
        <v>148</v>
      </c>
      <c r="D306" t="s">
        <v>151</v>
      </c>
      <c r="E306" t="s">
        <v>4</v>
      </c>
      <c r="F306" t="s">
        <v>36</v>
      </c>
      <c r="G306" t="s">
        <v>44</v>
      </c>
      <c r="H306" t="s">
        <v>82</v>
      </c>
      <c r="I306" t="s">
        <v>43</v>
      </c>
      <c r="J306" t="s">
        <v>155</v>
      </c>
      <c r="K306" t="s">
        <v>44</v>
      </c>
      <c r="L306" t="s">
        <v>152</v>
      </c>
      <c r="M306" t="s">
        <v>49</v>
      </c>
      <c r="N306" t="s">
        <v>160</v>
      </c>
      <c r="O306" t="s">
        <v>41</v>
      </c>
      <c r="P306" t="s">
        <v>144</v>
      </c>
      <c r="Q306">
        <v>23</v>
      </c>
      <c r="R306">
        <v>1</v>
      </c>
      <c r="S306">
        <v>1</v>
      </c>
      <c r="T306">
        <v>0</v>
      </c>
      <c r="U306">
        <v>0</v>
      </c>
      <c r="V306">
        <v>2</v>
      </c>
      <c r="W306">
        <v>42</v>
      </c>
      <c r="X306">
        <v>1490</v>
      </c>
      <c r="Y306">
        <v>12106</v>
      </c>
      <c r="Z306">
        <v>1702</v>
      </c>
      <c r="AA306">
        <v>3</v>
      </c>
      <c r="AB306" s="29">
        <v>44773</v>
      </c>
      <c r="AC306" s="29">
        <v>30916</v>
      </c>
      <c r="AD306" s="29">
        <v>44409</v>
      </c>
      <c r="AE306" s="29"/>
      <c r="AF306">
        <v>1</v>
      </c>
      <c r="AG306" t="s">
        <v>149</v>
      </c>
      <c r="AI306">
        <v>37</v>
      </c>
      <c r="AJ306">
        <v>1</v>
      </c>
      <c r="AK306" t="s">
        <v>170</v>
      </c>
      <c r="AL306" t="s">
        <v>77</v>
      </c>
      <c r="AM306">
        <f t="shared" si="20"/>
        <v>3</v>
      </c>
      <c r="AN306">
        <f t="shared" si="21"/>
        <v>8</v>
      </c>
      <c r="AO306" t="str">
        <f t="shared" si="22"/>
        <v/>
      </c>
      <c r="AP306" t="str">
        <f t="shared" si="23"/>
        <v/>
      </c>
      <c r="AQ306">
        <f t="shared" si="24"/>
        <v>2021</v>
      </c>
    </row>
    <row r="307" spans="1:43" x14ac:dyDescent="0.35">
      <c r="A307">
        <v>1158</v>
      </c>
      <c r="B307">
        <v>41</v>
      </c>
      <c r="C307" t="s">
        <v>148</v>
      </c>
      <c r="D307" t="s">
        <v>145</v>
      </c>
      <c r="E307" t="s">
        <v>4</v>
      </c>
      <c r="F307" t="s">
        <v>37</v>
      </c>
      <c r="G307" t="s">
        <v>42</v>
      </c>
      <c r="H307" t="s">
        <v>82</v>
      </c>
      <c r="I307" t="s">
        <v>43</v>
      </c>
      <c r="J307" t="s">
        <v>155</v>
      </c>
      <c r="K307" t="s">
        <v>44</v>
      </c>
      <c r="L307" t="s">
        <v>147</v>
      </c>
      <c r="M307" t="s">
        <v>49</v>
      </c>
      <c r="N307" t="s">
        <v>160</v>
      </c>
      <c r="O307" t="s">
        <v>41</v>
      </c>
      <c r="P307" t="s">
        <v>144</v>
      </c>
      <c r="Q307">
        <v>11</v>
      </c>
      <c r="R307">
        <v>3</v>
      </c>
      <c r="S307">
        <v>6</v>
      </c>
      <c r="T307">
        <v>0</v>
      </c>
      <c r="U307">
        <v>0</v>
      </c>
      <c r="V307">
        <v>12</v>
      </c>
      <c r="W307">
        <v>46</v>
      </c>
      <c r="X307">
        <v>167</v>
      </c>
      <c r="Y307">
        <v>9051</v>
      </c>
      <c r="Z307">
        <v>4766</v>
      </c>
      <c r="AA307">
        <v>4</v>
      </c>
      <c r="AB307" s="29">
        <v>44773</v>
      </c>
      <c r="AC307" s="29">
        <v>29894</v>
      </c>
      <c r="AD307" s="29">
        <v>44431</v>
      </c>
      <c r="AE307" s="29"/>
      <c r="AF307">
        <v>1</v>
      </c>
      <c r="AG307" t="s">
        <v>153</v>
      </c>
      <c r="AI307">
        <v>40</v>
      </c>
      <c r="AJ307">
        <v>2</v>
      </c>
      <c r="AK307" t="s">
        <v>170</v>
      </c>
      <c r="AL307" t="s">
        <v>77</v>
      </c>
      <c r="AM307">
        <f t="shared" si="20"/>
        <v>3</v>
      </c>
      <c r="AN307">
        <f t="shared" si="21"/>
        <v>8</v>
      </c>
      <c r="AO307" t="str">
        <f t="shared" si="22"/>
        <v/>
      </c>
      <c r="AP307" t="str">
        <f t="shared" si="23"/>
        <v/>
      </c>
      <c r="AQ307">
        <f t="shared" si="24"/>
        <v>2021</v>
      </c>
    </row>
    <row r="308" spans="1:43" x14ac:dyDescent="0.35">
      <c r="A308">
        <v>1055</v>
      </c>
      <c r="B308">
        <v>34</v>
      </c>
      <c r="C308" t="s">
        <v>148</v>
      </c>
      <c r="D308" t="s">
        <v>145</v>
      </c>
      <c r="E308" t="s">
        <v>158</v>
      </c>
      <c r="F308" t="s">
        <v>37</v>
      </c>
      <c r="G308" t="s">
        <v>43</v>
      </c>
      <c r="H308" t="s">
        <v>81</v>
      </c>
      <c r="I308" t="s">
        <v>43</v>
      </c>
      <c r="J308" t="s">
        <v>166</v>
      </c>
      <c r="K308" t="s">
        <v>43</v>
      </c>
      <c r="L308" t="s">
        <v>147</v>
      </c>
      <c r="M308" t="s">
        <v>49</v>
      </c>
      <c r="N308" t="s">
        <v>160</v>
      </c>
      <c r="O308" t="s">
        <v>41</v>
      </c>
      <c r="P308" t="s">
        <v>144</v>
      </c>
      <c r="Q308">
        <v>19</v>
      </c>
      <c r="R308">
        <v>1</v>
      </c>
      <c r="S308">
        <v>1</v>
      </c>
      <c r="T308">
        <v>0</v>
      </c>
      <c r="U308">
        <v>0</v>
      </c>
      <c r="V308">
        <v>10</v>
      </c>
      <c r="W308">
        <v>87</v>
      </c>
      <c r="X308">
        <v>1333</v>
      </c>
      <c r="Y308">
        <v>18410</v>
      </c>
      <c r="Z308">
        <v>2220</v>
      </c>
      <c r="AA308">
        <v>2</v>
      </c>
      <c r="AB308" s="29">
        <v>44773</v>
      </c>
      <c r="AC308" s="29">
        <v>32405</v>
      </c>
      <c r="AD308" s="29">
        <v>44435</v>
      </c>
      <c r="AE308" s="29"/>
      <c r="AF308">
        <v>1</v>
      </c>
      <c r="AG308" t="s">
        <v>149</v>
      </c>
      <c r="AI308">
        <v>33</v>
      </c>
      <c r="AJ308">
        <v>1</v>
      </c>
      <c r="AK308" t="s">
        <v>170</v>
      </c>
      <c r="AL308" t="s">
        <v>77</v>
      </c>
      <c r="AM308">
        <f t="shared" si="20"/>
        <v>3</v>
      </c>
      <c r="AN308">
        <f t="shared" si="21"/>
        <v>8</v>
      </c>
      <c r="AO308" t="str">
        <f t="shared" si="22"/>
        <v/>
      </c>
      <c r="AP308" t="str">
        <f t="shared" si="23"/>
        <v/>
      </c>
      <c r="AQ308">
        <f t="shared" si="24"/>
        <v>2021</v>
      </c>
    </row>
    <row r="309" spans="1:43" x14ac:dyDescent="0.35">
      <c r="A309">
        <v>10</v>
      </c>
      <c r="B309">
        <v>59</v>
      </c>
      <c r="C309" t="s">
        <v>148</v>
      </c>
      <c r="D309" t="s">
        <v>145</v>
      </c>
      <c r="E309" t="s">
        <v>4</v>
      </c>
      <c r="F309" t="s">
        <v>38</v>
      </c>
      <c r="G309" t="s">
        <v>43</v>
      </c>
      <c r="H309" t="s">
        <v>81</v>
      </c>
      <c r="I309" t="s">
        <v>44</v>
      </c>
      <c r="J309" t="s">
        <v>155</v>
      </c>
      <c r="K309" t="s">
        <v>41</v>
      </c>
      <c r="L309" t="s">
        <v>152</v>
      </c>
      <c r="M309" t="s">
        <v>48</v>
      </c>
      <c r="N309" t="s">
        <v>160</v>
      </c>
      <c r="O309" t="s">
        <v>43</v>
      </c>
      <c r="P309" t="s">
        <v>144</v>
      </c>
      <c r="Q309">
        <v>20</v>
      </c>
      <c r="R309">
        <v>4</v>
      </c>
      <c r="S309">
        <v>12</v>
      </c>
      <c r="T309">
        <v>0</v>
      </c>
      <c r="U309">
        <v>0</v>
      </c>
      <c r="V309">
        <v>3</v>
      </c>
      <c r="W309">
        <v>81</v>
      </c>
      <c r="X309">
        <v>1324</v>
      </c>
      <c r="Y309">
        <v>9964</v>
      </c>
      <c r="Z309">
        <v>2670</v>
      </c>
      <c r="AA309">
        <v>3</v>
      </c>
      <c r="AB309" s="29">
        <v>44773</v>
      </c>
      <c r="AC309" s="29">
        <v>23563</v>
      </c>
      <c r="AD309" s="29">
        <v>44520</v>
      </c>
      <c r="AE309" s="29"/>
      <c r="AF309">
        <v>1</v>
      </c>
      <c r="AG309" t="s">
        <v>167</v>
      </c>
      <c r="AI309">
        <v>58</v>
      </c>
      <c r="AJ309">
        <v>1</v>
      </c>
      <c r="AK309" t="s">
        <v>170</v>
      </c>
      <c r="AL309" t="s">
        <v>77</v>
      </c>
      <c r="AM309">
        <f t="shared" si="20"/>
        <v>4</v>
      </c>
      <c r="AN309">
        <f t="shared" si="21"/>
        <v>11</v>
      </c>
      <c r="AO309" t="str">
        <f t="shared" si="22"/>
        <v/>
      </c>
      <c r="AP309" t="str">
        <f t="shared" si="23"/>
        <v/>
      </c>
      <c r="AQ309">
        <f t="shared" si="24"/>
        <v>2021</v>
      </c>
    </row>
    <row r="310" spans="1:43" x14ac:dyDescent="0.35">
      <c r="A310">
        <v>1974</v>
      </c>
      <c r="B310">
        <v>31</v>
      </c>
      <c r="C310" t="s">
        <v>148</v>
      </c>
      <c r="D310" t="s">
        <v>145</v>
      </c>
      <c r="E310" t="s">
        <v>4</v>
      </c>
      <c r="F310" t="s">
        <v>35</v>
      </c>
      <c r="G310" t="s">
        <v>44</v>
      </c>
      <c r="H310" t="s">
        <v>81</v>
      </c>
      <c r="I310" t="s">
        <v>41</v>
      </c>
      <c r="J310" t="s">
        <v>155</v>
      </c>
      <c r="K310" t="s">
        <v>44</v>
      </c>
      <c r="L310" t="s">
        <v>147</v>
      </c>
      <c r="M310" t="s">
        <v>49</v>
      </c>
      <c r="N310" t="s">
        <v>96</v>
      </c>
      <c r="O310" t="s">
        <v>43</v>
      </c>
      <c r="P310" t="s">
        <v>144</v>
      </c>
      <c r="Q310">
        <v>11</v>
      </c>
      <c r="R310">
        <v>1</v>
      </c>
      <c r="S310">
        <v>1</v>
      </c>
      <c r="T310">
        <v>0</v>
      </c>
      <c r="U310">
        <v>0</v>
      </c>
      <c r="V310">
        <v>2</v>
      </c>
      <c r="W310">
        <v>59</v>
      </c>
      <c r="X310">
        <v>1276</v>
      </c>
      <c r="Y310">
        <v>17536</v>
      </c>
      <c r="Z310">
        <v>1129</v>
      </c>
      <c r="AA310">
        <v>4</v>
      </c>
      <c r="AB310" s="29">
        <v>44773</v>
      </c>
      <c r="AC310" s="29">
        <v>33677</v>
      </c>
      <c r="AD310" s="29">
        <v>44582</v>
      </c>
      <c r="AE310" s="29"/>
      <c r="AF310">
        <v>1</v>
      </c>
      <c r="AG310" t="s">
        <v>149</v>
      </c>
      <c r="AI310">
        <v>30</v>
      </c>
      <c r="AJ310">
        <v>1</v>
      </c>
      <c r="AK310" t="s">
        <v>170</v>
      </c>
      <c r="AL310" t="s">
        <v>77</v>
      </c>
      <c r="AM310">
        <f t="shared" si="20"/>
        <v>1</v>
      </c>
      <c r="AN310">
        <f t="shared" si="21"/>
        <v>1</v>
      </c>
      <c r="AO310" t="str">
        <f t="shared" si="22"/>
        <v/>
      </c>
      <c r="AP310" t="str">
        <f t="shared" si="23"/>
        <v/>
      </c>
      <c r="AQ310">
        <f t="shared" si="24"/>
        <v>2022</v>
      </c>
    </row>
    <row r="311" spans="1:43" x14ac:dyDescent="0.35">
      <c r="A311">
        <v>22</v>
      </c>
      <c r="B311">
        <v>22</v>
      </c>
      <c r="C311" t="s">
        <v>148</v>
      </c>
      <c r="D311" t="s">
        <v>164</v>
      </c>
      <c r="E311" t="s">
        <v>4</v>
      </c>
      <c r="F311" t="s">
        <v>36</v>
      </c>
      <c r="G311" t="s">
        <v>44</v>
      </c>
      <c r="H311" t="s">
        <v>82</v>
      </c>
      <c r="I311" t="s">
        <v>44</v>
      </c>
      <c r="J311" t="s">
        <v>155</v>
      </c>
      <c r="K311" t="s">
        <v>44</v>
      </c>
      <c r="L311" t="s">
        <v>147</v>
      </c>
      <c r="M311" t="s">
        <v>48</v>
      </c>
      <c r="N311" t="s">
        <v>96</v>
      </c>
      <c r="O311" t="s">
        <v>156</v>
      </c>
      <c r="P311" t="s">
        <v>144</v>
      </c>
      <c r="Q311">
        <v>13</v>
      </c>
      <c r="R311">
        <v>1</v>
      </c>
      <c r="S311">
        <v>1</v>
      </c>
      <c r="T311">
        <v>0</v>
      </c>
      <c r="U311">
        <v>0</v>
      </c>
      <c r="V311">
        <v>16</v>
      </c>
      <c r="W311">
        <v>96</v>
      </c>
      <c r="X311">
        <v>1123</v>
      </c>
      <c r="Y311">
        <v>7324</v>
      </c>
      <c r="Z311">
        <v>2935</v>
      </c>
      <c r="AA311">
        <v>2</v>
      </c>
      <c r="AB311" s="29">
        <v>44773</v>
      </c>
      <c r="AC311" s="29">
        <v>37023</v>
      </c>
      <c r="AD311" s="29">
        <v>44607</v>
      </c>
      <c r="AE311" s="29"/>
      <c r="AF311">
        <v>0</v>
      </c>
      <c r="AG311" t="s">
        <v>157</v>
      </c>
      <c r="AI311">
        <v>22</v>
      </c>
      <c r="AJ311">
        <v>1</v>
      </c>
      <c r="AK311" t="s">
        <v>171</v>
      </c>
      <c r="AL311" t="s">
        <v>77</v>
      </c>
      <c r="AM311">
        <f t="shared" si="20"/>
        <v>1</v>
      </c>
      <c r="AN311">
        <f t="shared" si="21"/>
        <v>2</v>
      </c>
      <c r="AO311" t="str">
        <f t="shared" si="22"/>
        <v/>
      </c>
      <c r="AP311" t="str">
        <f t="shared" si="23"/>
        <v/>
      </c>
      <c r="AQ311">
        <f t="shared" si="24"/>
        <v>2022</v>
      </c>
    </row>
    <row r="312" spans="1:43" x14ac:dyDescent="0.35">
      <c r="A312">
        <v>964</v>
      </c>
      <c r="B312">
        <v>40</v>
      </c>
      <c r="C312" t="s">
        <v>148</v>
      </c>
      <c r="D312" t="s">
        <v>151</v>
      </c>
      <c r="E312" t="s">
        <v>4</v>
      </c>
      <c r="F312" t="s">
        <v>37</v>
      </c>
      <c r="G312" t="s">
        <v>44</v>
      </c>
      <c r="H312" t="s">
        <v>82</v>
      </c>
      <c r="I312" t="s">
        <v>43</v>
      </c>
      <c r="J312" t="s">
        <v>146</v>
      </c>
      <c r="K312" t="s">
        <v>42</v>
      </c>
      <c r="L312" t="s">
        <v>147</v>
      </c>
      <c r="M312" t="s">
        <v>49</v>
      </c>
      <c r="N312" t="s">
        <v>96</v>
      </c>
      <c r="O312" t="s">
        <v>41</v>
      </c>
      <c r="P312" t="s">
        <v>144</v>
      </c>
      <c r="Q312">
        <v>14</v>
      </c>
      <c r="R312">
        <v>8</v>
      </c>
      <c r="S312">
        <v>3</v>
      </c>
      <c r="T312">
        <v>0</v>
      </c>
      <c r="U312">
        <v>0</v>
      </c>
      <c r="V312">
        <v>9</v>
      </c>
      <c r="W312">
        <v>35</v>
      </c>
      <c r="X312">
        <v>1469</v>
      </c>
      <c r="Y312">
        <v>25063</v>
      </c>
      <c r="Z312">
        <v>3617</v>
      </c>
      <c r="AA312">
        <v>2</v>
      </c>
      <c r="AB312" s="29">
        <v>44773</v>
      </c>
      <c r="AC312" s="29">
        <v>30198</v>
      </c>
      <c r="AD312" s="29">
        <v>44627</v>
      </c>
      <c r="AE312" s="29"/>
      <c r="AF312">
        <v>0</v>
      </c>
      <c r="AG312" t="s">
        <v>153</v>
      </c>
      <c r="AI312">
        <v>40</v>
      </c>
      <c r="AJ312">
        <v>2</v>
      </c>
      <c r="AK312" t="s">
        <v>171</v>
      </c>
      <c r="AL312" t="s">
        <v>78</v>
      </c>
      <c r="AM312">
        <f t="shared" si="20"/>
        <v>1</v>
      </c>
      <c r="AN312">
        <f t="shared" si="21"/>
        <v>3</v>
      </c>
      <c r="AO312" t="str">
        <f t="shared" si="22"/>
        <v/>
      </c>
      <c r="AP312" t="str">
        <f t="shared" si="23"/>
        <v/>
      </c>
      <c r="AQ312">
        <f t="shared" si="24"/>
        <v>2022</v>
      </c>
    </row>
    <row r="313" spans="1:43" x14ac:dyDescent="0.35">
      <c r="A313">
        <v>51</v>
      </c>
      <c r="B313">
        <v>36</v>
      </c>
      <c r="C313" t="s">
        <v>148</v>
      </c>
      <c r="D313" t="s">
        <v>145</v>
      </c>
      <c r="E313" t="s">
        <v>4</v>
      </c>
      <c r="F313" t="s">
        <v>37</v>
      </c>
      <c r="G313" t="s">
        <v>42</v>
      </c>
      <c r="H313" t="s">
        <v>81</v>
      </c>
      <c r="I313" t="s">
        <v>42</v>
      </c>
      <c r="J313" t="s">
        <v>146</v>
      </c>
      <c r="K313" t="s">
        <v>41</v>
      </c>
      <c r="L313" t="s">
        <v>48</v>
      </c>
      <c r="M313" t="s">
        <v>50</v>
      </c>
      <c r="N313" t="s">
        <v>160</v>
      </c>
      <c r="O313" t="s">
        <v>41</v>
      </c>
      <c r="P313" t="s">
        <v>144</v>
      </c>
      <c r="Q313">
        <v>14</v>
      </c>
      <c r="R313">
        <v>9</v>
      </c>
      <c r="S313">
        <v>6</v>
      </c>
      <c r="T313">
        <v>0</v>
      </c>
      <c r="U313">
        <v>0</v>
      </c>
      <c r="V313">
        <v>5</v>
      </c>
      <c r="W313">
        <v>82</v>
      </c>
      <c r="X313">
        <v>852</v>
      </c>
      <c r="Y313">
        <v>13072</v>
      </c>
      <c r="Z313">
        <v>3419</v>
      </c>
      <c r="AA313">
        <v>3</v>
      </c>
      <c r="AB313" s="29">
        <v>44773</v>
      </c>
      <c r="AC313" s="29">
        <v>31898</v>
      </c>
      <c r="AD313" s="29">
        <v>44655</v>
      </c>
      <c r="AE313" s="29"/>
      <c r="AF313">
        <v>0</v>
      </c>
      <c r="AG313" t="s">
        <v>149</v>
      </c>
      <c r="AI313">
        <v>36</v>
      </c>
      <c r="AJ313">
        <v>1</v>
      </c>
      <c r="AK313" t="s">
        <v>171</v>
      </c>
      <c r="AL313" t="s">
        <v>78</v>
      </c>
      <c r="AM313">
        <f t="shared" si="20"/>
        <v>2</v>
      </c>
      <c r="AN313">
        <f t="shared" si="21"/>
        <v>4</v>
      </c>
      <c r="AO313" t="str">
        <f t="shared" si="22"/>
        <v/>
      </c>
      <c r="AP313" t="str">
        <f t="shared" si="23"/>
        <v/>
      </c>
      <c r="AQ313">
        <f t="shared" si="24"/>
        <v>2022</v>
      </c>
    </row>
    <row r="314" spans="1:43" x14ac:dyDescent="0.35">
      <c r="A314">
        <v>1893</v>
      </c>
      <c r="B314">
        <v>26</v>
      </c>
      <c r="C314" t="s">
        <v>148</v>
      </c>
      <c r="D314" t="s">
        <v>145</v>
      </c>
      <c r="E314" t="s">
        <v>4</v>
      </c>
      <c r="F314" t="s">
        <v>36</v>
      </c>
      <c r="G314" t="s">
        <v>42</v>
      </c>
      <c r="H314" t="s">
        <v>81</v>
      </c>
      <c r="I314" t="s">
        <v>42</v>
      </c>
      <c r="J314" t="s">
        <v>146</v>
      </c>
      <c r="K314" t="s">
        <v>43</v>
      </c>
      <c r="L314" t="s">
        <v>147</v>
      </c>
      <c r="M314" t="s">
        <v>48</v>
      </c>
      <c r="N314" t="s">
        <v>160</v>
      </c>
      <c r="O314" t="s">
        <v>41</v>
      </c>
      <c r="P314" t="s">
        <v>144</v>
      </c>
      <c r="Q314">
        <v>13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90</v>
      </c>
      <c r="X314">
        <v>482</v>
      </c>
      <c r="Y314">
        <v>14908</v>
      </c>
      <c r="Z314">
        <v>2933</v>
      </c>
      <c r="AA314">
        <v>3</v>
      </c>
      <c r="AB314" s="29">
        <v>44773</v>
      </c>
      <c r="AC314" s="29">
        <v>35298</v>
      </c>
      <c r="AD314" s="29">
        <v>44658</v>
      </c>
      <c r="AE314" s="29"/>
      <c r="AF314">
        <v>0</v>
      </c>
      <c r="AG314" t="s">
        <v>157</v>
      </c>
      <c r="AI314">
        <v>26</v>
      </c>
      <c r="AJ314">
        <v>1</v>
      </c>
      <c r="AK314" t="s">
        <v>171</v>
      </c>
      <c r="AL314" t="s">
        <v>77</v>
      </c>
      <c r="AM314">
        <f t="shared" si="20"/>
        <v>2</v>
      </c>
      <c r="AN314">
        <f t="shared" si="21"/>
        <v>4</v>
      </c>
      <c r="AO314" t="str">
        <f t="shared" si="22"/>
        <v/>
      </c>
      <c r="AP314" t="str">
        <f t="shared" si="23"/>
        <v/>
      </c>
      <c r="AQ314">
        <f t="shared" si="24"/>
        <v>2022</v>
      </c>
    </row>
    <row r="315" spans="1:43" x14ac:dyDescent="0.35">
      <c r="A315">
        <v>773</v>
      </c>
      <c r="B315">
        <v>38</v>
      </c>
      <c r="C315" t="s">
        <v>148</v>
      </c>
      <c r="D315" t="s">
        <v>145</v>
      </c>
      <c r="E315" t="s">
        <v>4</v>
      </c>
      <c r="F315" t="s">
        <v>34</v>
      </c>
      <c r="G315" t="s">
        <v>44</v>
      </c>
      <c r="H315" t="s">
        <v>82</v>
      </c>
      <c r="I315" t="s">
        <v>43</v>
      </c>
      <c r="J315" t="s">
        <v>146</v>
      </c>
      <c r="K315" t="s">
        <v>43</v>
      </c>
      <c r="L315" t="s">
        <v>147</v>
      </c>
      <c r="M315" t="s">
        <v>47</v>
      </c>
      <c r="N315" t="s">
        <v>160</v>
      </c>
      <c r="O315" t="s">
        <v>41</v>
      </c>
      <c r="P315" t="s">
        <v>144</v>
      </c>
      <c r="Q315">
        <v>13</v>
      </c>
      <c r="R315">
        <v>6</v>
      </c>
      <c r="S315">
        <v>6</v>
      </c>
      <c r="T315">
        <v>0</v>
      </c>
      <c r="U315">
        <v>0</v>
      </c>
      <c r="V315">
        <v>2</v>
      </c>
      <c r="W315">
        <v>92</v>
      </c>
      <c r="X315">
        <v>268</v>
      </c>
      <c r="Y315">
        <v>20471</v>
      </c>
      <c r="Z315">
        <v>3057</v>
      </c>
      <c r="AA315">
        <v>0</v>
      </c>
      <c r="AB315" s="29">
        <v>44773</v>
      </c>
      <c r="AC315" s="29">
        <v>30979</v>
      </c>
      <c r="AD315" s="29">
        <v>44723</v>
      </c>
      <c r="AE315" s="29"/>
      <c r="AF315">
        <v>0</v>
      </c>
      <c r="AG315" t="s">
        <v>149</v>
      </c>
      <c r="AI315">
        <v>38</v>
      </c>
      <c r="AJ315">
        <v>1</v>
      </c>
      <c r="AK315" t="s">
        <v>171</v>
      </c>
      <c r="AL315" t="s">
        <v>77</v>
      </c>
      <c r="AM315">
        <f t="shared" si="20"/>
        <v>2</v>
      </c>
      <c r="AN315">
        <f t="shared" si="21"/>
        <v>6</v>
      </c>
      <c r="AO315" t="str">
        <f t="shared" si="22"/>
        <v/>
      </c>
      <c r="AP315" t="str">
        <f t="shared" si="23"/>
        <v/>
      </c>
      <c r="AQ315">
        <f t="shared" si="24"/>
        <v>2022</v>
      </c>
    </row>
    <row r="316" spans="1:43" x14ac:dyDescent="0.35">
      <c r="A316">
        <v>214</v>
      </c>
      <c r="B316">
        <v>58</v>
      </c>
      <c r="C316" t="s">
        <v>148</v>
      </c>
      <c r="D316" t="s">
        <v>145</v>
      </c>
      <c r="E316" t="s">
        <v>4</v>
      </c>
      <c r="F316" t="s">
        <v>38</v>
      </c>
      <c r="G316" t="s">
        <v>42</v>
      </c>
      <c r="H316" t="s">
        <v>81</v>
      </c>
      <c r="I316" t="s">
        <v>42</v>
      </c>
      <c r="J316" t="s">
        <v>146</v>
      </c>
      <c r="K316" t="s">
        <v>42</v>
      </c>
      <c r="L316" t="s">
        <v>152</v>
      </c>
      <c r="M316" t="s">
        <v>48</v>
      </c>
      <c r="N316" t="s">
        <v>160</v>
      </c>
      <c r="O316" t="s">
        <v>41</v>
      </c>
      <c r="P316" t="s">
        <v>144</v>
      </c>
      <c r="Q316">
        <v>20</v>
      </c>
      <c r="R316">
        <v>4</v>
      </c>
      <c r="S316">
        <v>9</v>
      </c>
      <c r="T316">
        <v>0</v>
      </c>
      <c r="U316">
        <v>0</v>
      </c>
      <c r="V316">
        <v>9</v>
      </c>
      <c r="W316">
        <v>75</v>
      </c>
      <c r="X316">
        <v>1145</v>
      </c>
      <c r="Y316">
        <v>11873</v>
      </c>
      <c r="Z316">
        <v>3346</v>
      </c>
      <c r="AA316">
        <v>3</v>
      </c>
      <c r="AB316" s="29">
        <v>44773</v>
      </c>
      <c r="AC316" s="29">
        <v>23942</v>
      </c>
      <c r="AD316" s="29">
        <v>44742</v>
      </c>
      <c r="AE316" s="29"/>
      <c r="AF316">
        <v>0</v>
      </c>
      <c r="AG316" t="s">
        <v>167</v>
      </c>
      <c r="AI316">
        <v>58</v>
      </c>
      <c r="AJ316">
        <v>1</v>
      </c>
      <c r="AK316" t="s">
        <v>171</v>
      </c>
      <c r="AL316" t="s">
        <v>77</v>
      </c>
      <c r="AM316">
        <f t="shared" si="20"/>
        <v>2</v>
      </c>
      <c r="AN316">
        <f t="shared" si="21"/>
        <v>6</v>
      </c>
      <c r="AO316" t="str">
        <f t="shared" si="22"/>
        <v/>
      </c>
      <c r="AP316" t="str">
        <f t="shared" si="23"/>
        <v/>
      </c>
      <c r="AQ316">
        <f t="shared" si="24"/>
        <v>2022</v>
      </c>
    </row>
    <row r="317" spans="1:43" x14ac:dyDescent="0.35">
      <c r="A317">
        <v>947</v>
      </c>
      <c r="B317">
        <v>31</v>
      </c>
      <c r="C317" t="s">
        <v>148</v>
      </c>
      <c r="D317" t="s">
        <v>164</v>
      </c>
      <c r="E317" t="s">
        <v>158</v>
      </c>
      <c r="F317" t="s">
        <v>36</v>
      </c>
      <c r="G317" t="s">
        <v>44</v>
      </c>
      <c r="H317" t="s">
        <v>81</v>
      </c>
      <c r="I317" t="s">
        <v>43</v>
      </c>
      <c r="J317" t="s">
        <v>159</v>
      </c>
      <c r="K317" t="s">
        <v>43</v>
      </c>
      <c r="L317" t="s">
        <v>147</v>
      </c>
      <c r="M317" t="s">
        <v>48</v>
      </c>
      <c r="N317" t="s">
        <v>160</v>
      </c>
      <c r="O317" t="s">
        <v>41</v>
      </c>
      <c r="P317" t="s">
        <v>148</v>
      </c>
      <c r="Q317">
        <v>13</v>
      </c>
      <c r="R317">
        <v>1</v>
      </c>
      <c r="S317">
        <v>9</v>
      </c>
      <c r="T317">
        <v>0</v>
      </c>
      <c r="U317">
        <v>0</v>
      </c>
      <c r="V317">
        <v>20</v>
      </c>
      <c r="W317">
        <v>45</v>
      </c>
      <c r="X317">
        <v>1188</v>
      </c>
      <c r="Y317">
        <v>24406</v>
      </c>
      <c r="Z317">
        <v>6932</v>
      </c>
      <c r="AA317">
        <v>2</v>
      </c>
      <c r="AB317" s="29">
        <v>44773</v>
      </c>
      <c r="AC317" s="29">
        <v>33796</v>
      </c>
      <c r="AD317" s="29">
        <v>41594</v>
      </c>
      <c r="AE317" s="29"/>
      <c r="AF317">
        <v>9</v>
      </c>
      <c r="AG317" t="s">
        <v>149</v>
      </c>
      <c r="AI317">
        <v>22</v>
      </c>
      <c r="AJ317">
        <v>1</v>
      </c>
      <c r="AK317" t="s">
        <v>150</v>
      </c>
      <c r="AL317" t="s">
        <v>77</v>
      </c>
      <c r="AM317">
        <f t="shared" si="20"/>
        <v>4</v>
      </c>
      <c r="AN317">
        <f t="shared" si="21"/>
        <v>11</v>
      </c>
      <c r="AO317" t="str">
        <f t="shared" si="22"/>
        <v/>
      </c>
      <c r="AP317" t="str">
        <f t="shared" si="23"/>
        <v/>
      </c>
      <c r="AQ317">
        <f t="shared" si="24"/>
        <v>2013</v>
      </c>
    </row>
    <row r="318" spans="1:43" x14ac:dyDescent="0.35">
      <c r="A318">
        <v>448</v>
      </c>
      <c r="B318">
        <v>43</v>
      </c>
      <c r="C318" t="s">
        <v>148</v>
      </c>
      <c r="D318" t="s">
        <v>151</v>
      </c>
      <c r="E318" t="s">
        <v>4</v>
      </c>
      <c r="F318" t="s">
        <v>37</v>
      </c>
      <c r="G318" t="s">
        <v>43</v>
      </c>
      <c r="H318" t="s">
        <v>81</v>
      </c>
      <c r="I318" t="s">
        <v>42</v>
      </c>
      <c r="J318" t="s">
        <v>155</v>
      </c>
      <c r="K318" t="s">
        <v>43</v>
      </c>
      <c r="L318" t="s">
        <v>147</v>
      </c>
      <c r="M318" t="s">
        <v>50</v>
      </c>
      <c r="N318" t="s">
        <v>96</v>
      </c>
      <c r="O318" t="s">
        <v>41</v>
      </c>
      <c r="P318" t="s">
        <v>148</v>
      </c>
      <c r="Q318">
        <v>11</v>
      </c>
      <c r="R318">
        <v>1</v>
      </c>
      <c r="S318">
        <v>9</v>
      </c>
      <c r="T318">
        <v>0</v>
      </c>
      <c r="U318">
        <v>0</v>
      </c>
      <c r="V318">
        <v>10</v>
      </c>
      <c r="W318">
        <v>82</v>
      </c>
      <c r="X318">
        <v>559</v>
      </c>
      <c r="Y318">
        <v>6227</v>
      </c>
      <c r="Z318">
        <v>5257</v>
      </c>
      <c r="AA318">
        <v>3</v>
      </c>
      <c r="AB318" s="29">
        <v>44773</v>
      </c>
      <c r="AC318" s="29">
        <v>29206</v>
      </c>
      <c r="AD318" s="29">
        <v>41668</v>
      </c>
      <c r="AE318" s="29"/>
      <c r="AF318">
        <v>9</v>
      </c>
      <c r="AG318" t="s">
        <v>153</v>
      </c>
      <c r="AI318">
        <v>34</v>
      </c>
      <c r="AJ318">
        <v>1</v>
      </c>
      <c r="AK318" t="s">
        <v>150</v>
      </c>
      <c r="AL318" t="s">
        <v>77</v>
      </c>
      <c r="AM318">
        <f t="shared" si="20"/>
        <v>1</v>
      </c>
      <c r="AN318">
        <f t="shared" si="21"/>
        <v>1</v>
      </c>
      <c r="AO318" t="str">
        <f t="shared" si="22"/>
        <v/>
      </c>
      <c r="AP318" t="str">
        <f t="shared" si="23"/>
        <v/>
      </c>
      <c r="AQ318">
        <f t="shared" si="24"/>
        <v>2014</v>
      </c>
    </row>
    <row r="319" spans="1:43" x14ac:dyDescent="0.35">
      <c r="A319">
        <v>867</v>
      </c>
      <c r="B319">
        <v>52</v>
      </c>
      <c r="C319" t="s">
        <v>148</v>
      </c>
      <c r="D319" t="s">
        <v>151</v>
      </c>
      <c r="E319" t="s">
        <v>4</v>
      </c>
      <c r="F319" t="s">
        <v>37</v>
      </c>
      <c r="G319" t="s">
        <v>43</v>
      </c>
      <c r="H319" t="s">
        <v>81</v>
      </c>
      <c r="I319" t="s">
        <v>42</v>
      </c>
      <c r="J319" t="s">
        <v>165</v>
      </c>
      <c r="K319" t="s">
        <v>44</v>
      </c>
      <c r="L319" t="s">
        <v>152</v>
      </c>
      <c r="M319" t="s">
        <v>49</v>
      </c>
      <c r="N319" t="s">
        <v>160</v>
      </c>
      <c r="P319" t="s">
        <v>148</v>
      </c>
      <c r="Q319">
        <v>22</v>
      </c>
      <c r="R319">
        <v>3</v>
      </c>
      <c r="S319">
        <v>31</v>
      </c>
      <c r="T319">
        <v>0</v>
      </c>
      <c r="U319">
        <v>0</v>
      </c>
      <c r="V319">
        <v>25</v>
      </c>
      <c r="W319">
        <v>81</v>
      </c>
      <c r="X319">
        <v>890</v>
      </c>
      <c r="Y319">
        <v>19028</v>
      </c>
      <c r="Z319">
        <v>13826</v>
      </c>
      <c r="AA319">
        <v>3</v>
      </c>
      <c r="AB319" s="29">
        <v>44773</v>
      </c>
      <c r="AC319" s="29">
        <v>25987</v>
      </c>
      <c r="AD319" s="29">
        <v>41766</v>
      </c>
      <c r="AE319" s="29"/>
      <c r="AF319">
        <v>8</v>
      </c>
      <c r="AG319" t="s">
        <v>167</v>
      </c>
      <c r="AI319">
        <v>44</v>
      </c>
      <c r="AJ319">
        <v>1</v>
      </c>
      <c r="AK319" t="s">
        <v>150</v>
      </c>
      <c r="AL319" t="s">
        <v>78</v>
      </c>
      <c r="AM319">
        <f t="shared" si="20"/>
        <v>2</v>
      </c>
      <c r="AN319">
        <f t="shared" si="21"/>
        <v>5</v>
      </c>
      <c r="AO319" t="str">
        <f t="shared" si="22"/>
        <v/>
      </c>
      <c r="AP319" t="str">
        <f t="shared" si="23"/>
        <v/>
      </c>
      <c r="AQ319">
        <f t="shared" si="24"/>
        <v>2014</v>
      </c>
    </row>
    <row r="320" spans="1:43" x14ac:dyDescent="0.35">
      <c r="A320">
        <v>1369</v>
      </c>
      <c r="B320">
        <v>35</v>
      </c>
      <c r="C320" t="s">
        <v>148</v>
      </c>
      <c r="D320" t="s">
        <v>145</v>
      </c>
      <c r="E320" t="s">
        <v>4</v>
      </c>
      <c r="F320" t="s">
        <v>38</v>
      </c>
      <c r="G320" t="s">
        <v>44</v>
      </c>
      <c r="H320" t="s">
        <v>81</v>
      </c>
      <c r="I320" t="s">
        <v>42</v>
      </c>
      <c r="J320" t="s">
        <v>155</v>
      </c>
      <c r="K320" t="s">
        <v>44</v>
      </c>
      <c r="L320" t="s">
        <v>147</v>
      </c>
      <c r="M320" t="s">
        <v>49</v>
      </c>
      <c r="N320" t="s">
        <v>160</v>
      </c>
      <c r="O320" t="s">
        <v>41</v>
      </c>
      <c r="P320" t="s">
        <v>148</v>
      </c>
      <c r="Q320">
        <v>12</v>
      </c>
      <c r="R320">
        <v>0</v>
      </c>
      <c r="S320">
        <v>10</v>
      </c>
      <c r="T320">
        <v>0</v>
      </c>
      <c r="U320">
        <v>0</v>
      </c>
      <c r="V320">
        <v>1</v>
      </c>
      <c r="W320">
        <v>60</v>
      </c>
      <c r="X320">
        <v>817</v>
      </c>
      <c r="Y320">
        <v>10846</v>
      </c>
      <c r="Z320">
        <v>5363</v>
      </c>
      <c r="AA320">
        <v>0</v>
      </c>
      <c r="AB320" s="29">
        <v>44773</v>
      </c>
      <c r="AC320" s="29">
        <v>32297</v>
      </c>
      <c r="AD320" s="29">
        <v>41820</v>
      </c>
      <c r="AE320" s="29"/>
      <c r="AF320">
        <v>8</v>
      </c>
      <c r="AG320" t="s">
        <v>149</v>
      </c>
      <c r="AI320">
        <v>27</v>
      </c>
      <c r="AJ320">
        <v>1</v>
      </c>
      <c r="AK320" t="s">
        <v>150</v>
      </c>
      <c r="AL320" t="s">
        <v>77</v>
      </c>
      <c r="AM320">
        <f t="shared" si="20"/>
        <v>2</v>
      </c>
      <c r="AN320">
        <f t="shared" si="21"/>
        <v>6</v>
      </c>
      <c r="AO320" t="str">
        <f t="shared" si="22"/>
        <v/>
      </c>
      <c r="AP320" t="str">
        <f t="shared" si="23"/>
        <v/>
      </c>
      <c r="AQ320">
        <f t="shared" si="24"/>
        <v>2014</v>
      </c>
    </row>
    <row r="321" spans="1:43" x14ac:dyDescent="0.35">
      <c r="A321">
        <v>1677</v>
      </c>
      <c r="B321">
        <v>49</v>
      </c>
      <c r="C321" t="s">
        <v>148</v>
      </c>
      <c r="D321" t="s">
        <v>145</v>
      </c>
      <c r="E321" t="s">
        <v>4</v>
      </c>
      <c r="F321" t="s">
        <v>38</v>
      </c>
      <c r="G321" t="s">
        <v>43</v>
      </c>
      <c r="H321" t="s">
        <v>82</v>
      </c>
      <c r="I321" t="s">
        <v>43</v>
      </c>
      <c r="J321" t="s">
        <v>169</v>
      </c>
      <c r="K321" t="s">
        <v>43</v>
      </c>
      <c r="L321" t="s">
        <v>41</v>
      </c>
      <c r="M321" t="s">
        <v>49</v>
      </c>
      <c r="N321" t="s">
        <v>95</v>
      </c>
      <c r="P321" t="s">
        <v>148</v>
      </c>
      <c r="Q321">
        <v>14</v>
      </c>
      <c r="R321">
        <v>4</v>
      </c>
      <c r="S321">
        <v>23</v>
      </c>
      <c r="T321">
        <v>0</v>
      </c>
      <c r="U321">
        <v>0</v>
      </c>
      <c r="V321">
        <v>1</v>
      </c>
      <c r="W321">
        <v>36</v>
      </c>
      <c r="X321">
        <v>809</v>
      </c>
      <c r="Y321">
        <v>22384</v>
      </c>
      <c r="Z321">
        <v>15379</v>
      </c>
      <c r="AA321">
        <v>2</v>
      </c>
      <c r="AB321" s="29">
        <v>44773</v>
      </c>
      <c r="AC321" s="29">
        <v>27155</v>
      </c>
      <c r="AD321" s="29">
        <v>42180</v>
      </c>
      <c r="AE321" s="29"/>
      <c r="AF321">
        <v>7</v>
      </c>
      <c r="AG321" t="s">
        <v>153</v>
      </c>
      <c r="AI321">
        <v>42</v>
      </c>
      <c r="AJ321">
        <v>2</v>
      </c>
      <c r="AK321" t="s">
        <v>150</v>
      </c>
      <c r="AL321" t="s">
        <v>77</v>
      </c>
      <c r="AM321">
        <f t="shared" si="20"/>
        <v>2</v>
      </c>
      <c r="AN321">
        <f t="shared" si="21"/>
        <v>6</v>
      </c>
      <c r="AO321" t="str">
        <f t="shared" si="22"/>
        <v/>
      </c>
      <c r="AP321" t="str">
        <f t="shared" si="23"/>
        <v/>
      </c>
      <c r="AQ321">
        <f t="shared" si="24"/>
        <v>2015</v>
      </c>
    </row>
    <row r="322" spans="1:43" x14ac:dyDescent="0.35">
      <c r="A322">
        <v>586</v>
      </c>
      <c r="B322">
        <v>35</v>
      </c>
      <c r="C322" t="s">
        <v>148</v>
      </c>
      <c r="D322" t="s">
        <v>145</v>
      </c>
      <c r="E322" t="s">
        <v>4</v>
      </c>
      <c r="F322" t="s">
        <v>38</v>
      </c>
      <c r="G322" t="s">
        <v>44</v>
      </c>
      <c r="H322" t="s">
        <v>82</v>
      </c>
      <c r="I322" t="s">
        <v>43</v>
      </c>
      <c r="J322" t="s">
        <v>161</v>
      </c>
      <c r="K322" t="s">
        <v>43</v>
      </c>
      <c r="L322" t="s">
        <v>147</v>
      </c>
      <c r="M322" t="s">
        <v>49</v>
      </c>
      <c r="N322" t="s">
        <v>160</v>
      </c>
      <c r="P322" t="s">
        <v>144</v>
      </c>
      <c r="Q322">
        <v>12</v>
      </c>
      <c r="R322">
        <v>4</v>
      </c>
      <c r="S322">
        <v>10</v>
      </c>
      <c r="T322">
        <v>0</v>
      </c>
      <c r="U322">
        <v>0</v>
      </c>
      <c r="V322">
        <v>16</v>
      </c>
      <c r="W322">
        <v>72</v>
      </c>
      <c r="X322">
        <v>1276</v>
      </c>
      <c r="Y322">
        <v>14295</v>
      </c>
      <c r="Z322">
        <v>7632</v>
      </c>
      <c r="AA322">
        <v>2</v>
      </c>
      <c r="AB322" s="29">
        <v>44773</v>
      </c>
      <c r="AC322" s="29">
        <v>32042</v>
      </c>
      <c r="AD322" s="29">
        <v>42208</v>
      </c>
      <c r="AE322" s="29"/>
      <c r="AF322">
        <v>7</v>
      </c>
      <c r="AG322" t="s">
        <v>149</v>
      </c>
      <c r="AI322">
        <v>28</v>
      </c>
      <c r="AJ322">
        <v>2</v>
      </c>
      <c r="AK322" t="s">
        <v>150</v>
      </c>
      <c r="AL322" t="s">
        <v>78</v>
      </c>
      <c r="AM322">
        <f t="shared" ref="AM322:AM385" si="25">ROUNDUP(MONTH(AD322)/3,0)</f>
        <v>3</v>
      </c>
      <c r="AN322">
        <f t="shared" ref="AN322:AN385" si="26">MONTH(AD322)</f>
        <v>7</v>
      </c>
      <c r="AO322" t="str">
        <f t="shared" ref="AO322:AO385" si="27">IF(C322="Yes",ROUNDUP(MONTH(AE322)/3,0),"")</f>
        <v/>
      </c>
      <c r="AP322" t="str">
        <f t="shared" ref="AP322:AP385" si="28">IF(C322="Yes",MONTH(AE322),"")</f>
        <v/>
      </c>
      <c r="AQ322">
        <f t="shared" ref="AQ322:AQ385" si="29">YEAR(AD322)</f>
        <v>2015</v>
      </c>
    </row>
    <row r="323" spans="1:43" x14ac:dyDescent="0.35">
      <c r="A323">
        <v>1424</v>
      </c>
      <c r="B323">
        <v>55</v>
      </c>
      <c r="C323" t="s">
        <v>148</v>
      </c>
      <c r="D323" t="s">
        <v>145</v>
      </c>
      <c r="E323" t="s">
        <v>4</v>
      </c>
      <c r="F323" t="s">
        <v>37</v>
      </c>
      <c r="G323" t="s">
        <v>42</v>
      </c>
      <c r="H323" t="s">
        <v>82</v>
      </c>
      <c r="I323" t="s">
        <v>44</v>
      </c>
      <c r="J323" t="s">
        <v>173</v>
      </c>
      <c r="K323" t="s">
        <v>44</v>
      </c>
      <c r="L323" t="s">
        <v>147</v>
      </c>
      <c r="M323" t="s">
        <v>50</v>
      </c>
      <c r="N323" t="s">
        <v>96</v>
      </c>
      <c r="O323" t="s">
        <v>156</v>
      </c>
      <c r="P323" t="s">
        <v>148</v>
      </c>
      <c r="Q323">
        <v>13</v>
      </c>
      <c r="R323">
        <v>2</v>
      </c>
      <c r="S323">
        <v>31</v>
      </c>
      <c r="T323">
        <v>0</v>
      </c>
      <c r="U323">
        <v>0</v>
      </c>
      <c r="V323">
        <v>1</v>
      </c>
      <c r="W323">
        <v>81</v>
      </c>
      <c r="X323">
        <v>1136</v>
      </c>
      <c r="Y323">
        <v>12414</v>
      </c>
      <c r="Z323">
        <v>14732</v>
      </c>
      <c r="AA323">
        <v>4</v>
      </c>
      <c r="AB323" s="29">
        <v>44773</v>
      </c>
      <c r="AC323" s="29">
        <v>24863</v>
      </c>
      <c r="AD323" s="29">
        <v>42290</v>
      </c>
      <c r="AE323" s="29"/>
      <c r="AF323">
        <v>7</v>
      </c>
      <c r="AG323" t="s">
        <v>167</v>
      </c>
      <c r="AI323">
        <v>48</v>
      </c>
      <c r="AJ323">
        <v>2</v>
      </c>
      <c r="AK323" t="s">
        <v>150</v>
      </c>
      <c r="AL323" t="s">
        <v>78</v>
      </c>
      <c r="AM323">
        <f t="shared" si="25"/>
        <v>4</v>
      </c>
      <c r="AN323">
        <f t="shared" si="26"/>
        <v>10</v>
      </c>
      <c r="AO323" t="str">
        <f t="shared" si="27"/>
        <v/>
      </c>
      <c r="AP323" t="str">
        <f t="shared" si="28"/>
        <v/>
      </c>
      <c r="AQ323">
        <f t="shared" si="29"/>
        <v>2015</v>
      </c>
    </row>
    <row r="324" spans="1:43" x14ac:dyDescent="0.35">
      <c r="A324">
        <v>2045</v>
      </c>
      <c r="B324">
        <v>36</v>
      </c>
      <c r="C324" t="s">
        <v>148</v>
      </c>
      <c r="D324" t="s">
        <v>145</v>
      </c>
      <c r="E324" t="s">
        <v>158</v>
      </c>
      <c r="F324" t="s">
        <v>37</v>
      </c>
      <c r="G324" t="s">
        <v>42</v>
      </c>
      <c r="H324" t="s">
        <v>81</v>
      </c>
      <c r="I324" t="s">
        <v>42</v>
      </c>
      <c r="J324" t="s">
        <v>159</v>
      </c>
      <c r="K324" t="s">
        <v>44</v>
      </c>
      <c r="L324" t="s">
        <v>147</v>
      </c>
      <c r="M324" t="s">
        <v>48</v>
      </c>
      <c r="N324" t="s">
        <v>160</v>
      </c>
      <c r="O324" t="s">
        <v>41</v>
      </c>
      <c r="P324" t="s">
        <v>148</v>
      </c>
      <c r="Q324">
        <v>13</v>
      </c>
      <c r="R324">
        <v>4</v>
      </c>
      <c r="S324">
        <v>8</v>
      </c>
      <c r="T324">
        <v>0</v>
      </c>
      <c r="U324">
        <v>0</v>
      </c>
      <c r="V324">
        <v>11</v>
      </c>
      <c r="W324">
        <v>100</v>
      </c>
      <c r="X324">
        <v>1120</v>
      </c>
      <c r="Y324">
        <v>14369</v>
      </c>
      <c r="Z324">
        <v>6652</v>
      </c>
      <c r="AA324">
        <v>2</v>
      </c>
      <c r="AB324" s="29">
        <v>44773</v>
      </c>
      <c r="AC324" s="29">
        <v>31766</v>
      </c>
      <c r="AD324" s="29">
        <v>42758</v>
      </c>
      <c r="AE324" s="29"/>
      <c r="AF324">
        <v>6</v>
      </c>
      <c r="AG324" t="s">
        <v>149</v>
      </c>
      <c r="AI324">
        <v>30</v>
      </c>
      <c r="AJ324">
        <v>1</v>
      </c>
      <c r="AK324" t="s">
        <v>150</v>
      </c>
      <c r="AL324" t="s">
        <v>77</v>
      </c>
      <c r="AM324">
        <f t="shared" si="25"/>
        <v>1</v>
      </c>
      <c r="AN324">
        <f t="shared" si="26"/>
        <v>1</v>
      </c>
      <c r="AO324" t="str">
        <f t="shared" si="27"/>
        <v/>
      </c>
      <c r="AP324" t="str">
        <f t="shared" si="28"/>
        <v/>
      </c>
      <c r="AQ324">
        <f t="shared" si="29"/>
        <v>2017</v>
      </c>
    </row>
    <row r="325" spans="1:43" x14ac:dyDescent="0.35">
      <c r="A325">
        <v>1371</v>
      </c>
      <c r="B325">
        <v>27</v>
      </c>
      <c r="C325" t="s">
        <v>148</v>
      </c>
      <c r="D325" t="s">
        <v>151</v>
      </c>
      <c r="E325" t="s">
        <v>158</v>
      </c>
      <c r="F325" t="s">
        <v>35</v>
      </c>
      <c r="G325" t="s">
        <v>44</v>
      </c>
      <c r="H325" t="s">
        <v>82</v>
      </c>
      <c r="I325" t="s">
        <v>41</v>
      </c>
      <c r="J325" t="s">
        <v>159</v>
      </c>
      <c r="K325" t="s">
        <v>44</v>
      </c>
      <c r="L325" t="s">
        <v>152</v>
      </c>
      <c r="M325" t="s">
        <v>49</v>
      </c>
      <c r="N325" t="s">
        <v>95</v>
      </c>
      <c r="P325" t="s">
        <v>148</v>
      </c>
      <c r="Q325">
        <v>20</v>
      </c>
      <c r="R325">
        <v>3</v>
      </c>
      <c r="S325">
        <v>8</v>
      </c>
      <c r="T325">
        <v>0</v>
      </c>
      <c r="U325">
        <v>0</v>
      </c>
      <c r="V325">
        <v>2</v>
      </c>
      <c r="W325">
        <v>43</v>
      </c>
      <c r="X325">
        <v>793</v>
      </c>
      <c r="Y325">
        <v>20392</v>
      </c>
      <c r="Z325">
        <v>5071</v>
      </c>
      <c r="AA325">
        <v>3</v>
      </c>
      <c r="AB325" s="29">
        <v>44773</v>
      </c>
      <c r="AC325" s="29">
        <v>35195</v>
      </c>
      <c r="AD325" s="29">
        <v>42884</v>
      </c>
      <c r="AE325" s="29"/>
      <c r="AF325">
        <v>5</v>
      </c>
      <c r="AG325" t="s">
        <v>157</v>
      </c>
      <c r="AI325">
        <v>22</v>
      </c>
      <c r="AJ325">
        <v>1</v>
      </c>
      <c r="AK325" t="s">
        <v>162</v>
      </c>
      <c r="AL325" t="s">
        <v>78</v>
      </c>
      <c r="AM325">
        <f t="shared" si="25"/>
        <v>2</v>
      </c>
      <c r="AN325">
        <f t="shared" si="26"/>
        <v>5</v>
      </c>
      <c r="AO325" t="str">
        <f t="shared" si="27"/>
        <v/>
      </c>
      <c r="AP325" t="str">
        <f t="shared" si="28"/>
        <v/>
      </c>
      <c r="AQ325">
        <f t="shared" si="29"/>
        <v>2017</v>
      </c>
    </row>
    <row r="326" spans="1:43" x14ac:dyDescent="0.35">
      <c r="A326">
        <v>1516</v>
      </c>
      <c r="B326">
        <v>32</v>
      </c>
      <c r="C326" t="s">
        <v>148</v>
      </c>
      <c r="D326" t="s">
        <v>145</v>
      </c>
      <c r="E326" t="s">
        <v>4</v>
      </c>
      <c r="F326" t="s">
        <v>38</v>
      </c>
      <c r="G326" t="s">
        <v>43</v>
      </c>
      <c r="H326" t="s">
        <v>82</v>
      </c>
      <c r="I326" t="s">
        <v>43</v>
      </c>
      <c r="J326" t="s">
        <v>169</v>
      </c>
      <c r="K326" t="s">
        <v>44</v>
      </c>
      <c r="L326" t="s">
        <v>152</v>
      </c>
      <c r="M326" t="s">
        <v>50</v>
      </c>
      <c r="N326" t="s">
        <v>95</v>
      </c>
      <c r="P326" t="s">
        <v>148</v>
      </c>
      <c r="Q326">
        <v>25</v>
      </c>
      <c r="R326">
        <v>2</v>
      </c>
      <c r="S326">
        <v>10</v>
      </c>
      <c r="T326">
        <v>0</v>
      </c>
      <c r="U326">
        <v>0</v>
      </c>
      <c r="V326">
        <v>10</v>
      </c>
      <c r="W326">
        <v>64</v>
      </c>
      <c r="X326">
        <v>495</v>
      </c>
      <c r="Y326">
        <v>21072</v>
      </c>
      <c r="Z326">
        <v>11244</v>
      </c>
      <c r="AA326">
        <v>5</v>
      </c>
      <c r="AB326" s="29">
        <v>44773</v>
      </c>
      <c r="AC326" s="29">
        <v>33232</v>
      </c>
      <c r="AD326" s="29">
        <v>42976</v>
      </c>
      <c r="AE326" s="29"/>
      <c r="AF326">
        <v>5</v>
      </c>
      <c r="AG326" t="s">
        <v>149</v>
      </c>
      <c r="AI326">
        <v>27</v>
      </c>
      <c r="AJ326">
        <v>1</v>
      </c>
      <c r="AK326" t="s">
        <v>162</v>
      </c>
      <c r="AL326" t="s">
        <v>77</v>
      </c>
      <c r="AM326">
        <f t="shared" si="25"/>
        <v>3</v>
      </c>
      <c r="AN326">
        <f t="shared" si="26"/>
        <v>8</v>
      </c>
      <c r="AO326" t="str">
        <f t="shared" si="27"/>
        <v/>
      </c>
      <c r="AP326" t="str">
        <f t="shared" si="28"/>
        <v/>
      </c>
      <c r="AQ326">
        <f t="shared" si="29"/>
        <v>2017</v>
      </c>
    </row>
    <row r="327" spans="1:43" x14ac:dyDescent="0.35">
      <c r="A327">
        <v>499</v>
      </c>
      <c r="B327">
        <v>49</v>
      </c>
      <c r="C327" t="s">
        <v>148</v>
      </c>
      <c r="D327" t="s">
        <v>145</v>
      </c>
      <c r="E327" t="s">
        <v>4</v>
      </c>
      <c r="F327" t="s">
        <v>38</v>
      </c>
      <c r="G327" t="s">
        <v>42</v>
      </c>
      <c r="H327" t="s">
        <v>82</v>
      </c>
      <c r="I327" t="s">
        <v>42</v>
      </c>
      <c r="J327" t="s">
        <v>161</v>
      </c>
      <c r="K327" t="s">
        <v>43</v>
      </c>
      <c r="L327" t="s">
        <v>152</v>
      </c>
      <c r="M327" t="s">
        <v>49</v>
      </c>
      <c r="N327" t="s">
        <v>95</v>
      </c>
      <c r="P327" t="s">
        <v>148</v>
      </c>
      <c r="Q327">
        <v>24</v>
      </c>
      <c r="R327">
        <v>8</v>
      </c>
      <c r="S327">
        <v>26</v>
      </c>
      <c r="T327">
        <v>0</v>
      </c>
      <c r="U327">
        <v>0</v>
      </c>
      <c r="V327">
        <v>7</v>
      </c>
      <c r="W327">
        <v>31</v>
      </c>
      <c r="X327">
        <v>1261</v>
      </c>
      <c r="Y327">
        <v>12066</v>
      </c>
      <c r="Z327">
        <v>10965</v>
      </c>
      <c r="AA327">
        <v>2</v>
      </c>
      <c r="AB327" s="29">
        <v>44773</v>
      </c>
      <c r="AC327" s="29">
        <v>26943</v>
      </c>
      <c r="AD327" s="29">
        <v>43015</v>
      </c>
      <c r="AE327" s="29"/>
      <c r="AF327">
        <v>5</v>
      </c>
      <c r="AG327" t="s">
        <v>153</v>
      </c>
      <c r="AI327">
        <v>44</v>
      </c>
      <c r="AJ327">
        <v>1</v>
      </c>
      <c r="AK327" t="s">
        <v>162</v>
      </c>
      <c r="AL327" t="s">
        <v>77</v>
      </c>
      <c r="AM327">
        <f t="shared" si="25"/>
        <v>4</v>
      </c>
      <c r="AN327">
        <f t="shared" si="26"/>
        <v>10</v>
      </c>
      <c r="AO327" t="str">
        <f t="shared" si="27"/>
        <v/>
      </c>
      <c r="AP327" t="str">
        <f t="shared" si="28"/>
        <v/>
      </c>
      <c r="AQ327">
        <f t="shared" si="29"/>
        <v>2017</v>
      </c>
    </row>
    <row r="328" spans="1:43" x14ac:dyDescent="0.35">
      <c r="A328">
        <v>1622</v>
      </c>
      <c r="B328">
        <v>28</v>
      </c>
      <c r="C328" t="s">
        <v>148</v>
      </c>
      <c r="D328" t="s">
        <v>145</v>
      </c>
      <c r="E328" t="s">
        <v>4</v>
      </c>
      <c r="F328" t="s">
        <v>38</v>
      </c>
      <c r="G328" t="s">
        <v>42</v>
      </c>
      <c r="H328" t="s">
        <v>81</v>
      </c>
      <c r="I328" t="s">
        <v>41</v>
      </c>
      <c r="J328" t="s">
        <v>165</v>
      </c>
      <c r="K328" t="s">
        <v>41</v>
      </c>
      <c r="L328" t="s">
        <v>152</v>
      </c>
      <c r="M328" t="s">
        <v>48</v>
      </c>
      <c r="N328" t="s">
        <v>96</v>
      </c>
      <c r="O328" t="s">
        <v>41</v>
      </c>
      <c r="P328" t="s">
        <v>148</v>
      </c>
      <c r="Q328">
        <v>21</v>
      </c>
      <c r="R328">
        <v>0</v>
      </c>
      <c r="S328">
        <v>6</v>
      </c>
      <c r="T328">
        <v>0</v>
      </c>
      <c r="U328">
        <v>0</v>
      </c>
      <c r="V328">
        <v>27</v>
      </c>
      <c r="W328">
        <v>39</v>
      </c>
      <c r="X328">
        <v>580</v>
      </c>
      <c r="Y328">
        <v>20460</v>
      </c>
      <c r="Z328">
        <v>4877</v>
      </c>
      <c r="AA328">
        <v>5</v>
      </c>
      <c r="AB328" s="29">
        <v>44773</v>
      </c>
      <c r="AC328" s="29">
        <v>34783</v>
      </c>
      <c r="AD328" s="29">
        <v>43087</v>
      </c>
      <c r="AE328" s="29"/>
      <c r="AF328">
        <v>5</v>
      </c>
      <c r="AG328" t="s">
        <v>157</v>
      </c>
      <c r="AI328">
        <v>23</v>
      </c>
      <c r="AJ328">
        <v>1</v>
      </c>
      <c r="AK328" t="s">
        <v>162</v>
      </c>
      <c r="AL328" t="s">
        <v>77</v>
      </c>
      <c r="AM328">
        <f t="shared" si="25"/>
        <v>4</v>
      </c>
      <c r="AN328">
        <f t="shared" si="26"/>
        <v>12</v>
      </c>
      <c r="AO328" t="str">
        <f t="shared" si="27"/>
        <v/>
      </c>
      <c r="AP328" t="str">
        <f t="shared" si="28"/>
        <v/>
      </c>
      <c r="AQ328">
        <f t="shared" si="29"/>
        <v>2017</v>
      </c>
    </row>
    <row r="329" spans="1:43" x14ac:dyDescent="0.35">
      <c r="A329">
        <v>1212</v>
      </c>
      <c r="B329">
        <v>40</v>
      </c>
      <c r="C329" t="s">
        <v>148</v>
      </c>
      <c r="D329" t="s">
        <v>151</v>
      </c>
      <c r="E329" t="s">
        <v>158</v>
      </c>
      <c r="F329" t="s">
        <v>37</v>
      </c>
      <c r="G329" t="s">
        <v>42</v>
      </c>
      <c r="H329" t="s">
        <v>82</v>
      </c>
      <c r="I329" t="s">
        <v>43</v>
      </c>
      <c r="J329" t="s">
        <v>159</v>
      </c>
      <c r="K329" t="s">
        <v>42</v>
      </c>
      <c r="L329" t="s">
        <v>147</v>
      </c>
      <c r="M329" t="s">
        <v>49</v>
      </c>
      <c r="N329" t="s">
        <v>160</v>
      </c>
      <c r="O329" t="s">
        <v>43</v>
      </c>
      <c r="P329" t="s">
        <v>148</v>
      </c>
      <c r="Q329">
        <v>12</v>
      </c>
      <c r="R329">
        <v>5</v>
      </c>
      <c r="S329">
        <v>5</v>
      </c>
      <c r="T329">
        <v>0</v>
      </c>
      <c r="U329">
        <v>0</v>
      </c>
      <c r="V329">
        <v>2</v>
      </c>
      <c r="W329">
        <v>62</v>
      </c>
      <c r="X329">
        <v>1184</v>
      </c>
      <c r="Y329">
        <v>25440</v>
      </c>
      <c r="Z329">
        <v>4327</v>
      </c>
      <c r="AA329">
        <v>2</v>
      </c>
      <c r="AB329" s="29">
        <v>44773</v>
      </c>
      <c r="AC329" s="29">
        <v>30284</v>
      </c>
      <c r="AD329" s="29">
        <v>44227</v>
      </c>
      <c r="AE329" s="29"/>
      <c r="AF329">
        <v>1</v>
      </c>
      <c r="AG329" t="s">
        <v>153</v>
      </c>
      <c r="AI329">
        <v>39</v>
      </c>
      <c r="AJ329">
        <v>1</v>
      </c>
      <c r="AK329" t="s">
        <v>170</v>
      </c>
      <c r="AL329" t="s">
        <v>77</v>
      </c>
      <c r="AM329">
        <f t="shared" si="25"/>
        <v>1</v>
      </c>
      <c r="AN329">
        <f t="shared" si="26"/>
        <v>1</v>
      </c>
      <c r="AO329" t="str">
        <f t="shared" si="27"/>
        <v/>
      </c>
      <c r="AP329" t="str">
        <f t="shared" si="28"/>
        <v/>
      </c>
      <c r="AQ329">
        <f t="shared" si="29"/>
        <v>2021</v>
      </c>
    </row>
    <row r="330" spans="1:43" x14ac:dyDescent="0.35">
      <c r="A330">
        <v>467</v>
      </c>
      <c r="B330">
        <v>47</v>
      </c>
      <c r="C330" t="s">
        <v>148</v>
      </c>
      <c r="D330" t="s">
        <v>151</v>
      </c>
      <c r="E330" t="s">
        <v>158</v>
      </c>
      <c r="F330" t="s">
        <v>35</v>
      </c>
      <c r="G330" t="s">
        <v>42</v>
      </c>
      <c r="H330" t="s">
        <v>82</v>
      </c>
      <c r="I330" t="s">
        <v>43</v>
      </c>
      <c r="J330" t="s">
        <v>166</v>
      </c>
      <c r="K330" t="s">
        <v>43</v>
      </c>
      <c r="L330" t="s">
        <v>147</v>
      </c>
      <c r="M330" t="s">
        <v>49</v>
      </c>
      <c r="N330" t="s">
        <v>95</v>
      </c>
      <c r="P330" t="s">
        <v>148</v>
      </c>
      <c r="Q330">
        <v>19</v>
      </c>
      <c r="R330">
        <v>3</v>
      </c>
      <c r="S330">
        <v>5</v>
      </c>
      <c r="T330">
        <v>0</v>
      </c>
      <c r="U330">
        <v>0</v>
      </c>
      <c r="V330">
        <v>4</v>
      </c>
      <c r="W330">
        <v>99</v>
      </c>
      <c r="X330">
        <v>1309</v>
      </c>
      <c r="Y330">
        <v>25751</v>
      </c>
      <c r="Z330">
        <v>2976</v>
      </c>
      <c r="AA330">
        <v>3</v>
      </c>
      <c r="AB330" s="29">
        <v>44773</v>
      </c>
      <c r="AC330" s="29">
        <v>27831</v>
      </c>
      <c r="AD330" s="29">
        <v>44244</v>
      </c>
      <c r="AE330" s="29"/>
      <c r="AF330">
        <v>1</v>
      </c>
      <c r="AG330" t="s">
        <v>153</v>
      </c>
      <c r="AI330">
        <v>46</v>
      </c>
      <c r="AJ330">
        <v>1</v>
      </c>
      <c r="AK330" t="s">
        <v>170</v>
      </c>
      <c r="AL330" t="s">
        <v>77</v>
      </c>
      <c r="AM330">
        <f t="shared" si="25"/>
        <v>1</v>
      </c>
      <c r="AN330">
        <f t="shared" si="26"/>
        <v>2</v>
      </c>
      <c r="AO330" t="str">
        <f t="shared" si="27"/>
        <v/>
      </c>
      <c r="AP330" t="str">
        <f t="shared" si="28"/>
        <v/>
      </c>
      <c r="AQ330">
        <f t="shared" si="29"/>
        <v>2021</v>
      </c>
    </row>
    <row r="331" spans="1:43" x14ac:dyDescent="0.35">
      <c r="A331">
        <v>366</v>
      </c>
      <c r="B331">
        <v>29</v>
      </c>
      <c r="C331" t="s">
        <v>148</v>
      </c>
      <c r="D331" t="s">
        <v>145</v>
      </c>
      <c r="E331" t="s">
        <v>158</v>
      </c>
      <c r="F331" t="s">
        <v>38</v>
      </c>
      <c r="G331" t="s">
        <v>41</v>
      </c>
      <c r="H331" t="s">
        <v>82</v>
      </c>
      <c r="I331" t="s">
        <v>42</v>
      </c>
      <c r="J331" t="s">
        <v>159</v>
      </c>
      <c r="K331" t="s">
        <v>42</v>
      </c>
      <c r="L331" t="s">
        <v>147</v>
      </c>
      <c r="M331" t="s">
        <v>49</v>
      </c>
      <c r="N331" t="s">
        <v>160</v>
      </c>
      <c r="O331" t="s">
        <v>156</v>
      </c>
      <c r="P331" t="s">
        <v>148</v>
      </c>
      <c r="Q331">
        <v>19</v>
      </c>
      <c r="R331">
        <v>2</v>
      </c>
      <c r="S331">
        <v>10</v>
      </c>
      <c r="T331">
        <v>0</v>
      </c>
      <c r="U331">
        <v>0</v>
      </c>
      <c r="V331">
        <v>2</v>
      </c>
      <c r="W331">
        <v>78</v>
      </c>
      <c r="X331">
        <v>1210</v>
      </c>
      <c r="Y331">
        <v>3687</v>
      </c>
      <c r="Z331">
        <v>6644</v>
      </c>
      <c r="AA331">
        <v>2</v>
      </c>
      <c r="AB331" s="29">
        <v>44773</v>
      </c>
      <c r="AC331" s="29">
        <v>34311</v>
      </c>
      <c r="AD331" s="29">
        <v>44248</v>
      </c>
      <c r="AE331" s="29"/>
      <c r="AF331">
        <v>1</v>
      </c>
      <c r="AG331" t="s">
        <v>157</v>
      </c>
      <c r="AI331">
        <v>28</v>
      </c>
      <c r="AJ331">
        <v>1</v>
      </c>
      <c r="AK331" t="s">
        <v>170</v>
      </c>
      <c r="AL331" t="s">
        <v>77</v>
      </c>
      <c r="AM331">
        <f t="shared" si="25"/>
        <v>1</v>
      </c>
      <c r="AN331">
        <f t="shared" si="26"/>
        <v>2</v>
      </c>
      <c r="AO331" t="str">
        <f t="shared" si="27"/>
        <v/>
      </c>
      <c r="AP331" t="str">
        <f t="shared" si="28"/>
        <v/>
      </c>
      <c r="AQ331">
        <f t="shared" si="29"/>
        <v>2021</v>
      </c>
    </row>
    <row r="332" spans="1:43" x14ac:dyDescent="0.35">
      <c r="A332">
        <v>618</v>
      </c>
      <c r="B332">
        <v>26</v>
      </c>
      <c r="C332" t="s">
        <v>148</v>
      </c>
      <c r="D332" t="s">
        <v>145</v>
      </c>
      <c r="E332" t="s">
        <v>158</v>
      </c>
      <c r="F332" t="s">
        <v>36</v>
      </c>
      <c r="G332" t="s">
        <v>41</v>
      </c>
      <c r="H332" t="s">
        <v>82</v>
      </c>
      <c r="I332" t="s">
        <v>43</v>
      </c>
      <c r="J332" t="s">
        <v>159</v>
      </c>
      <c r="K332" t="s">
        <v>43</v>
      </c>
      <c r="L332" t="s">
        <v>147</v>
      </c>
      <c r="M332" t="s">
        <v>49</v>
      </c>
      <c r="N332" t="s">
        <v>96</v>
      </c>
      <c r="O332" t="s">
        <v>156</v>
      </c>
      <c r="P332" t="s">
        <v>148</v>
      </c>
      <c r="Q332">
        <v>12</v>
      </c>
      <c r="R332">
        <v>5</v>
      </c>
      <c r="S332">
        <v>8</v>
      </c>
      <c r="T332">
        <v>0</v>
      </c>
      <c r="U332">
        <v>0</v>
      </c>
      <c r="V332">
        <v>29</v>
      </c>
      <c r="W332">
        <v>45</v>
      </c>
      <c r="X332">
        <v>775</v>
      </c>
      <c r="Y332">
        <v>4267</v>
      </c>
      <c r="Z332">
        <v>4306</v>
      </c>
      <c r="AA332">
        <v>5</v>
      </c>
      <c r="AB332" s="29">
        <v>44773</v>
      </c>
      <c r="AC332" s="29">
        <v>35542</v>
      </c>
      <c r="AD332" s="29">
        <v>44257</v>
      </c>
      <c r="AE332" s="29"/>
      <c r="AF332">
        <v>1</v>
      </c>
      <c r="AG332" t="s">
        <v>157</v>
      </c>
      <c r="AI332">
        <v>25</v>
      </c>
      <c r="AJ332">
        <v>2</v>
      </c>
      <c r="AK332" t="s">
        <v>170</v>
      </c>
      <c r="AL332" t="s">
        <v>77</v>
      </c>
      <c r="AM332">
        <f t="shared" si="25"/>
        <v>1</v>
      </c>
      <c r="AN332">
        <f t="shared" si="26"/>
        <v>3</v>
      </c>
      <c r="AO332" t="str">
        <f t="shared" si="27"/>
        <v/>
      </c>
      <c r="AP332" t="str">
        <f t="shared" si="28"/>
        <v/>
      </c>
      <c r="AQ332">
        <f t="shared" si="29"/>
        <v>2021</v>
      </c>
    </row>
    <row r="333" spans="1:43" x14ac:dyDescent="0.35">
      <c r="A333">
        <v>1853</v>
      </c>
      <c r="B333">
        <v>32</v>
      </c>
      <c r="C333" t="s">
        <v>148</v>
      </c>
      <c r="D333" t="s">
        <v>151</v>
      </c>
      <c r="E333" t="s">
        <v>158</v>
      </c>
      <c r="F333" t="s">
        <v>37</v>
      </c>
      <c r="G333" t="s">
        <v>44</v>
      </c>
      <c r="H333" t="s">
        <v>82</v>
      </c>
      <c r="I333" t="s">
        <v>43</v>
      </c>
      <c r="J333" t="s">
        <v>159</v>
      </c>
      <c r="K333" t="s">
        <v>44</v>
      </c>
      <c r="L333" t="s">
        <v>147</v>
      </c>
      <c r="M333" t="s">
        <v>50</v>
      </c>
      <c r="N333" t="s">
        <v>95</v>
      </c>
      <c r="P333" t="s">
        <v>148</v>
      </c>
      <c r="Q333">
        <v>13</v>
      </c>
      <c r="R333">
        <v>8</v>
      </c>
      <c r="S333">
        <v>4</v>
      </c>
      <c r="T333">
        <v>0</v>
      </c>
      <c r="U333">
        <v>0</v>
      </c>
      <c r="V333">
        <v>10</v>
      </c>
      <c r="W333">
        <v>79</v>
      </c>
      <c r="X333">
        <v>1318</v>
      </c>
      <c r="Y333">
        <v>26075</v>
      </c>
      <c r="Z333">
        <v>4648</v>
      </c>
      <c r="AA333">
        <v>2</v>
      </c>
      <c r="AB333" s="29">
        <v>44773</v>
      </c>
      <c r="AC333" s="29">
        <v>33270</v>
      </c>
      <c r="AD333" s="29">
        <v>44258</v>
      </c>
      <c r="AE333" s="29"/>
      <c r="AF333">
        <v>1</v>
      </c>
      <c r="AG333" t="s">
        <v>149</v>
      </c>
      <c r="AI333">
        <v>31</v>
      </c>
      <c r="AJ333">
        <v>1</v>
      </c>
      <c r="AK333" t="s">
        <v>170</v>
      </c>
      <c r="AL333" t="s">
        <v>77</v>
      </c>
      <c r="AM333">
        <f t="shared" si="25"/>
        <v>1</v>
      </c>
      <c r="AN333">
        <f t="shared" si="26"/>
        <v>3</v>
      </c>
      <c r="AO333" t="str">
        <f t="shared" si="27"/>
        <v/>
      </c>
      <c r="AP333" t="str">
        <f t="shared" si="28"/>
        <v/>
      </c>
      <c r="AQ333">
        <f t="shared" si="29"/>
        <v>2021</v>
      </c>
    </row>
    <row r="334" spans="1:43" x14ac:dyDescent="0.35">
      <c r="A334">
        <v>72</v>
      </c>
      <c r="B334">
        <v>26</v>
      </c>
      <c r="C334" t="s">
        <v>148</v>
      </c>
      <c r="D334" t="s">
        <v>145</v>
      </c>
      <c r="E334" t="s">
        <v>158</v>
      </c>
      <c r="F334" t="s">
        <v>38</v>
      </c>
      <c r="G334" t="s">
        <v>43</v>
      </c>
      <c r="H334" t="s">
        <v>81</v>
      </c>
      <c r="I334" t="s">
        <v>42</v>
      </c>
      <c r="J334" t="s">
        <v>159</v>
      </c>
      <c r="K334" t="s">
        <v>44</v>
      </c>
      <c r="L334" t="s">
        <v>147</v>
      </c>
      <c r="M334" t="s">
        <v>48</v>
      </c>
      <c r="N334" t="s">
        <v>160</v>
      </c>
      <c r="O334" t="s">
        <v>41</v>
      </c>
      <c r="P334" t="s">
        <v>144</v>
      </c>
      <c r="Q334">
        <v>19</v>
      </c>
      <c r="R334">
        <v>7</v>
      </c>
      <c r="S334">
        <v>5</v>
      </c>
      <c r="T334">
        <v>0</v>
      </c>
      <c r="U334">
        <v>0</v>
      </c>
      <c r="V334">
        <v>23</v>
      </c>
      <c r="W334">
        <v>47</v>
      </c>
      <c r="X334">
        <v>1443</v>
      </c>
      <c r="Y334">
        <v>21436</v>
      </c>
      <c r="Z334">
        <v>4157</v>
      </c>
      <c r="AA334">
        <v>2</v>
      </c>
      <c r="AB334" s="29">
        <v>44773</v>
      </c>
      <c r="AC334" s="29">
        <v>35290</v>
      </c>
      <c r="AD334" s="29">
        <v>44286</v>
      </c>
      <c r="AE334" s="29"/>
      <c r="AF334">
        <v>1</v>
      </c>
      <c r="AG334" t="s">
        <v>157</v>
      </c>
      <c r="AI334">
        <v>25</v>
      </c>
      <c r="AJ334">
        <v>1</v>
      </c>
      <c r="AK334" t="s">
        <v>170</v>
      </c>
      <c r="AL334" t="s">
        <v>77</v>
      </c>
      <c r="AM334">
        <f t="shared" si="25"/>
        <v>1</v>
      </c>
      <c r="AN334">
        <f t="shared" si="26"/>
        <v>3</v>
      </c>
      <c r="AO334" t="str">
        <f t="shared" si="27"/>
        <v/>
      </c>
      <c r="AP334" t="str">
        <f t="shared" si="28"/>
        <v/>
      </c>
      <c r="AQ334">
        <f t="shared" si="29"/>
        <v>2021</v>
      </c>
    </row>
    <row r="335" spans="1:43" x14ac:dyDescent="0.35">
      <c r="A335">
        <v>1935</v>
      </c>
      <c r="B335">
        <v>56</v>
      </c>
      <c r="C335" t="s">
        <v>148</v>
      </c>
      <c r="D335" t="s">
        <v>145</v>
      </c>
      <c r="E335" t="s">
        <v>158</v>
      </c>
      <c r="F335" t="s">
        <v>34</v>
      </c>
      <c r="G335" t="s">
        <v>44</v>
      </c>
      <c r="H335" t="s">
        <v>81</v>
      </c>
      <c r="I335" t="s">
        <v>42</v>
      </c>
      <c r="J335" t="s">
        <v>159</v>
      </c>
      <c r="K335" t="s">
        <v>41</v>
      </c>
      <c r="L335" t="s">
        <v>147</v>
      </c>
      <c r="M335" t="s">
        <v>49</v>
      </c>
      <c r="N335" t="s">
        <v>160</v>
      </c>
      <c r="O335" t="s">
        <v>41</v>
      </c>
      <c r="P335" t="s">
        <v>148</v>
      </c>
      <c r="Q335">
        <v>16</v>
      </c>
      <c r="R335">
        <v>4</v>
      </c>
      <c r="S335">
        <v>6</v>
      </c>
      <c r="T335">
        <v>0</v>
      </c>
      <c r="U335">
        <v>0</v>
      </c>
      <c r="V335">
        <v>11</v>
      </c>
      <c r="W335">
        <v>89</v>
      </c>
      <c r="X335">
        <v>1443</v>
      </c>
      <c r="Y335">
        <v>20328</v>
      </c>
      <c r="Z335">
        <v>5380</v>
      </c>
      <c r="AA335">
        <v>3</v>
      </c>
      <c r="AB335" s="29">
        <v>44773</v>
      </c>
      <c r="AC335" s="29">
        <v>24364</v>
      </c>
      <c r="AD335" s="29">
        <v>44288</v>
      </c>
      <c r="AE335" s="29"/>
      <c r="AF335">
        <v>1</v>
      </c>
      <c r="AG335" t="s">
        <v>167</v>
      </c>
      <c r="AI335">
        <v>55</v>
      </c>
      <c r="AJ335">
        <v>1</v>
      </c>
      <c r="AK335" t="s">
        <v>170</v>
      </c>
      <c r="AL335" t="s">
        <v>77</v>
      </c>
      <c r="AM335">
        <f t="shared" si="25"/>
        <v>2</v>
      </c>
      <c r="AN335">
        <f t="shared" si="26"/>
        <v>4</v>
      </c>
      <c r="AO335" t="str">
        <f t="shared" si="27"/>
        <v/>
      </c>
      <c r="AP335" t="str">
        <f t="shared" si="28"/>
        <v/>
      </c>
      <c r="AQ335">
        <f t="shared" si="29"/>
        <v>2021</v>
      </c>
    </row>
    <row r="336" spans="1:43" x14ac:dyDescent="0.35">
      <c r="A336">
        <v>775</v>
      </c>
      <c r="B336">
        <v>34</v>
      </c>
      <c r="C336" t="s">
        <v>148</v>
      </c>
      <c r="D336" t="s">
        <v>145</v>
      </c>
      <c r="E336" t="s">
        <v>4</v>
      </c>
      <c r="F336" t="s">
        <v>34</v>
      </c>
      <c r="G336" t="s">
        <v>42</v>
      </c>
      <c r="H336" t="s">
        <v>81</v>
      </c>
      <c r="I336" t="s">
        <v>43</v>
      </c>
      <c r="J336" t="s">
        <v>165</v>
      </c>
      <c r="K336" t="s">
        <v>41</v>
      </c>
      <c r="L336" t="s">
        <v>147</v>
      </c>
      <c r="M336" t="s">
        <v>49</v>
      </c>
      <c r="N336" t="s">
        <v>96</v>
      </c>
      <c r="O336" t="s">
        <v>41</v>
      </c>
      <c r="P336" t="s">
        <v>148</v>
      </c>
      <c r="Q336">
        <v>14</v>
      </c>
      <c r="R336">
        <v>3</v>
      </c>
      <c r="S336">
        <v>7</v>
      </c>
      <c r="T336">
        <v>0</v>
      </c>
      <c r="U336">
        <v>0</v>
      </c>
      <c r="V336">
        <v>8</v>
      </c>
      <c r="W336">
        <v>32</v>
      </c>
      <c r="X336">
        <v>167</v>
      </c>
      <c r="Y336">
        <v>4187</v>
      </c>
      <c r="Z336">
        <v>5121</v>
      </c>
      <c r="AA336">
        <v>3</v>
      </c>
      <c r="AB336" s="29">
        <v>44773</v>
      </c>
      <c r="AC336" s="29">
        <v>32643</v>
      </c>
      <c r="AD336" s="29">
        <v>44317</v>
      </c>
      <c r="AE336" s="29"/>
      <c r="AF336">
        <v>1</v>
      </c>
      <c r="AG336" t="s">
        <v>149</v>
      </c>
      <c r="AI336">
        <v>33</v>
      </c>
      <c r="AJ336">
        <v>1</v>
      </c>
      <c r="AK336" t="s">
        <v>170</v>
      </c>
      <c r="AL336" t="s">
        <v>77</v>
      </c>
      <c r="AM336">
        <f t="shared" si="25"/>
        <v>2</v>
      </c>
      <c r="AN336">
        <f t="shared" si="26"/>
        <v>5</v>
      </c>
      <c r="AO336" t="str">
        <f t="shared" si="27"/>
        <v/>
      </c>
      <c r="AP336" t="str">
        <f t="shared" si="28"/>
        <v/>
      </c>
      <c r="AQ336">
        <f t="shared" si="29"/>
        <v>2021</v>
      </c>
    </row>
    <row r="337" spans="1:43" x14ac:dyDescent="0.35">
      <c r="A337">
        <v>1306</v>
      </c>
      <c r="B337">
        <v>45</v>
      </c>
      <c r="C337" t="s">
        <v>148</v>
      </c>
      <c r="D337" t="s">
        <v>151</v>
      </c>
      <c r="E337" t="s">
        <v>4</v>
      </c>
      <c r="F337" t="s">
        <v>38</v>
      </c>
      <c r="G337" t="s">
        <v>42</v>
      </c>
      <c r="H337" t="s">
        <v>81</v>
      </c>
      <c r="I337" t="s">
        <v>43</v>
      </c>
      <c r="J337" t="s">
        <v>169</v>
      </c>
      <c r="K337" t="s">
        <v>42</v>
      </c>
      <c r="L337" t="s">
        <v>152</v>
      </c>
      <c r="M337" t="s">
        <v>49</v>
      </c>
      <c r="N337" t="s">
        <v>95</v>
      </c>
      <c r="P337" t="s">
        <v>148</v>
      </c>
      <c r="Q337">
        <v>22</v>
      </c>
      <c r="R337">
        <v>3</v>
      </c>
      <c r="S337">
        <v>22</v>
      </c>
      <c r="T337">
        <v>0</v>
      </c>
      <c r="U337">
        <v>0</v>
      </c>
      <c r="V337">
        <v>25</v>
      </c>
      <c r="W337">
        <v>83</v>
      </c>
      <c r="X337">
        <v>364</v>
      </c>
      <c r="Y337">
        <v>13035</v>
      </c>
      <c r="Z337">
        <v>18061</v>
      </c>
      <c r="AA337">
        <v>4</v>
      </c>
      <c r="AB337" s="29">
        <v>44773</v>
      </c>
      <c r="AC337" s="29">
        <v>28388</v>
      </c>
      <c r="AD337" s="29">
        <v>44318</v>
      </c>
      <c r="AE337" s="29"/>
      <c r="AF337">
        <v>1</v>
      </c>
      <c r="AG337" t="s">
        <v>153</v>
      </c>
      <c r="AI337">
        <v>44</v>
      </c>
      <c r="AJ337">
        <v>2</v>
      </c>
      <c r="AK337" t="s">
        <v>170</v>
      </c>
      <c r="AL337" t="s">
        <v>77</v>
      </c>
      <c r="AM337">
        <f t="shared" si="25"/>
        <v>2</v>
      </c>
      <c r="AN337">
        <f t="shared" si="26"/>
        <v>5</v>
      </c>
      <c r="AO337" t="str">
        <f t="shared" si="27"/>
        <v/>
      </c>
      <c r="AP337" t="str">
        <f t="shared" si="28"/>
        <v/>
      </c>
      <c r="AQ337">
        <f t="shared" si="29"/>
        <v>2021</v>
      </c>
    </row>
    <row r="338" spans="1:43" x14ac:dyDescent="0.35">
      <c r="A338">
        <v>1943</v>
      </c>
      <c r="B338">
        <v>42</v>
      </c>
      <c r="C338" t="s">
        <v>148</v>
      </c>
      <c r="D338" t="s">
        <v>145</v>
      </c>
      <c r="E338" t="s">
        <v>158</v>
      </c>
      <c r="F338" t="s">
        <v>37</v>
      </c>
      <c r="G338" t="s">
        <v>42</v>
      </c>
      <c r="H338" t="s">
        <v>82</v>
      </c>
      <c r="I338" t="s">
        <v>43</v>
      </c>
      <c r="J338" t="s">
        <v>159</v>
      </c>
      <c r="K338" t="s">
        <v>44</v>
      </c>
      <c r="L338" t="s">
        <v>147</v>
      </c>
      <c r="M338" t="s">
        <v>49</v>
      </c>
      <c r="N338" t="s">
        <v>96</v>
      </c>
      <c r="O338" t="s">
        <v>156</v>
      </c>
      <c r="P338" t="s">
        <v>144</v>
      </c>
      <c r="Q338">
        <v>12</v>
      </c>
      <c r="R338">
        <v>3</v>
      </c>
      <c r="S338">
        <v>14</v>
      </c>
      <c r="T338">
        <v>0</v>
      </c>
      <c r="U338">
        <v>0</v>
      </c>
      <c r="V338">
        <v>12</v>
      </c>
      <c r="W338">
        <v>77</v>
      </c>
      <c r="X338">
        <v>419</v>
      </c>
      <c r="Y338">
        <v>2900</v>
      </c>
      <c r="Z338">
        <v>5087</v>
      </c>
      <c r="AA338">
        <v>4</v>
      </c>
      <c r="AB338" s="29">
        <v>44773</v>
      </c>
      <c r="AC338" s="29">
        <v>29794</v>
      </c>
      <c r="AD338" s="29">
        <v>44365</v>
      </c>
      <c r="AE338" s="29"/>
      <c r="AF338">
        <v>1</v>
      </c>
      <c r="AG338" t="s">
        <v>153</v>
      </c>
      <c r="AI338">
        <v>41</v>
      </c>
      <c r="AJ338">
        <v>1</v>
      </c>
      <c r="AK338" t="s">
        <v>170</v>
      </c>
      <c r="AL338" t="s">
        <v>77</v>
      </c>
      <c r="AM338">
        <f t="shared" si="25"/>
        <v>2</v>
      </c>
      <c r="AN338">
        <f t="shared" si="26"/>
        <v>6</v>
      </c>
      <c r="AO338" t="str">
        <f t="shared" si="27"/>
        <v/>
      </c>
      <c r="AP338" t="str">
        <f t="shared" si="28"/>
        <v/>
      </c>
      <c r="AQ338">
        <f t="shared" si="29"/>
        <v>2021</v>
      </c>
    </row>
    <row r="339" spans="1:43" x14ac:dyDescent="0.35">
      <c r="A339">
        <v>1036</v>
      </c>
      <c r="B339">
        <v>38</v>
      </c>
      <c r="C339" t="s">
        <v>148</v>
      </c>
      <c r="D339" t="s">
        <v>145</v>
      </c>
      <c r="E339" t="s">
        <v>158</v>
      </c>
      <c r="F339" t="s">
        <v>37</v>
      </c>
      <c r="G339" t="s">
        <v>42</v>
      </c>
      <c r="H339" t="s">
        <v>82</v>
      </c>
      <c r="I339" t="s">
        <v>43</v>
      </c>
      <c r="J339" t="s">
        <v>159</v>
      </c>
      <c r="K339" t="s">
        <v>44</v>
      </c>
      <c r="L339" t="s">
        <v>147</v>
      </c>
      <c r="M339" t="s">
        <v>49</v>
      </c>
      <c r="N339" t="s">
        <v>95</v>
      </c>
      <c r="P339" t="s">
        <v>144</v>
      </c>
      <c r="Q339">
        <v>12</v>
      </c>
      <c r="R339">
        <v>8</v>
      </c>
      <c r="S339">
        <v>19</v>
      </c>
      <c r="T339">
        <v>0</v>
      </c>
      <c r="U339">
        <v>0</v>
      </c>
      <c r="V339">
        <v>3</v>
      </c>
      <c r="W339">
        <v>42</v>
      </c>
      <c r="X339">
        <v>1035</v>
      </c>
      <c r="Y339">
        <v>4981</v>
      </c>
      <c r="Z339">
        <v>6861</v>
      </c>
      <c r="AA339">
        <v>1</v>
      </c>
      <c r="AB339" s="29">
        <v>44773</v>
      </c>
      <c r="AC339" s="29">
        <v>31093</v>
      </c>
      <c r="AD339" s="29">
        <v>44407</v>
      </c>
      <c r="AE339" s="29"/>
      <c r="AF339">
        <v>1</v>
      </c>
      <c r="AG339" t="s">
        <v>149</v>
      </c>
      <c r="AI339">
        <v>37</v>
      </c>
      <c r="AJ339">
        <v>1</v>
      </c>
      <c r="AK339" t="s">
        <v>170</v>
      </c>
      <c r="AL339" t="s">
        <v>77</v>
      </c>
      <c r="AM339">
        <f t="shared" si="25"/>
        <v>3</v>
      </c>
      <c r="AN339">
        <f t="shared" si="26"/>
        <v>7</v>
      </c>
      <c r="AO339" t="str">
        <f t="shared" si="27"/>
        <v/>
      </c>
      <c r="AP339" t="str">
        <f t="shared" si="28"/>
        <v/>
      </c>
      <c r="AQ339">
        <f t="shared" si="29"/>
        <v>2021</v>
      </c>
    </row>
    <row r="340" spans="1:43" x14ac:dyDescent="0.35">
      <c r="A340">
        <v>271</v>
      </c>
      <c r="B340">
        <v>38</v>
      </c>
      <c r="C340" t="s">
        <v>148</v>
      </c>
      <c r="D340" t="s">
        <v>145</v>
      </c>
      <c r="E340" t="s">
        <v>4</v>
      </c>
      <c r="F340" t="s">
        <v>37</v>
      </c>
      <c r="G340" t="s">
        <v>44</v>
      </c>
      <c r="H340" t="s">
        <v>82</v>
      </c>
      <c r="I340" t="s">
        <v>43</v>
      </c>
      <c r="J340" t="s">
        <v>165</v>
      </c>
      <c r="K340" t="s">
        <v>43</v>
      </c>
      <c r="L340" t="s">
        <v>147</v>
      </c>
      <c r="M340" t="s">
        <v>49</v>
      </c>
      <c r="N340" t="s">
        <v>160</v>
      </c>
      <c r="P340" t="s">
        <v>148</v>
      </c>
      <c r="Q340">
        <v>14</v>
      </c>
      <c r="R340">
        <v>9</v>
      </c>
      <c r="S340">
        <v>14</v>
      </c>
      <c r="T340">
        <v>0</v>
      </c>
      <c r="U340">
        <v>0</v>
      </c>
      <c r="V340">
        <v>2</v>
      </c>
      <c r="W340">
        <v>88</v>
      </c>
      <c r="X340">
        <v>1261</v>
      </c>
      <c r="Y340">
        <v>7259</v>
      </c>
      <c r="Z340">
        <v>6553</v>
      </c>
      <c r="AA340">
        <v>3</v>
      </c>
      <c r="AB340" s="29">
        <v>44773</v>
      </c>
      <c r="AC340" s="29">
        <v>31189</v>
      </c>
      <c r="AD340" s="29">
        <v>44411</v>
      </c>
      <c r="AE340" s="29"/>
      <c r="AF340">
        <v>1</v>
      </c>
      <c r="AG340" t="s">
        <v>149</v>
      </c>
      <c r="AI340">
        <v>37</v>
      </c>
      <c r="AJ340">
        <v>2</v>
      </c>
      <c r="AK340" t="s">
        <v>170</v>
      </c>
      <c r="AL340" t="s">
        <v>77</v>
      </c>
      <c r="AM340">
        <f t="shared" si="25"/>
        <v>3</v>
      </c>
      <c r="AN340">
        <f t="shared" si="26"/>
        <v>8</v>
      </c>
      <c r="AO340" t="str">
        <f t="shared" si="27"/>
        <v/>
      </c>
      <c r="AP340" t="str">
        <f t="shared" si="28"/>
        <v/>
      </c>
      <c r="AQ340">
        <f t="shared" si="29"/>
        <v>2021</v>
      </c>
    </row>
    <row r="341" spans="1:43" x14ac:dyDescent="0.35">
      <c r="A341">
        <v>1263</v>
      </c>
      <c r="B341">
        <v>48</v>
      </c>
      <c r="C341" t="s">
        <v>148</v>
      </c>
      <c r="D341" t="s">
        <v>145</v>
      </c>
      <c r="E341" t="s">
        <v>4</v>
      </c>
      <c r="F341" t="s">
        <v>38</v>
      </c>
      <c r="G341" t="s">
        <v>44</v>
      </c>
      <c r="H341" t="s">
        <v>82</v>
      </c>
      <c r="I341" t="s">
        <v>42</v>
      </c>
      <c r="J341" t="s">
        <v>173</v>
      </c>
      <c r="K341" t="s">
        <v>44</v>
      </c>
      <c r="L341" t="s">
        <v>147</v>
      </c>
      <c r="M341" t="s">
        <v>50</v>
      </c>
      <c r="N341" t="s">
        <v>95</v>
      </c>
      <c r="P341" t="s">
        <v>148</v>
      </c>
      <c r="Q341">
        <v>12</v>
      </c>
      <c r="R341">
        <v>6</v>
      </c>
      <c r="S341">
        <v>25</v>
      </c>
      <c r="T341">
        <v>0</v>
      </c>
      <c r="U341">
        <v>0</v>
      </c>
      <c r="V341">
        <v>1</v>
      </c>
      <c r="W341">
        <v>76</v>
      </c>
      <c r="X341">
        <v>715</v>
      </c>
      <c r="Y341">
        <v>8733</v>
      </c>
      <c r="Z341">
        <v>18265</v>
      </c>
      <c r="AA341">
        <v>3</v>
      </c>
      <c r="AB341" s="29">
        <v>44773</v>
      </c>
      <c r="AC341" s="29">
        <v>27533</v>
      </c>
      <c r="AD341" s="29">
        <v>44423</v>
      </c>
      <c r="AE341" s="29"/>
      <c r="AF341">
        <v>1</v>
      </c>
      <c r="AG341" t="s">
        <v>153</v>
      </c>
      <c r="AI341">
        <v>47</v>
      </c>
      <c r="AJ341">
        <v>1</v>
      </c>
      <c r="AK341" t="s">
        <v>170</v>
      </c>
      <c r="AL341" t="s">
        <v>77</v>
      </c>
      <c r="AM341">
        <f t="shared" si="25"/>
        <v>3</v>
      </c>
      <c r="AN341">
        <f t="shared" si="26"/>
        <v>8</v>
      </c>
      <c r="AO341" t="str">
        <f t="shared" si="27"/>
        <v/>
      </c>
      <c r="AP341" t="str">
        <f t="shared" si="28"/>
        <v/>
      </c>
      <c r="AQ341">
        <f t="shared" si="29"/>
        <v>2021</v>
      </c>
    </row>
    <row r="342" spans="1:43" x14ac:dyDescent="0.35">
      <c r="A342">
        <v>86</v>
      </c>
      <c r="B342">
        <v>45</v>
      </c>
      <c r="C342" t="s">
        <v>148</v>
      </c>
      <c r="D342" t="s">
        <v>145</v>
      </c>
      <c r="E342" t="s">
        <v>4</v>
      </c>
      <c r="F342" t="s">
        <v>38</v>
      </c>
      <c r="G342" t="s">
        <v>42</v>
      </c>
      <c r="H342" t="s">
        <v>82</v>
      </c>
      <c r="I342" t="s">
        <v>43</v>
      </c>
      <c r="J342" t="s">
        <v>146</v>
      </c>
      <c r="K342" t="s">
        <v>41</v>
      </c>
      <c r="L342" t="s">
        <v>147</v>
      </c>
      <c r="M342" t="s">
        <v>49</v>
      </c>
      <c r="N342" t="s">
        <v>96</v>
      </c>
      <c r="O342" t="s">
        <v>41</v>
      </c>
      <c r="P342" t="s">
        <v>148</v>
      </c>
      <c r="Q342">
        <v>17</v>
      </c>
      <c r="R342">
        <v>2</v>
      </c>
      <c r="S342">
        <v>25</v>
      </c>
      <c r="T342">
        <v>0</v>
      </c>
      <c r="U342">
        <v>0</v>
      </c>
      <c r="V342">
        <v>7</v>
      </c>
      <c r="W342">
        <v>59</v>
      </c>
      <c r="X342">
        <v>1339</v>
      </c>
      <c r="Y342">
        <v>18787</v>
      </c>
      <c r="Z342">
        <v>9724</v>
      </c>
      <c r="AA342">
        <v>2</v>
      </c>
      <c r="AB342" s="29">
        <v>44773</v>
      </c>
      <c r="AC342" s="29">
        <v>28557</v>
      </c>
      <c r="AD342" s="29">
        <v>44424</v>
      </c>
      <c r="AE342" s="29"/>
      <c r="AF342">
        <v>1</v>
      </c>
      <c r="AG342" t="s">
        <v>153</v>
      </c>
      <c r="AI342">
        <v>44</v>
      </c>
      <c r="AJ342">
        <v>2</v>
      </c>
      <c r="AK342" t="s">
        <v>170</v>
      </c>
      <c r="AL342" t="s">
        <v>77</v>
      </c>
      <c r="AM342">
        <f t="shared" si="25"/>
        <v>3</v>
      </c>
      <c r="AN342">
        <f t="shared" si="26"/>
        <v>8</v>
      </c>
      <c r="AO342" t="str">
        <f t="shared" si="27"/>
        <v/>
      </c>
      <c r="AP342" t="str">
        <f t="shared" si="28"/>
        <v/>
      </c>
      <c r="AQ342">
        <f t="shared" si="29"/>
        <v>2021</v>
      </c>
    </row>
    <row r="343" spans="1:43" x14ac:dyDescent="0.35">
      <c r="A343">
        <v>521</v>
      </c>
      <c r="B343">
        <v>40</v>
      </c>
      <c r="C343" t="s">
        <v>148</v>
      </c>
      <c r="D343" t="s">
        <v>145</v>
      </c>
      <c r="E343" t="s">
        <v>4</v>
      </c>
      <c r="F343" t="s">
        <v>38</v>
      </c>
      <c r="G343" t="s">
        <v>42</v>
      </c>
      <c r="H343" t="s">
        <v>81</v>
      </c>
      <c r="I343" t="s">
        <v>42</v>
      </c>
      <c r="J343" t="s">
        <v>155</v>
      </c>
      <c r="K343" t="s">
        <v>43</v>
      </c>
      <c r="L343" t="s">
        <v>152</v>
      </c>
      <c r="M343" t="s">
        <v>49</v>
      </c>
      <c r="N343" t="s">
        <v>160</v>
      </c>
      <c r="O343" t="s">
        <v>41</v>
      </c>
      <c r="P343" t="s">
        <v>148</v>
      </c>
      <c r="Q343">
        <v>22</v>
      </c>
      <c r="R343">
        <v>6</v>
      </c>
      <c r="S343">
        <v>20</v>
      </c>
      <c r="T343">
        <v>0</v>
      </c>
      <c r="U343">
        <v>0</v>
      </c>
      <c r="V343">
        <v>2</v>
      </c>
      <c r="W343">
        <v>78</v>
      </c>
      <c r="X343">
        <v>555</v>
      </c>
      <c r="Y343">
        <v>13436</v>
      </c>
      <c r="Z343">
        <v>3448</v>
      </c>
      <c r="AA343">
        <v>3</v>
      </c>
      <c r="AB343" s="29">
        <v>44773</v>
      </c>
      <c r="AC343" s="29">
        <v>30296</v>
      </c>
      <c r="AD343" s="29">
        <v>44424</v>
      </c>
      <c r="AE343" s="29"/>
      <c r="AF343">
        <v>1</v>
      </c>
      <c r="AG343" t="s">
        <v>153</v>
      </c>
      <c r="AI343">
        <v>39</v>
      </c>
      <c r="AJ343">
        <v>1</v>
      </c>
      <c r="AK343" t="s">
        <v>170</v>
      </c>
      <c r="AL343" t="s">
        <v>77</v>
      </c>
      <c r="AM343">
        <f t="shared" si="25"/>
        <v>3</v>
      </c>
      <c r="AN343">
        <f t="shared" si="26"/>
        <v>8</v>
      </c>
      <c r="AO343" t="str">
        <f t="shared" si="27"/>
        <v/>
      </c>
      <c r="AP343" t="str">
        <f t="shared" si="28"/>
        <v/>
      </c>
      <c r="AQ343">
        <f t="shared" si="29"/>
        <v>2021</v>
      </c>
    </row>
    <row r="344" spans="1:43" x14ac:dyDescent="0.35">
      <c r="A344">
        <v>1591</v>
      </c>
      <c r="B344">
        <v>50</v>
      </c>
      <c r="C344" t="s">
        <v>148</v>
      </c>
      <c r="D344" t="s">
        <v>145</v>
      </c>
      <c r="E344" t="s">
        <v>158</v>
      </c>
      <c r="F344" t="s">
        <v>38</v>
      </c>
      <c r="G344" t="s">
        <v>43</v>
      </c>
      <c r="H344" t="s">
        <v>82</v>
      </c>
      <c r="I344" t="s">
        <v>43</v>
      </c>
      <c r="J344" t="s">
        <v>169</v>
      </c>
      <c r="K344" t="s">
        <v>43</v>
      </c>
      <c r="L344" t="s">
        <v>147</v>
      </c>
      <c r="M344" t="s">
        <v>49</v>
      </c>
      <c r="N344" t="s">
        <v>160</v>
      </c>
      <c r="O344" t="s">
        <v>41</v>
      </c>
      <c r="P344" t="s">
        <v>144</v>
      </c>
      <c r="Q344">
        <v>16</v>
      </c>
      <c r="R344">
        <v>4</v>
      </c>
      <c r="S344">
        <v>27</v>
      </c>
      <c r="T344">
        <v>0</v>
      </c>
      <c r="U344">
        <v>0</v>
      </c>
      <c r="V344">
        <v>9</v>
      </c>
      <c r="W344">
        <v>59</v>
      </c>
      <c r="X344">
        <v>264</v>
      </c>
      <c r="Y344">
        <v>19519</v>
      </c>
      <c r="Z344">
        <v>19331</v>
      </c>
      <c r="AA344">
        <v>2</v>
      </c>
      <c r="AB344" s="29">
        <v>44773</v>
      </c>
      <c r="AC344" s="29">
        <v>26552</v>
      </c>
      <c r="AD344" s="29">
        <v>44434</v>
      </c>
      <c r="AE344" s="29"/>
      <c r="AF344">
        <v>1</v>
      </c>
      <c r="AG344" t="s">
        <v>167</v>
      </c>
      <c r="AI344">
        <v>49</v>
      </c>
      <c r="AJ344">
        <v>1</v>
      </c>
      <c r="AK344" t="s">
        <v>170</v>
      </c>
      <c r="AL344" t="s">
        <v>78</v>
      </c>
      <c r="AM344">
        <f t="shared" si="25"/>
        <v>3</v>
      </c>
      <c r="AN344">
        <f t="shared" si="26"/>
        <v>8</v>
      </c>
      <c r="AO344" t="str">
        <f t="shared" si="27"/>
        <v/>
      </c>
      <c r="AP344" t="str">
        <f t="shared" si="28"/>
        <v/>
      </c>
      <c r="AQ344">
        <f t="shared" si="29"/>
        <v>2021</v>
      </c>
    </row>
    <row r="345" spans="1:43" x14ac:dyDescent="0.35">
      <c r="A345">
        <v>1242</v>
      </c>
      <c r="B345">
        <v>42</v>
      </c>
      <c r="C345" t="s">
        <v>148</v>
      </c>
      <c r="D345" t="s">
        <v>151</v>
      </c>
      <c r="E345" t="s">
        <v>4</v>
      </c>
      <c r="F345" t="s">
        <v>34</v>
      </c>
      <c r="G345" t="s">
        <v>41</v>
      </c>
      <c r="H345" t="s">
        <v>81</v>
      </c>
      <c r="I345" t="s">
        <v>43</v>
      </c>
      <c r="J345" t="s">
        <v>173</v>
      </c>
      <c r="K345" t="s">
        <v>41</v>
      </c>
      <c r="L345" t="s">
        <v>147</v>
      </c>
      <c r="M345" t="s">
        <v>49</v>
      </c>
      <c r="N345" t="s">
        <v>160</v>
      </c>
      <c r="P345" t="s">
        <v>144</v>
      </c>
      <c r="Q345">
        <v>17</v>
      </c>
      <c r="R345">
        <v>3</v>
      </c>
      <c r="S345">
        <v>20</v>
      </c>
      <c r="T345">
        <v>0</v>
      </c>
      <c r="U345">
        <v>0</v>
      </c>
      <c r="V345">
        <v>26</v>
      </c>
      <c r="W345">
        <v>60</v>
      </c>
      <c r="X345">
        <v>458</v>
      </c>
      <c r="Y345">
        <v>23281</v>
      </c>
      <c r="Z345">
        <v>13191</v>
      </c>
      <c r="AA345">
        <v>6</v>
      </c>
      <c r="AB345" s="29">
        <v>44773</v>
      </c>
      <c r="AC345" s="29">
        <v>29715</v>
      </c>
      <c r="AD345" s="29">
        <v>44438</v>
      </c>
      <c r="AE345" s="29"/>
      <c r="AF345">
        <v>1</v>
      </c>
      <c r="AG345" t="s">
        <v>153</v>
      </c>
      <c r="AI345">
        <v>41</v>
      </c>
      <c r="AJ345">
        <v>1</v>
      </c>
      <c r="AK345" t="s">
        <v>170</v>
      </c>
      <c r="AL345" t="s">
        <v>77</v>
      </c>
      <c r="AM345">
        <f t="shared" si="25"/>
        <v>3</v>
      </c>
      <c r="AN345">
        <f t="shared" si="26"/>
        <v>8</v>
      </c>
      <c r="AO345" t="str">
        <f t="shared" si="27"/>
        <v/>
      </c>
      <c r="AP345" t="str">
        <f t="shared" si="28"/>
        <v/>
      </c>
      <c r="AQ345">
        <f t="shared" si="29"/>
        <v>2021</v>
      </c>
    </row>
    <row r="346" spans="1:43" x14ac:dyDescent="0.35">
      <c r="A346">
        <v>139</v>
      </c>
      <c r="B346">
        <v>37</v>
      </c>
      <c r="C346" t="s">
        <v>148</v>
      </c>
      <c r="D346" t="s">
        <v>164</v>
      </c>
      <c r="E346" t="s">
        <v>4</v>
      </c>
      <c r="F346" t="s">
        <v>36</v>
      </c>
      <c r="G346" t="s">
        <v>43</v>
      </c>
      <c r="H346" t="s">
        <v>82</v>
      </c>
      <c r="I346" t="s">
        <v>42</v>
      </c>
      <c r="J346" t="s">
        <v>161</v>
      </c>
      <c r="K346" t="s">
        <v>44</v>
      </c>
      <c r="L346" t="s">
        <v>147</v>
      </c>
      <c r="M346" t="s">
        <v>50</v>
      </c>
      <c r="N346" t="s">
        <v>96</v>
      </c>
      <c r="O346" t="s">
        <v>41</v>
      </c>
      <c r="P346" t="s">
        <v>148</v>
      </c>
      <c r="Q346">
        <v>14</v>
      </c>
      <c r="R346">
        <v>5</v>
      </c>
      <c r="S346">
        <v>17</v>
      </c>
      <c r="T346">
        <v>0</v>
      </c>
      <c r="U346">
        <v>0</v>
      </c>
      <c r="V346">
        <v>2</v>
      </c>
      <c r="W346">
        <v>100</v>
      </c>
      <c r="X346">
        <v>1040</v>
      </c>
      <c r="Y346">
        <v>15850</v>
      </c>
      <c r="Z346">
        <v>5163</v>
      </c>
      <c r="AA346">
        <v>2</v>
      </c>
      <c r="AB346" s="29">
        <v>44773</v>
      </c>
      <c r="AC346" s="29">
        <v>31515</v>
      </c>
      <c r="AD346" s="29">
        <v>44448</v>
      </c>
      <c r="AE346" s="29"/>
      <c r="AF346">
        <v>1</v>
      </c>
      <c r="AG346" t="s">
        <v>149</v>
      </c>
      <c r="AI346">
        <v>36</v>
      </c>
      <c r="AJ346">
        <v>1</v>
      </c>
      <c r="AK346" t="s">
        <v>170</v>
      </c>
      <c r="AL346" t="s">
        <v>77</v>
      </c>
      <c r="AM346">
        <f t="shared" si="25"/>
        <v>3</v>
      </c>
      <c r="AN346">
        <f t="shared" si="26"/>
        <v>9</v>
      </c>
      <c r="AO346" t="str">
        <f t="shared" si="27"/>
        <v/>
      </c>
      <c r="AP346" t="str">
        <f t="shared" si="28"/>
        <v/>
      </c>
      <c r="AQ346">
        <f t="shared" si="29"/>
        <v>2021</v>
      </c>
    </row>
    <row r="347" spans="1:43" x14ac:dyDescent="0.35">
      <c r="A347">
        <v>1966</v>
      </c>
      <c r="B347">
        <v>32</v>
      </c>
      <c r="C347" t="s">
        <v>148</v>
      </c>
      <c r="D347" t="s">
        <v>145</v>
      </c>
      <c r="E347" t="s">
        <v>4</v>
      </c>
      <c r="F347" t="s">
        <v>37</v>
      </c>
      <c r="G347" t="s">
        <v>44</v>
      </c>
      <c r="H347" t="s">
        <v>82</v>
      </c>
      <c r="I347" t="s">
        <v>42</v>
      </c>
      <c r="J347" t="s">
        <v>165</v>
      </c>
      <c r="K347" t="s">
        <v>44</v>
      </c>
      <c r="L347" t="s">
        <v>152</v>
      </c>
      <c r="M347" t="s">
        <v>49</v>
      </c>
      <c r="N347" t="s">
        <v>95</v>
      </c>
      <c r="P347" t="s">
        <v>148</v>
      </c>
      <c r="Q347">
        <v>24</v>
      </c>
      <c r="R347">
        <v>8</v>
      </c>
      <c r="S347">
        <v>8</v>
      </c>
      <c r="T347">
        <v>0</v>
      </c>
      <c r="U347">
        <v>0</v>
      </c>
      <c r="V347">
        <v>5</v>
      </c>
      <c r="W347">
        <v>56</v>
      </c>
      <c r="X347">
        <v>1373</v>
      </c>
      <c r="Y347">
        <v>10138</v>
      </c>
      <c r="Z347">
        <v>9679</v>
      </c>
      <c r="AA347">
        <v>1</v>
      </c>
      <c r="AB347" s="29">
        <v>44773</v>
      </c>
      <c r="AC347" s="29">
        <v>33276</v>
      </c>
      <c r="AD347" s="29">
        <v>44472</v>
      </c>
      <c r="AE347" s="29"/>
      <c r="AF347">
        <v>1</v>
      </c>
      <c r="AG347" t="s">
        <v>149</v>
      </c>
      <c r="AI347">
        <v>31</v>
      </c>
      <c r="AJ347">
        <v>1</v>
      </c>
      <c r="AK347" t="s">
        <v>170</v>
      </c>
      <c r="AL347" t="s">
        <v>77</v>
      </c>
      <c r="AM347">
        <f t="shared" si="25"/>
        <v>4</v>
      </c>
      <c r="AN347">
        <f t="shared" si="26"/>
        <v>10</v>
      </c>
      <c r="AO347" t="str">
        <f t="shared" si="27"/>
        <v/>
      </c>
      <c r="AP347" t="str">
        <f t="shared" si="28"/>
        <v/>
      </c>
      <c r="AQ347">
        <f t="shared" si="29"/>
        <v>2021</v>
      </c>
    </row>
    <row r="348" spans="1:43" x14ac:dyDescent="0.35">
      <c r="A348">
        <v>477</v>
      </c>
      <c r="B348">
        <v>42</v>
      </c>
      <c r="C348" t="s">
        <v>148</v>
      </c>
      <c r="D348" t="s">
        <v>145</v>
      </c>
      <c r="E348" t="s">
        <v>4</v>
      </c>
      <c r="F348" t="s">
        <v>37</v>
      </c>
      <c r="G348" t="s">
        <v>41</v>
      </c>
      <c r="H348" t="s">
        <v>82</v>
      </c>
      <c r="I348" t="s">
        <v>42</v>
      </c>
      <c r="J348" t="s">
        <v>161</v>
      </c>
      <c r="K348" t="s">
        <v>44</v>
      </c>
      <c r="L348" t="s">
        <v>152</v>
      </c>
      <c r="M348" t="s">
        <v>49</v>
      </c>
      <c r="N348" t="s">
        <v>95</v>
      </c>
      <c r="P348" t="s">
        <v>148</v>
      </c>
      <c r="Q348">
        <v>23</v>
      </c>
      <c r="R348">
        <v>3</v>
      </c>
      <c r="S348">
        <v>14</v>
      </c>
      <c r="T348">
        <v>0</v>
      </c>
      <c r="U348">
        <v>0</v>
      </c>
      <c r="V348">
        <v>2</v>
      </c>
      <c r="W348">
        <v>98</v>
      </c>
      <c r="X348">
        <v>1332</v>
      </c>
      <c r="Y348">
        <v>17078</v>
      </c>
      <c r="Z348">
        <v>6781</v>
      </c>
      <c r="AA348">
        <v>6</v>
      </c>
      <c r="AB348" s="29">
        <v>44773</v>
      </c>
      <c r="AC348" s="29">
        <v>29736</v>
      </c>
      <c r="AD348" s="29">
        <v>44481</v>
      </c>
      <c r="AE348" s="29"/>
      <c r="AF348">
        <v>1</v>
      </c>
      <c r="AG348" t="s">
        <v>153</v>
      </c>
      <c r="AI348">
        <v>41</v>
      </c>
      <c r="AJ348">
        <v>1</v>
      </c>
      <c r="AK348" t="s">
        <v>170</v>
      </c>
      <c r="AL348" t="s">
        <v>77</v>
      </c>
      <c r="AM348">
        <f t="shared" si="25"/>
        <v>4</v>
      </c>
      <c r="AN348">
        <f t="shared" si="26"/>
        <v>10</v>
      </c>
      <c r="AO348" t="str">
        <f t="shared" si="27"/>
        <v/>
      </c>
      <c r="AP348" t="str">
        <f t="shared" si="28"/>
        <v/>
      </c>
      <c r="AQ348">
        <f t="shared" si="29"/>
        <v>2021</v>
      </c>
    </row>
    <row r="349" spans="1:43" x14ac:dyDescent="0.35">
      <c r="A349">
        <v>298</v>
      </c>
      <c r="B349">
        <v>41</v>
      </c>
      <c r="C349" t="s">
        <v>148</v>
      </c>
      <c r="D349" t="s">
        <v>145</v>
      </c>
      <c r="E349" t="s">
        <v>158</v>
      </c>
      <c r="F349" t="s">
        <v>38</v>
      </c>
      <c r="G349" t="s">
        <v>44</v>
      </c>
      <c r="H349" t="s">
        <v>81</v>
      </c>
      <c r="I349" t="s">
        <v>43</v>
      </c>
      <c r="J349" t="s">
        <v>169</v>
      </c>
      <c r="K349" t="s">
        <v>44</v>
      </c>
      <c r="L349" t="s">
        <v>147</v>
      </c>
      <c r="M349" t="s">
        <v>49</v>
      </c>
      <c r="N349" t="s">
        <v>95</v>
      </c>
      <c r="P349" t="s">
        <v>144</v>
      </c>
      <c r="Q349">
        <v>18</v>
      </c>
      <c r="R349">
        <v>3</v>
      </c>
      <c r="S349">
        <v>16</v>
      </c>
      <c r="T349">
        <v>0</v>
      </c>
      <c r="U349">
        <v>0</v>
      </c>
      <c r="V349">
        <v>6</v>
      </c>
      <c r="W349">
        <v>75</v>
      </c>
      <c r="X349">
        <v>896</v>
      </c>
      <c r="Y349">
        <v>14674</v>
      </c>
      <c r="Z349">
        <v>13591</v>
      </c>
      <c r="AA349">
        <v>3</v>
      </c>
      <c r="AB349" s="29">
        <v>44773</v>
      </c>
      <c r="AC349" s="29">
        <v>30091</v>
      </c>
      <c r="AD349" s="29">
        <v>44486</v>
      </c>
      <c r="AE349" s="29"/>
      <c r="AF349">
        <v>1</v>
      </c>
      <c r="AG349" t="s">
        <v>153</v>
      </c>
      <c r="AI349">
        <v>40</v>
      </c>
      <c r="AJ349">
        <v>1</v>
      </c>
      <c r="AK349" t="s">
        <v>170</v>
      </c>
      <c r="AL349" t="s">
        <v>77</v>
      </c>
      <c r="AM349">
        <f t="shared" si="25"/>
        <v>4</v>
      </c>
      <c r="AN349">
        <f t="shared" si="26"/>
        <v>10</v>
      </c>
      <c r="AO349" t="str">
        <f t="shared" si="27"/>
        <v/>
      </c>
      <c r="AP349" t="str">
        <f t="shared" si="28"/>
        <v/>
      </c>
      <c r="AQ349">
        <f t="shared" si="29"/>
        <v>2021</v>
      </c>
    </row>
    <row r="350" spans="1:43" x14ac:dyDescent="0.35">
      <c r="A350">
        <v>634</v>
      </c>
      <c r="B350">
        <v>38</v>
      </c>
      <c r="C350" t="s">
        <v>148</v>
      </c>
      <c r="D350" t="s">
        <v>145</v>
      </c>
      <c r="E350" t="s">
        <v>4</v>
      </c>
      <c r="F350" t="s">
        <v>38</v>
      </c>
      <c r="G350" t="s">
        <v>43</v>
      </c>
      <c r="H350" t="s">
        <v>81</v>
      </c>
      <c r="I350" t="s">
        <v>43</v>
      </c>
      <c r="J350" t="s">
        <v>161</v>
      </c>
      <c r="K350" t="s">
        <v>43</v>
      </c>
      <c r="L350" t="s">
        <v>147</v>
      </c>
      <c r="M350" t="s">
        <v>49</v>
      </c>
      <c r="N350" t="s">
        <v>160</v>
      </c>
      <c r="O350" t="s">
        <v>41</v>
      </c>
      <c r="P350" t="s">
        <v>148</v>
      </c>
      <c r="Q350">
        <v>19</v>
      </c>
      <c r="R350">
        <v>3</v>
      </c>
      <c r="S350">
        <v>18</v>
      </c>
      <c r="T350">
        <v>0</v>
      </c>
      <c r="U350">
        <v>0</v>
      </c>
      <c r="V350">
        <v>10</v>
      </c>
      <c r="W350">
        <v>76</v>
      </c>
      <c r="X350">
        <v>1495</v>
      </c>
      <c r="Y350">
        <v>22174</v>
      </c>
      <c r="Z350">
        <v>9824</v>
      </c>
      <c r="AA350">
        <v>4</v>
      </c>
      <c r="AB350" s="29">
        <v>44773</v>
      </c>
      <c r="AC350" s="29">
        <v>31110</v>
      </c>
      <c r="AD350" s="29">
        <v>44497</v>
      </c>
      <c r="AE350" s="29"/>
      <c r="AF350">
        <v>1</v>
      </c>
      <c r="AG350" t="s">
        <v>149</v>
      </c>
      <c r="AI350">
        <v>37</v>
      </c>
      <c r="AJ350">
        <v>1</v>
      </c>
      <c r="AK350" t="s">
        <v>170</v>
      </c>
      <c r="AL350" t="s">
        <v>78</v>
      </c>
      <c r="AM350">
        <f t="shared" si="25"/>
        <v>4</v>
      </c>
      <c r="AN350">
        <f t="shared" si="26"/>
        <v>10</v>
      </c>
      <c r="AO350" t="str">
        <f t="shared" si="27"/>
        <v/>
      </c>
      <c r="AP350" t="str">
        <f t="shared" si="28"/>
        <v/>
      </c>
      <c r="AQ350">
        <f t="shared" si="29"/>
        <v>2021</v>
      </c>
    </row>
    <row r="351" spans="1:43" x14ac:dyDescent="0.35">
      <c r="A351">
        <v>151</v>
      </c>
      <c r="B351">
        <v>34</v>
      </c>
      <c r="C351" t="s">
        <v>148</v>
      </c>
      <c r="D351" t="s">
        <v>145</v>
      </c>
      <c r="E351" t="s">
        <v>4</v>
      </c>
      <c r="F351" t="s">
        <v>37</v>
      </c>
      <c r="G351" t="s">
        <v>43</v>
      </c>
      <c r="H351" t="s">
        <v>81</v>
      </c>
      <c r="I351" t="s">
        <v>42</v>
      </c>
      <c r="J351" t="s">
        <v>146</v>
      </c>
      <c r="K351" t="s">
        <v>42</v>
      </c>
      <c r="L351" t="s">
        <v>147</v>
      </c>
      <c r="M351" t="s">
        <v>49</v>
      </c>
      <c r="N351" t="s">
        <v>96</v>
      </c>
      <c r="O351" t="s">
        <v>41</v>
      </c>
      <c r="P351" t="s">
        <v>148</v>
      </c>
      <c r="Q351">
        <v>15</v>
      </c>
      <c r="R351">
        <v>6</v>
      </c>
      <c r="S351">
        <v>12</v>
      </c>
      <c r="T351">
        <v>0</v>
      </c>
      <c r="U351">
        <v>0</v>
      </c>
      <c r="V351">
        <v>6</v>
      </c>
      <c r="W351">
        <v>45</v>
      </c>
      <c r="X351">
        <v>1031</v>
      </c>
      <c r="Y351">
        <v>15000</v>
      </c>
      <c r="Z351">
        <v>4505</v>
      </c>
      <c r="AA351">
        <v>3</v>
      </c>
      <c r="AB351" s="29">
        <v>44773</v>
      </c>
      <c r="AC351" s="29">
        <v>32626</v>
      </c>
      <c r="AD351" s="29">
        <v>44501</v>
      </c>
      <c r="AE351" s="29"/>
      <c r="AF351">
        <v>1</v>
      </c>
      <c r="AG351" t="s">
        <v>149</v>
      </c>
      <c r="AI351">
        <v>33</v>
      </c>
      <c r="AJ351">
        <v>2</v>
      </c>
      <c r="AK351" t="s">
        <v>170</v>
      </c>
      <c r="AL351" t="s">
        <v>77</v>
      </c>
      <c r="AM351">
        <f t="shared" si="25"/>
        <v>4</v>
      </c>
      <c r="AN351">
        <f t="shared" si="26"/>
        <v>11</v>
      </c>
      <c r="AO351" t="str">
        <f t="shared" si="27"/>
        <v/>
      </c>
      <c r="AP351" t="str">
        <f t="shared" si="28"/>
        <v/>
      </c>
      <c r="AQ351">
        <f t="shared" si="29"/>
        <v>2021</v>
      </c>
    </row>
    <row r="352" spans="1:43" x14ac:dyDescent="0.35">
      <c r="A352">
        <v>487</v>
      </c>
      <c r="B352">
        <v>46</v>
      </c>
      <c r="C352" t="s">
        <v>148</v>
      </c>
      <c r="D352" t="s">
        <v>164</v>
      </c>
      <c r="E352" t="s">
        <v>4</v>
      </c>
      <c r="F352" t="s">
        <v>37</v>
      </c>
      <c r="G352" t="s">
        <v>43</v>
      </c>
      <c r="H352" t="s">
        <v>81</v>
      </c>
      <c r="I352" t="s">
        <v>43</v>
      </c>
      <c r="J352" t="s">
        <v>165</v>
      </c>
      <c r="K352" t="s">
        <v>43</v>
      </c>
      <c r="L352" t="s">
        <v>147</v>
      </c>
      <c r="M352" t="s">
        <v>50</v>
      </c>
      <c r="N352" t="s">
        <v>160</v>
      </c>
      <c r="P352" t="s">
        <v>148</v>
      </c>
      <c r="Q352">
        <v>14</v>
      </c>
      <c r="R352">
        <v>2</v>
      </c>
      <c r="S352">
        <v>7</v>
      </c>
      <c r="T352">
        <v>0</v>
      </c>
      <c r="U352">
        <v>0</v>
      </c>
      <c r="V352">
        <v>7</v>
      </c>
      <c r="W352">
        <v>30</v>
      </c>
      <c r="X352">
        <v>1144</v>
      </c>
      <c r="Y352">
        <v>16044</v>
      </c>
      <c r="Z352">
        <v>5258</v>
      </c>
      <c r="AA352">
        <v>2</v>
      </c>
      <c r="AB352" s="29">
        <v>44773</v>
      </c>
      <c r="AC352" s="29">
        <v>28268</v>
      </c>
      <c r="AD352" s="29">
        <v>44507</v>
      </c>
      <c r="AE352" s="29"/>
      <c r="AF352">
        <v>1</v>
      </c>
      <c r="AG352" t="s">
        <v>153</v>
      </c>
      <c r="AI352">
        <v>45</v>
      </c>
      <c r="AJ352">
        <v>1</v>
      </c>
      <c r="AK352" t="s">
        <v>170</v>
      </c>
      <c r="AL352" t="s">
        <v>77</v>
      </c>
      <c r="AM352">
        <f t="shared" si="25"/>
        <v>4</v>
      </c>
      <c r="AN352">
        <f t="shared" si="26"/>
        <v>11</v>
      </c>
      <c r="AO352" t="str">
        <f t="shared" si="27"/>
        <v/>
      </c>
      <c r="AP352" t="str">
        <f t="shared" si="28"/>
        <v/>
      </c>
      <c r="AQ352">
        <f t="shared" si="29"/>
        <v>2021</v>
      </c>
    </row>
    <row r="353" spans="1:43" x14ac:dyDescent="0.35">
      <c r="A353">
        <v>1847</v>
      </c>
      <c r="B353">
        <v>36</v>
      </c>
      <c r="C353" t="s">
        <v>148</v>
      </c>
      <c r="D353" t="s">
        <v>145</v>
      </c>
      <c r="E353" t="s">
        <v>4</v>
      </c>
      <c r="F353" t="s">
        <v>37</v>
      </c>
      <c r="G353" t="s">
        <v>44</v>
      </c>
      <c r="H353" t="s">
        <v>81</v>
      </c>
      <c r="I353" t="s">
        <v>43</v>
      </c>
      <c r="J353" t="s">
        <v>146</v>
      </c>
      <c r="K353" t="s">
        <v>42</v>
      </c>
      <c r="L353" t="s">
        <v>152</v>
      </c>
      <c r="M353" t="s">
        <v>49</v>
      </c>
      <c r="N353" t="s">
        <v>160</v>
      </c>
      <c r="O353" t="s">
        <v>41</v>
      </c>
      <c r="P353" t="s">
        <v>144</v>
      </c>
      <c r="Q353">
        <v>22</v>
      </c>
      <c r="R353">
        <v>4</v>
      </c>
      <c r="S353">
        <v>15</v>
      </c>
      <c r="T353">
        <v>0</v>
      </c>
      <c r="U353">
        <v>0</v>
      </c>
      <c r="V353">
        <v>2</v>
      </c>
      <c r="W353">
        <v>73</v>
      </c>
      <c r="X353">
        <v>430</v>
      </c>
      <c r="Y353">
        <v>19573</v>
      </c>
      <c r="Z353">
        <v>6962</v>
      </c>
      <c r="AA353">
        <v>2</v>
      </c>
      <c r="AB353" s="29">
        <v>44773</v>
      </c>
      <c r="AC353" s="29">
        <v>31720</v>
      </c>
      <c r="AD353" s="29">
        <v>44507</v>
      </c>
      <c r="AE353" s="29"/>
      <c r="AF353">
        <v>1</v>
      </c>
      <c r="AG353" t="s">
        <v>149</v>
      </c>
      <c r="AI353">
        <v>35</v>
      </c>
      <c r="AJ353">
        <v>2</v>
      </c>
      <c r="AK353" t="s">
        <v>170</v>
      </c>
      <c r="AL353" t="s">
        <v>77</v>
      </c>
      <c r="AM353">
        <f t="shared" si="25"/>
        <v>4</v>
      </c>
      <c r="AN353">
        <f t="shared" si="26"/>
        <v>11</v>
      </c>
      <c r="AO353" t="str">
        <f t="shared" si="27"/>
        <v/>
      </c>
      <c r="AP353" t="str">
        <f t="shared" si="28"/>
        <v/>
      </c>
      <c r="AQ353">
        <f t="shared" si="29"/>
        <v>2021</v>
      </c>
    </row>
    <row r="354" spans="1:43" x14ac:dyDescent="0.35">
      <c r="A354">
        <v>868</v>
      </c>
      <c r="B354">
        <v>37</v>
      </c>
      <c r="C354" t="s">
        <v>148</v>
      </c>
      <c r="D354" t="s">
        <v>145</v>
      </c>
      <c r="E354" t="s">
        <v>158</v>
      </c>
      <c r="F354" t="s">
        <v>37</v>
      </c>
      <c r="G354" t="s">
        <v>44</v>
      </c>
      <c r="H354" t="s">
        <v>82</v>
      </c>
      <c r="I354" t="s">
        <v>42</v>
      </c>
      <c r="J354" t="s">
        <v>159</v>
      </c>
      <c r="K354" t="s">
        <v>43</v>
      </c>
      <c r="L354" t="s">
        <v>147</v>
      </c>
      <c r="M354" t="s">
        <v>49</v>
      </c>
      <c r="N354" t="s">
        <v>96</v>
      </c>
      <c r="O354" t="s">
        <v>156</v>
      </c>
      <c r="P354" t="s">
        <v>148</v>
      </c>
      <c r="Q354">
        <v>19</v>
      </c>
      <c r="R354">
        <v>4</v>
      </c>
      <c r="S354">
        <v>9</v>
      </c>
      <c r="T354">
        <v>0</v>
      </c>
      <c r="U354">
        <v>0</v>
      </c>
      <c r="V354">
        <v>16</v>
      </c>
      <c r="W354">
        <v>66</v>
      </c>
      <c r="X354">
        <v>342</v>
      </c>
      <c r="Y354">
        <v>24558</v>
      </c>
      <c r="Z354">
        <v>6334</v>
      </c>
      <c r="AA354">
        <v>2</v>
      </c>
      <c r="AB354" s="29">
        <v>44773</v>
      </c>
      <c r="AC354" s="29">
        <v>31602</v>
      </c>
      <c r="AD354" s="29">
        <v>44510</v>
      </c>
      <c r="AE354" s="29"/>
      <c r="AF354">
        <v>1</v>
      </c>
      <c r="AG354" t="s">
        <v>149</v>
      </c>
      <c r="AI354">
        <v>36</v>
      </c>
      <c r="AJ354">
        <v>2</v>
      </c>
      <c r="AK354" t="s">
        <v>170</v>
      </c>
      <c r="AL354" t="s">
        <v>77</v>
      </c>
      <c r="AM354">
        <f t="shared" si="25"/>
        <v>4</v>
      </c>
      <c r="AN354">
        <f t="shared" si="26"/>
        <v>11</v>
      </c>
      <c r="AO354" t="str">
        <f t="shared" si="27"/>
        <v/>
      </c>
      <c r="AP354" t="str">
        <f t="shared" si="28"/>
        <v/>
      </c>
      <c r="AQ354">
        <f t="shared" si="29"/>
        <v>2021</v>
      </c>
    </row>
    <row r="355" spans="1:43" x14ac:dyDescent="0.35">
      <c r="A355">
        <v>1256</v>
      </c>
      <c r="B355">
        <v>49</v>
      </c>
      <c r="C355" t="s">
        <v>148</v>
      </c>
      <c r="D355" t="s">
        <v>145</v>
      </c>
      <c r="E355" t="s">
        <v>4</v>
      </c>
      <c r="F355" t="s">
        <v>36</v>
      </c>
      <c r="G355" t="s">
        <v>41</v>
      </c>
      <c r="H355" t="s">
        <v>82</v>
      </c>
      <c r="I355" t="s">
        <v>42</v>
      </c>
      <c r="J355" t="s">
        <v>169</v>
      </c>
      <c r="K355" t="s">
        <v>43</v>
      </c>
      <c r="L355" t="s">
        <v>48</v>
      </c>
      <c r="M355" t="s">
        <v>50</v>
      </c>
      <c r="N355" t="s">
        <v>160</v>
      </c>
      <c r="O355" t="s">
        <v>41</v>
      </c>
      <c r="P355" t="s">
        <v>148</v>
      </c>
      <c r="Q355">
        <v>13</v>
      </c>
      <c r="R355">
        <v>2</v>
      </c>
      <c r="S355">
        <v>23</v>
      </c>
      <c r="T355">
        <v>0</v>
      </c>
      <c r="U355">
        <v>0</v>
      </c>
      <c r="V355">
        <v>4</v>
      </c>
      <c r="W355">
        <v>85</v>
      </c>
      <c r="X355">
        <v>1098</v>
      </c>
      <c r="Y355">
        <v>12124</v>
      </c>
      <c r="Z355">
        <v>18711</v>
      </c>
      <c r="AA355">
        <v>2</v>
      </c>
      <c r="AB355" s="29">
        <v>44773</v>
      </c>
      <c r="AC355" s="29">
        <v>27222</v>
      </c>
      <c r="AD355" s="29">
        <v>44528</v>
      </c>
      <c r="AE355" s="29"/>
      <c r="AF355">
        <v>1</v>
      </c>
      <c r="AG355" t="s">
        <v>153</v>
      </c>
      <c r="AI355">
        <v>48</v>
      </c>
      <c r="AJ355">
        <v>1</v>
      </c>
      <c r="AK355" t="s">
        <v>170</v>
      </c>
      <c r="AL355" t="s">
        <v>77</v>
      </c>
      <c r="AM355">
        <f t="shared" si="25"/>
        <v>4</v>
      </c>
      <c r="AN355">
        <f t="shared" si="26"/>
        <v>11</v>
      </c>
      <c r="AO355" t="str">
        <f t="shared" si="27"/>
        <v/>
      </c>
      <c r="AP355" t="str">
        <f t="shared" si="28"/>
        <v/>
      </c>
      <c r="AQ355">
        <f t="shared" si="29"/>
        <v>2021</v>
      </c>
    </row>
    <row r="356" spans="1:43" x14ac:dyDescent="0.35">
      <c r="A356">
        <v>920</v>
      </c>
      <c r="B356">
        <v>43</v>
      </c>
      <c r="C356" t="s">
        <v>148</v>
      </c>
      <c r="D356" t="s">
        <v>145</v>
      </c>
      <c r="E356" t="s">
        <v>4</v>
      </c>
      <c r="F356" t="s">
        <v>38</v>
      </c>
      <c r="G356" t="s">
        <v>41</v>
      </c>
      <c r="H356" t="s">
        <v>81</v>
      </c>
      <c r="I356" t="s">
        <v>43</v>
      </c>
      <c r="J356" t="s">
        <v>165</v>
      </c>
      <c r="K356" t="s">
        <v>42</v>
      </c>
      <c r="L356" t="s">
        <v>152</v>
      </c>
      <c r="M356" t="s">
        <v>50</v>
      </c>
      <c r="N356" t="s">
        <v>96</v>
      </c>
      <c r="O356" t="s">
        <v>41</v>
      </c>
      <c r="P356" t="s">
        <v>148</v>
      </c>
      <c r="Q356">
        <v>21</v>
      </c>
      <c r="R356">
        <v>4</v>
      </c>
      <c r="S356">
        <v>4</v>
      </c>
      <c r="T356">
        <v>0</v>
      </c>
      <c r="U356">
        <v>0</v>
      </c>
      <c r="V356">
        <v>8</v>
      </c>
      <c r="W356">
        <v>55</v>
      </c>
      <c r="X356">
        <v>177</v>
      </c>
      <c r="Y356">
        <v>23814</v>
      </c>
      <c r="Z356">
        <v>4765</v>
      </c>
      <c r="AA356">
        <v>2</v>
      </c>
      <c r="AB356" s="29">
        <v>44773</v>
      </c>
      <c r="AC356" s="29">
        <v>29244</v>
      </c>
      <c r="AD356" s="29">
        <v>44540</v>
      </c>
      <c r="AE356" s="29"/>
      <c r="AF356">
        <v>1</v>
      </c>
      <c r="AG356" t="s">
        <v>153</v>
      </c>
      <c r="AI356">
        <v>42</v>
      </c>
      <c r="AJ356">
        <v>1</v>
      </c>
      <c r="AK356" t="s">
        <v>170</v>
      </c>
      <c r="AL356" t="s">
        <v>77</v>
      </c>
      <c r="AM356">
        <f t="shared" si="25"/>
        <v>4</v>
      </c>
      <c r="AN356">
        <f t="shared" si="26"/>
        <v>12</v>
      </c>
      <c r="AO356" t="str">
        <f t="shared" si="27"/>
        <v/>
      </c>
      <c r="AP356" t="str">
        <f t="shared" si="28"/>
        <v/>
      </c>
      <c r="AQ356">
        <f t="shared" si="29"/>
        <v>2021</v>
      </c>
    </row>
    <row r="357" spans="1:43" x14ac:dyDescent="0.35">
      <c r="A357">
        <v>1076</v>
      </c>
      <c r="B357">
        <v>43</v>
      </c>
      <c r="C357" t="s">
        <v>148</v>
      </c>
      <c r="D357" t="s">
        <v>145</v>
      </c>
      <c r="E357" t="s">
        <v>158</v>
      </c>
      <c r="F357" t="s">
        <v>38</v>
      </c>
      <c r="G357" t="s">
        <v>43</v>
      </c>
      <c r="H357" t="s">
        <v>82</v>
      </c>
      <c r="I357" t="s">
        <v>42</v>
      </c>
      <c r="J357" t="s">
        <v>159</v>
      </c>
      <c r="K357" t="s">
        <v>44</v>
      </c>
      <c r="L357" t="s">
        <v>147</v>
      </c>
      <c r="M357" t="s">
        <v>49</v>
      </c>
      <c r="N357" t="s">
        <v>96</v>
      </c>
      <c r="O357" t="s">
        <v>41</v>
      </c>
      <c r="P357" t="s">
        <v>148</v>
      </c>
      <c r="Q357">
        <v>13</v>
      </c>
      <c r="R357">
        <v>5</v>
      </c>
      <c r="S357">
        <v>18</v>
      </c>
      <c r="T357">
        <v>0</v>
      </c>
      <c r="U357">
        <v>0</v>
      </c>
      <c r="V357">
        <v>25</v>
      </c>
      <c r="W357">
        <v>79</v>
      </c>
      <c r="X357">
        <v>415</v>
      </c>
      <c r="Y357">
        <v>5268</v>
      </c>
      <c r="Z357">
        <v>10798</v>
      </c>
      <c r="AA357">
        <v>5</v>
      </c>
      <c r="AB357" s="29">
        <v>44773</v>
      </c>
      <c r="AC357" s="29">
        <v>29318</v>
      </c>
      <c r="AD357" s="29">
        <v>44545</v>
      </c>
      <c r="AE357" s="29"/>
      <c r="AF357">
        <v>1</v>
      </c>
      <c r="AG357" t="s">
        <v>153</v>
      </c>
      <c r="AI357">
        <v>42</v>
      </c>
      <c r="AJ357">
        <v>1</v>
      </c>
      <c r="AK357" t="s">
        <v>170</v>
      </c>
      <c r="AL357" t="s">
        <v>77</v>
      </c>
      <c r="AM357">
        <f t="shared" si="25"/>
        <v>4</v>
      </c>
      <c r="AN357">
        <f t="shared" si="26"/>
        <v>12</v>
      </c>
      <c r="AO357" t="str">
        <f t="shared" si="27"/>
        <v/>
      </c>
      <c r="AP357" t="str">
        <f t="shared" si="28"/>
        <v/>
      </c>
      <c r="AQ357">
        <f t="shared" si="29"/>
        <v>2021</v>
      </c>
    </row>
    <row r="358" spans="1:43" x14ac:dyDescent="0.35">
      <c r="A358">
        <v>211</v>
      </c>
      <c r="B358">
        <v>51</v>
      </c>
      <c r="C358" t="s">
        <v>148</v>
      </c>
      <c r="D358" t="s">
        <v>145</v>
      </c>
      <c r="E358" t="s">
        <v>4</v>
      </c>
      <c r="F358" t="s">
        <v>37</v>
      </c>
      <c r="G358" t="s">
        <v>42</v>
      </c>
      <c r="H358" t="s">
        <v>82</v>
      </c>
      <c r="I358" t="s">
        <v>42</v>
      </c>
      <c r="J358" t="s">
        <v>165</v>
      </c>
      <c r="K358" t="s">
        <v>43</v>
      </c>
      <c r="L358" t="s">
        <v>147</v>
      </c>
      <c r="M358" t="s">
        <v>49</v>
      </c>
      <c r="N358" t="s">
        <v>160</v>
      </c>
      <c r="P358" t="s">
        <v>148</v>
      </c>
      <c r="Q358">
        <v>17</v>
      </c>
      <c r="R358">
        <v>2</v>
      </c>
      <c r="S358">
        <v>10</v>
      </c>
      <c r="T358">
        <v>0</v>
      </c>
      <c r="U358">
        <v>0</v>
      </c>
      <c r="V358">
        <v>7</v>
      </c>
      <c r="W358">
        <v>34</v>
      </c>
      <c r="X358">
        <v>1169</v>
      </c>
      <c r="Y358">
        <v>13983</v>
      </c>
      <c r="Z358">
        <v>6132</v>
      </c>
      <c r="AA358">
        <v>2</v>
      </c>
      <c r="AB358" s="29">
        <v>44773</v>
      </c>
      <c r="AC358" s="29">
        <v>26461</v>
      </c>
      <c r="AD358" s="29">
        <v>44548</v>
      </c>
      <c r="AE358" s="29"/>
      <c r="AF358">
        <v>1</v>
      </c>
      <c r="AG358" t="s">
        <v>167</v>
      </c>
      <c r="AI358">
        <v>50</v>
      </c>
      <c r="AJ358">
        <v>1</v>
      </c>
      <c r="AK358" t="s">
        <v>170</v>
      </c>
      <c r="AL358" t="s">
        <v>77</v>
      </c>
      <c r="AM358">
        <f t="shared" si="25"/>
        <v>4</v>
      </c>
      <c r="AN358">
        <f t="shared" si="26"/>
        <v>12</v>
      </c>
      <c r="AO358" t="str">
        <f t="shared" si="27"/>
        <v/>
      </c>
      <c r="AP358" t="str">
        <f t="shared" si="28"/>
        <v/>
      </c>
      <c r="AQ358">
        <f t="shared" si="29"/>
        <v>2021</v>
      </c>
    </row>
    <row r="359" spans="1:43" x14ac:dyDescent="0.35">
      <c r="A359">
        <v>1105</v>
      </c>
      <c r="B359">
        <v>37</v>
      </c>
      <c r="C359" t="s">
        <v>148</v>
      </c>
      <c r="D359" t="s">
        <v>145</v>
      </c>
      <c r="E359" t="s">
        <v>158</v>
      </c>
      <c r="F359" t="s">
        <v>37</v>
      </c>
      <c r="G359" t="s">
        <v>44</v>
      </c>
      <c r="H359" t="s">
        <v>81</v>
      </c>
      <c r="I359" t="s">
        <v>42</v>
      </c>
      <c r="J359" t="s">
        <v>159</v>
      </c>
      <c r="K359" t="s">
        <v>44</v>
      </c>
      <c r="L359" t="s">
        <v>147</v>
      </c>
      <c r="M359" t="s">
        <v>49</v>
      </c>
      <c r="N359" t="s">
        <v>96</v>
      </c>
      <c r="O359" t="s">
        <v>43</v>
      </c>
      <c r="P359" t="s">
        <v>144</v>
      </c>
      <c r="Q359">
        <v>14</v>
      </c>
      <c r="R359">
        <v>2</v>
      </c>
      <c r="S359">
        <v>8</v>
      </c>
      <c r="T359">
        <v>0</v>
      </c>
      <c r="U359">
        <v>0</v>
      </c>
      <c r="V359">
        <v>10</v>
      </c>
      <c r="W359">
        <v>88</v>
      </c>
      <c r="X359">
        <v>309</v>
      </c>
      <c r="Y359">
        <v>24223</v>
      </c>
      <c r="Z359">
        <v>6694</v>
      </c>
      <c r="AA359">
        <v>5</v>
      </c>
      <c r="AB359" s="29">
        <v>44773</v>
      </c>
      <c r="AC359" s="29">
        <v>31564</v>
      </c>
      <c r="AD359" s="29">
        <v>44553</v>
      </c>
      <c r="AE359" s="29"/>
      <c r="AF359">
        <v>1</v>
      </c>
      <c r="AG359" t="s">
        <v>149</v>
      </c>
      <c r="AI359">
        <v>36</v>
      </c>
      <c r="AJ359">
        <v>2</v>
      </c>
      <c r="AK359" t="s">
        <v>170</v>
      </c>
      <c r="AL359" t="s">
        <v>77</v>
      </c>
      <c r="AM359">
        <f t="shared" si="25"/>
        <v>4</v>
      </c>
      <c r="AN359">
        <f t="shared" si="26"/>
        <v>12</v>
      </c>
      <c r="AO359" t="str">
        <f t="shared" si="27"/>
        <v/>
      </c>
      <c r="AP359" t="str">
        <f t="shared" si="28"/>
        <v/>
      </c>
      <c r="AQ359">
        <f t="shared" si="29"/>
        <v>2021</v>
      </c>
    </row>
    <row r="360" spans="1:43" x14ac:dyDescent="0.35">
      <c r="A360">
        <v>1938</v>
      </c>
      <c r="B360">
        <v>58</v>
      </c>
      <c r="C360" t="s">
        <v>148</v>
      </c>
      <c r="D360" t="s">
        <v>145</v>
      </c>
      <c r="E360" t="s">
        <v>158</v>
      </c>
      <c r="F360" t="s">
        <v>38</v>
      </c>
      <c r="G360" t="s">
        <v>44</v>
      </c>
      <c r="H360" t="s">
        <v>81</v>
      </c>
      <c r="I360" t="s">
        <v>43</v>
      </c>
      <c r="J360" t="s">
        <v>169</v>
      </c>
      <c r="K360" t="s">
        <v>44</v>
      </c>
      <c r="L360" t="s">
        <v>147</v>
      </c>
      <c r="M360" t="s">
        <v>48</v>
      </c>
      <c r="N360" t="s">
        <v>160</v>
      </c>
      <c r="O360" t="s">
        <v>41</v>
      </c>
      <c r="P360" t="s">
        <v>144</v>
      </c>
      <c r="Q360">
        <v>13</v>
      </c>
      <c r="R360">
        <v>4</v>
      </c>
      <c r="S360">
        <v>29</v>
      </c>
      <c r="T360">
        <v>0</v>
      </c>
      <c r="U360">
        <v>0</v>
      </c>
      <c r="V360">
        <v>21</v>
      </c>
      <c r="W360">
        <v>72</v>
      </c>
      <c r="X360">
        <v>605</v>
      </c>
      <c r="Y360">
        <v>11761</v>
      </c>
      <c r="Z360">
        <v>17875</v>
      </c>
      <c r="AA360">
        <v>2</v>
      </c>
      <c r="AB360" s="29">
        <v>44773</v>
      </c>
      <c r="AC360" s="29">
        <v>23629</v>
      </c>
      <c r="AD360" s="29">
        <v>44554</v>
      </c>
      <c r="AE360" s="29"/>
      <c r="AF360">
        <v>1</v>
      </c>
      <c r="AG360" t="s">
        <v>167</v>
      </c>
      <c r="AI360">
        <v>57</v>
      </c>
      <c r="AJ360">
        <v>1</v>
      </c>
      <c r="AK360" t="s">
        <v>170</v>
      </c>
      <c r="AL360" t="s">
        <v>77</v>
      </c>
      <c r="AM360">
        <f t="shared" si="25"/>
        <v>4</v>
      </c>
      <c r="AN360">
        <f t="shared" si="26"/>
        <v>12</v>
      </c>
      <c r="AO360" t="str">
        <f t="shared" si="27"/>
        <v/>
      </c>
      <c r="AP360" t="str">
        <f t="shared" si="28"/>
        <v/>
      </c>
      <c r="AQ360">
        <f t="shared" si="29"/>
        <v>2021</v>
      </c>
    </row>
    <row r="361" spans="1:43" x14ac:dyDescent="0.35">
      <c r="A361">
        <v>1029</v>
      </c>
      <c r="B361">
        <v>42</v>
      </c>
      <c r="C361" t="s">
        <v>148</v>
      </c>
      <c r="D361" t="s">
        <v>145</v>
      </c>
      <c r="E361" t="s">
        <v>158</v>
      </c>
      <c r="F361" t="s">
        <v>36</v>
      </c>
      <c r="G361" t="s">
        <v>44</v>
      </c>
      <c r="H361" t="s">
        <v>82</v>
      </c>
      <c r="I361" t="s">
        <v>43</v>
      </c>
      <c r="J361" t="s">
        <v>169</v>
      </c>
      <c r="K361" t="s">
        <v>43</v>
      </c>
      <c r="L361" t="s">
        <v>147</v>
      </c>
      <c r="M361" t="s">
        <v>50</v>
      </c>
      <c r="N361" t="s">
        <v>160</v>
      </c>
      <c r="P361" t="s">
        <v>148</v>
      </c>
      <c r="Q361">
        <v>13</v>
      </c>
      <c r="R361">
        <v>6</v>
      </c>
      <c r="S361">
        <v>21</v>
      </c>
      <c r="T361">
        <v>0</v>
      </c>
      <c r="U361">
        <v>0</v>
      </c>
      <c r="V361">
        <v>5</v>
      </c>
      <c r="W361">
        <v>90</v>
      </c>
      <c r="X361">
        <v>265</v>
      </c>
      <c r="Y361">
        <v>7770</v>
      </c>
      <c r="Z361">
        <v>18303</v>
      </c>
      <c r="AA361">
        <v>3</v>
      </c>
      <c r="AB361" s="29">
        <v>44773</v>
      </c>
      <c r="AC361" s="29">
        <v>29711</v>
      </c>
      <c r="AD361" s="29">
        <v>44559</v>
      </c>
      <c r="AE361" s="29"/>
      <c r="AF361">
        <v>1</v>
      </c>
      <c r="AG361" t="s">
        <v>153</v>
      </c>
      <c r="AI361">
        <v>41</v>
      </c>
      <c r="AJ361">
        <v>1</v>
      </c>
      <c r="AK361" t="s">
        <v>170</v>
      </c>
      <c r="AL361" t="s">
        <v>77</v>
      </c>
      <c r="AM361">
        <f t="shared" si="25"/>
        <v>4</v>
      </c>
      <c r="AN361">
        <f t="shared" si="26"/>
        <v>12</v>
      </c>
      <c r="AO361" t="str">
        <f t="shared" si="27"/>
        <v/>
      </c>
      <c r="AP361" t="str">
        <f t="shared" si="28"/>
        <v/>
      </c>
      <c r="AQ361">
        <f t="shared" si="29"/>
        <v>2021</v>
      </c>
    </row>
    <row r="362" spans="1:43" x14ac:dyDescent="0.35">
      <c r="A362">
        <v>1180</v>
      </c>
      <c r="B362">
        <v>40</v>
      </c>
      <c r="C362" t="s">
        <v>148</v>
      </c>
      <c r="D362" t="s">
        <v>151</v>
      </c>
      <c r="E362" t="s">
        <v>4</v>
      </c>
      <c r="F362" t="s">
        <v>36</v>
      </c>
      <c r="G362" t="s">
        <v>43</v>
      </c>
      <c r="H362" t="s">
        <v>81</v>
      </c>
      <c r="I362" t="s">
        <v>42</v>
      </c>
      <c r="J362" t="s">
        <v>146</v>
      </c>
      <c r="K362" t="s">
        <v>44</v>
      </c>
      <c r="L362" t="s">
        <v>147</v>
      </c>
      <c r="M362" t="s">
        <v>47</v>
      </c>
      <c r="N362" t="s">
        <v>160</v>
      </c>
      <c r="O362" t="s">
        <v>41</v>
      </c>
      <c r="P362" t="s">
        <v>144</v>
      </c>
      <c r="Q362">
        <v>13</v>
      </c>
      <c r="R362">
        <v>3</v>
      </c>
      <c r="S362">
        <v>16</v>
      </c>
      <c r="T362">
        <v>0</v>
      </c>
      <c r="U362">
        <v>0</v>
      </c>
      <c r="V362">
        <v>26</v>
      </c>
      <c r="W362">
        <v>92</v>
      </c>
      <c r="X362">
        <v>902</v>
      </c>
      <c r="Y362">
        <v>21203</v>
      </c>
      <c r="Z362">
        <v>4422</v>
      </c>
      <c r="AA362">
        <v>3</v>
      </c>
      <c r="AB362" s="29">
        <v>44773</v>
      </c>
      <c r="AC362" s="29">
        <v>30309</v>
      </c>
      <c r="AD362" s="29">
        <v>44564</v>
      </c>
      <c r="AE362" s="29"/>
      <c r="AF362">
        <v>1</v>
      </c>
      <c r="AG362" t="s">
        <v>153</v>
      </c>
      <c r="AI362">
        <v>39</v>
      </c>
      <c r="AJ362">
        <v>1</v>
      </c>
      <c r="AK362" t="s">
        <v>170</v>
      </c>
      <c r="AL362" t="s">
        <v>78</v>
      </c>
      <c r="AM362">
        <f t="shared" si="25"/>
        <v>1</v>
      </c>
      <c r="AN362">
        <f t="shared" si="26"/>
        <v>1</v>
      </c>
      <c r="AO362" t="str">
        <f t="shared" si="27"/>
        <v/>
      </c>
      <c r="AP362" t="str">
        <f t="shared" si="28"/>
        <v/>
      </c>
      <c r="AQ362">
        <f t="shared" si="29"/>
        <v>2022</v>
      </c>
    </row>
    <row r="363" spans="1:43" x14ac:dyDescent="0.35">
      <c r="A363">
        <v>1803</v>
      </c>
      <c r="B363">
        <v>42</v>
      </c>
      <c r="C363" t="s">
        <v>148</v>
      </c>
      <c r="D363" t="s">
        <v>145</v>
      </c>
      <c r="E363" t="s">
        <v>4</v>
      </c>
      <c r="F363" t="s">
        <v>38</v>
      </c>
      <c r="G363" t="s">
        <v>42</v>
      </c>
      <c r="H363" t="s">
        <v>82</v>
      </c>
      <c r="I363" t="s">
        <v>44</v>
      </c>
      <c r="J363" t="s">
        <v>161</v>
      </c>
      <c r="K363" t="s">
        <v>41</v>
      </c>
      <c r="L363" t="s">
        <v>48</v>
      </c>
      <c r="M363" t="s">
        <v>48</v>
      </c>
      <c r="N363" t="s">
        <v>160</v>
      </c>
      <c r="O363" t="s">
        <v>156</v>
      </c>
      <c r="P363" t="s">
        <v>148</v>
      </c>
      <c r="Q363">
        <v>18</v>
      </c>
      <c r="R363">
        <v>5</v>
      </c>
      <c r="S363">
        <v>10</v>
      </c>
      <c r="T363">
        <v>0</v>
      </c>
      <c r="U363">
        <v>0</v>
      </c>
      <c r="V363">
        <v>13</v>
      </c>
      <c r="W363">
        <v>95</v>
      </c>
      <c r="X363">
        <v>1128</v>
      </c>
      <c r="Y363">
        <v>5696</v>
      </c>
      <c r="Z363">
        <v>5538</v>
      </c>
      <c r="AA363">
        <v>2</v>
      </c>
      <c r="AB363" s="29">
        <v>44773</v>
      </c>
      <c r="AC363" s="29">
        <v>29550</v>
      </c>
      <c r="AD363" s="29">
        <v>44567</v>
      </c>
      <c r="AE363" s="29"/>
      <c r="AF363">
        <v>1</v>
      </c>
      <c r="AG363" t="s">
        <v>153</v>
      </c>
      <c r="AI363">
        <v>41</v>
      </c>
      <c r="AJ363">
        <v>1</v>
      </c>
      <c r="AK363" t="s">
        <v>170</v>
      </c>
      <c r="AL363" t="s">
        <v>77</v>
      </c>
      <c r="AM363">
        <f t="shared" si="25"/>
        <v>1</v>
      </c>
      <c r="AN363">
        <f t="shared" si="26"/>
        <v>1</v>
      </c>
      <c r="AO363" t="str">
        <f t="shared" si="27"/>
        <v/>
      </c>
      <c r="AP363" t="str">
        <f t="shared" si="28"/>
        <v/>
      </c>
      <c r="AQ363">
        <f t="shared" si="29"/>
        <v>2022</v>
      </c>
    </row>
    <row r="364" spans="1:43" x14ac:dyDescent="0.35">
      <c r="A364">
        <v>743</v>
      </c>
      <c r="B364">
        <v>38</v>
      </c>
      <c r="C364" t="s">
        <v>148</v>
      </c>
      <c r="D364" t="s">
        <v>145</v>
      </c>
      <c r="E364" t="s">
        <v>4</v>
      </c>
      <c r="F364" t="s">
        <v>38</v>
      </c>
      <c r="G364" t="s">
        <v>43</v>
      </c>
      <c r="H364" t="s">
        <v>81</v>
      </c>
      <c r="I364" t="s">
        <v>43</v>
      </c>
      <c r="J364" t="s">
        <v>165</v>
      </c>
      <c r="K364" t="s">
        <v>43</v>
      </c>
      <c r="L364" t="s">
        <v>147</v>
      </c>
      <c r="M364" t="s">
        <v>50</v>
      </c>
      <c r="N364" t="s">
        <v>95</v>
      </c>
      <c r="P364" t="s">
        <v>144</v>
      </c>
      <c r="Q364">
        <v>14</v>
      </c>
      <c r="R364">
        <v>4</v>
      </c>
      <c r="S364">
        <v>10</v>
      </c>
      <c r="T364">
        <v>0</v>
      </c>
      <c r="U364">
        <v>0</v>
      </c>
      <c r="V364">
        <v>1</v>
      </c>
      <c r="W364">
        <v>81</v>
      </c>
      <c r="X364">
        <v>168</v>
      </c>
      <c r="Y364">
        <v>15397</v>
      </c>
      <c r="Z364">
        <v>7861</v>
      </c>
      <c r="AA364">
        <v>4</v>
      </c>
      <c r="AB364" s="29">
        <v>44773</v>
      </c>
      <c r="AC364" s="29">
        <v>30910</v>
      </c>
      <c r="AD364" s="29">
        <v>44573</v>
      </c>
      <c r="AE364" s="29"/>
      <c r="AF364">
        <v>1</v>
      </c>
      <c r="AG364" t="s">
        <v>149</v>
      </c>
      <c r="AI364">
        <v>37</v>
      </c>
      <c r="AJ364">
        <v>1</v>
      </c>
      <c r="AK364" t="s">
        <v>170</v>
      </c>
      <c r="AL364" t="s">
        <v>78</v>
      </c>
      <c r="AM364">
        <f t="shared" si="25"/>
        <v>1</v>
      </c>
      <c r="AN364">
        <f t="shared" si="26"/>
        <v>1</v>
      </c>
      <c r="AO364" t="str">
        <f t="shared" si="27"/>
        <v/>
      </c>
      <c r="AP364" t="str">
        <f t="shared" si="28"/>
        <v/>
      </c>
      <c r="AQ364">
        <f t="shared" si="29"/>
        <v>2022</v>
      </c>
    </row>
    <row r="365" spans="1:43" x14ac:dyDescent="0.35">
      <c r="A365">
        <v>833</v>
      </c>
      <c r="B365">
        <v>30</v>
      </c>
      <c r="C365" t="s">
        <v>148</v>
      </c>
      <c r="D365" t="s">
        <v>145</v>
      </c>
      <c r="E365" t="s">
        <v>4</v>
      </c>
      <c r="F365" t="s">
        <v>38</v>
      </c>
      <c r="G365" t="s">
        <v>43</v>
      </c>
      <c r="H365" t="s">
        <v>81</v>
      </c>
      <c r="I365" t="s">
        <v>42</v>
      </c>
      <c r="J365" t="s">
        <v>165</v>
      </c>
      <c r="K365" t="s">
        <v>44</v>
      </c>
      <c r="L365" t="s">
        <v>152</v>
      </c>
      <c r="M365" t="s">
        <v>48</v>
      </c>
      <c r="N365" t="s">
        <v>95</v>
      </c>
      <c r="P365" t="s">
        <v>144</v>
      </c>
      <c r="Q365">
        <v>24</v>
      </c>
      <c r="R365">
        <v>5</v>
      </c>
      <c r="S365">
        <v>12</v>
      </c>
      <c r="T365">
        <v>0</v>
      </c>
      <c r="U365">
        <v>0</v>
      </c>
      <c r="V365">
        <v>2</v>
      </c>
      <c r="W365">
        <v>52</v>
      </c>
      <c r="X365">
        <v>946</v>
      </c>
      <c r="Y365">
        <v>20234</v>
      </c>
      <c r="Z365">
        <v>6877</v>
      </c>
      <c r="AA365">
        <v>4</v>
      </c>
      <c r="AB365" s="29">
        <v>44773</v>
      </c>
      <c r="AC365" s="29">
        <v>34050</v>
      </c>
      <c r="AD365" s="29">
        <v>44574</v>
      </c>
      <c r="AE365" s="29"/>
      <c r="AF365">
        <v>1</v>
      </c>
      <c r="AG365" t="s">
        <v>149</v>
      </c>
      <c r="AI365">
        <v>29</v>
      </c>
      <c r="AJ365">
        <v>1</v>
      </c>
      <c r="AK365" t="s">
        <v>170</v>
      </c>
      <c r="AL365" t="s">
        <v>77</v>
      </c>
      <c r="AM365">
        <f t="shared" si="25"/>
        <v>1</v>
      </c>
      <c r="AN365">
        <f t="shared" si="26"/>
        <v>1</v>
      </c>
      <c r="AO365" t="str">
        <f t="shared" si="27"/>
        <v/>
      </c>
      <c r="AP365" t="str">
        <f t="shared" si="28"/>
        <v/>
      </c>
      <c r="AQ365">
        <f t="shared" si="29"/>
        <v>2022</v>
      </c>
    </row>
    <row r="366" spans="1:43" x14ac:dyDescent="0.35">
      <c r="A366">
        <v>771</v>
      </c>
      <c r="B366">
        <v>35</v>
      </c>
      <c r="C366" t="s">
        <v>148</v>
      </c>
      <c r="D366" t="s">
        <v>164</v>
      </c>
      <c r="E366" t="s">
        <v>4</v>
      </c>
      <c r="F366" t="s">
        <v>37</v>
      </c>
      <c r="G366" t="s">
        <v>44</v>
      </c>
      <c r="H366" t="s">
        <v>81</v>
      </c>
      <c r="I366" t="s">
        <v>43</v>
      </c>
      <c r="J366" t="s">
        <v>161</v>
      </c>
      <c r="K366" t="s">
        <v>41</v>
      </c>
      <c r="L366" t="s">
        <v>147</v>
      </c>
      <c r="M366" t="s">
        <v>50</v>
      </c>
      <c r="N366" t="s">
        <v>96</v>
      </c>
      <c r="O366" t="s">
        <v>41</v>
      </c>
      <c r="P366" t="s">
        <v>148</v>
      </c>
      <c r="Q366">
        <v>11</v>
      </c>
      <c r="R366">
        <v>2</v>
      </c>
      <c r="S366">
        <v>16</v>
      </c>
      <c r="T366">
        <v>0</v>
      </c>
      <c r="U366">
        <v>0</v>
      </c>
      <c r="V366">
        <v>2</v>
      </c>
      <c r="W366">
        <v>61</v>
      </c>
      <c r="X366">
        <v>1225</v>
      </c>
      <c r="Y366">
        <v>4761</v>
      </c>
      <c r="Z366">
        <v>5093</v>
      </c>
      <c r="AA366">
        <v>2</v>
      </c>
      <c r="AB366" s="29">
        <v>44773</v>
      </c>
      <c r="AC366" s="29">
        <v>32177</v>
      </c>
      <c r="AD366" s="29">
        <v>44581</v>
      </c>
      <c r="AE366" s="29"/>
      <c r="AF366">
        <v>1</v>
      </c>
      <c r="AG366" t="s">
        <v>149</v>
      </c>
      <c r="AI366">
        <v>34</v>
      </c>
      <c r="AJ366">
        <v>1</v>
      </c>
      <c r="AK366" t="s">
        <v>170</v>
      </c>
      <c r="AL366" t="s">
        <v>77</v>
      </c>
      <c r="AM366">
        <f t="shared" si="25"/>
        <v>1</v>
      </c>
      <c r="AN366">
        <f t="shared" si="26"/>
        <v>1</v>
      </c>
      <c r="AO366" t="str">
        <f t="shared" si="27"/>
        <v/>
      </c>
      <c r="AP366" t="str">
        <f t="shared" si="28"/>
        <v/>
      </c>
      <c r="AQ366">
        <f t="shared" si="29"/>
        <v>2022</v>
      </c>
    </row>
    <row r="367" spans="1:43" x14ac:dyDescent="0.35">
      <c r="A367">
        <v>1724</v>
      </c>
      <c r="B367">
        <v>40</v>
      </c>
      <c r="C367" t="s">
        <v>148</v>
      </c>
      <c r="D367" t="s">
        <v>145</v>
      </c>
      <c r="E367" t="s">
        <v>4</v>
      </c>
      <c r="F367" t="s">
        <v>36</v>
      </c>
      <c r="G367" t="s">
        <v>42</v>
      </c>
      <c r="H367" t="s">
        <v>81</v>
      </c>
      <c r="I367" t="s">
        <v>43</v>
      </c>
      <c r="J367" t="s">
        <v>165</v>
      </c>
      <c r="K367" t="s">
        <v>41</v>
      </c>
      <c r="L367" t="s">
        <v>147</v>
      </c>
      <c r="M367" t="s">
        <v>49</v>
      </c>
      <c r="N367" t="s">
        <v>160</v>
      </c>
      <c r="O367" t="s">
        <v>41</v>
      </c>
      <c r="P367" t="s">
        <v>144</v>
      </c>
      <c r="Q367">
        <v>16</v>
      </c>
      <c r="R367">
        <v>2</v>
      </c>
      <c r="S367">
        <v>18</v>
      </c>
      <c r="T367">
        <v>0</v>
      </c>
      <c r="U367">
        <v>0</v>
      </c>
      <c r="V367">
        <v>8</v>
      </c>
      <c r="W367">
        <v>92</v>
      </c>
      <c r="X367">
        <v>369</v>
      </c>
      <c r="Y367">
        <v>5041</v>
      </c>
      <c r="Z367">
        <v>6516</v>
      </c>
      <c r="AA367">
        <v>3</v>
      </c>
      <c r="AB367" s="29">
        <v>44773</v>
      </c>
      <c r="AC367" s="29">
        <v>30215</v>
      </c>
      <c r="AD367" s="29">
        <v>44583</v>
      </c>
      <c r="AE367" s="29"/>
      <c r="AF367">
        <v>1</v>
      </c>
      <c r="AG367" t="s">
        <v>153</v>
      </c>
      <c r="AI367">
        <v>39</v>
      </c>
      <c r="AJ367">
        <v>1</v>
      </c>
      <c r="AK367" t="s">
        <v>170</v>
      </c>
      <c r="AL367" t="s">
        <v>77</v>
      </c>
      <c r="AM367">
        <f t="shared" si="25"/>
        <v>1</v>
      </c>
      <c r="AN367">
        <f t="shared" si="26"/>
        <v>1</v>
      </c>
      <c r="AO367" t="str">
        <f t="shared" si="27"/>
        <v/>
      </c>
      <c r="AP367" t="str">
        <f t="shared" si="28"/>
        <v/>
      </c>
      <c r="AQ367">
        <f t="shared" si="29"/>
        <v>2022</v>
      </c>
    </row>
    <row r="368" spans="1:43" x14ac:dyDescent="0.35">
      <c r="A368">
        <v>661</v>
      </c>
      <c r="B368">
        <v>43</v>
      </c>
      <c r="C368" t="s">
        <v>148</v>
      </c>
      <c r="D368" t="s">
        <v>145</v>
      </c>
      <c r="E368" t="s">
        <v>4</v>
      </c>
      <c r="F368" t="s">
        <v>37</v>
      </c>
      <c r="G368" t="s">
        <v>42</v>
      </c>
      <c r="H368" t="s">
        <v>82</v>
      </c>
      <c r="I368" t="s">
        <v>42</v>
      </c>
      <c r="J368" t="s">
        <v>173</v>
      </c>
      <c r="K368" t="s">
        <v>44</v>
      </c>
      <c r="L368" t="s">
        <v>147</v>
      </c>
      <c r="M368" t="s">
        <v>48</v>
      </c>
      <c r="N368" t="s">
        <v>96</v>
      </c>
      <c r="O368" t="s">
        <v>41</v>
      </c>
      <c r="P368" t="s">
        <v>144</v>
      </c>
      <c r="Q368">
        <v>14</v>
      </c>
      <c r="R368">
        <v>4</v>
      </c>
      <c r="S368">
        <v>21</v>
      </c>
      <c r="T368">
        <v>0</v>
      </c>
      <c r="U368">
        <v>0</v>
      </c>
      <c r="V368">
        <v>6</v>
      </c>
      <c r="W368">
        <v>50</v>
      </c>
      <c r="X368">
        <v>782</v>
      </c>
      <c r="Y368">
        <v>2671</v>
      </c>
      <c r="Z368">
        <v>16627</v>
      </c>
      <c r="AA368">
        <v>3</v>
      </c>
      <c r="AB368" s="29">
        <v>44773</v>
      </c>
      <c r="AC368" s="29">
        <v>29110</v>
      </c>
      <c r="AD368" s="29">
        <v>44584</v>
      </c>
      <c r="AE368" s="29"/>
      <c r="AF368">
        <v>1</v>
      </c>
      <c r="AG368" t="s">
        <v>153</v>
      </c>
      <c r="AI368">
        <v>42</v>
      </c>
      <c r="AJ368">
        <v>2</v>
      </c>
      <c r="AK368" t="s">
        <v>170</v>
      </c>
      <c r="AL368" t="s">
        <v>77</v>
      </c>
      <c r="AM368">
        <f t="shared" si="25"/>
        <v>1</v>
      </c>
      <c r="AN368">
        <f t="shared" si="26"/>
        <v>1</v>
      </c>
      <c r="AO368" t="str">
        <f t="shared" si="27"/>
        <v/>
      </c>
      <c r="AP368" t="str">
        <f t="shared" si="28"/>
        <v/>
      </c>
      <c r="AQ368">
        <f t="shared" si="29"/>
        <v>2022</v>
      </c>
    </row>
    <row r="369" spans="1:43" x14ac:dyDescent="0.35">
      <c r="A369">
        <v>1125</v>
      </c>
      <c r="B369">
        <v>38</v>
      </c>
      <c r="C369" t="s">
        <v>148</v>
      </c>
      <c r="D369" t="s">
        <v>145</v>
      </c>
      <c r="E369" t="s">
        <v>158</v>
      </c>
      <c r="F369" t="s">
        <v>36</v>
      </c>
      <c r="G369" t="s">
        <v>44</v>
      </c>
      <c r="H369" t="s">
        <v>82</v>
      </c>
      <c r="I369" t="s">
        <v>43</v>
      </c>
      <c r="J369" t="s">
        <v>159</v>
      </c>
      <c r="K369" t="s">
        <v>42</v>
      </c>
      <c r="L369" t="s">
        <v>147</v>
      </c>
      <c r="M369" t="s">
        <v>49</v>
      </c>
      <c r="N369" t="s">
        <v>95</v>
      </c>
      <c r="P369" t="s">
        <v>148</v>
      </c>
      <c r="Q369">
        <v>16</v>
      </c>
      <c r="R369">
        <v>7</v>
      </c>
      <c r="S369">
        <v>10</v>
      </c>
      <c r="T369">
        <v>0</v>
      </c>
      <c r="U369">
        <v>0</v>
      </c>
      <c r="V369">
        <v>2</v>
      </c>
      <c r="W369">
        <v>32</v>
      </c>
      <c r="X369">
        <v>130</v>
      </c>
      <c r="Y369">
        <v>20619</v>
      </c>
      <c r="Z369">
        <v>7351</v>
      </c>
      <c r="AA369">
        <v>2</v>
      </c>
      <c r="AB369" s="29">
        <v>44773</v>
      </c>
      <c r="AC369" s="29">
        <v>30916</v>
      </c>
      <c r="AD369" s="29">
        <v>44591</v>
      </c>
      <c r="AE369" s="29"/>
      <c r="AF369">
        <v>0</v>
      </c>
      <c r="AG369" t="s">
        <v>149</v>
      </c>
      <c r="AI369">
        <v>38</v>
      </c>
      <c r="AJ369">
        <v>1</v>
      </c>
      <c r="AK369" t="s">
        <v>171</v>
      </c>
      <c r="AL369" t="s">
        <v>77</v>
      </c>
      <c r="AM369">
        <f t="shared" si="25"/>
        <v>1</v>
      </c>
      <c r="AN369">
        <f t="shared" si="26"/>
        <v>1</v>
      </c>
      <c r="AO369" t="str">
        <f t="shared" si="27"/>
        <v/>
      </c>
      <c r="AP369" t="str">
        <f t="shared" si="28"/>
        <v/>
      </c>
      <c r="AQ369">
        <f t="shared" si="29"/>
        <v>2022</v>
      </c>
    </row>
    <row r="370" spans="1:43" x14ac:dyDescent="0.35">
      <c r="A370">
        <v>334</v>
      </c>
      <c r="B370">
        <v>41</v>
      </c>
      <c r="C370" t="s">
        <v>148</v>
      </c>
      <c r="D370" t="s">
        <v>145</v>
      </c>
      <c r="E370" t="s">
        <v>4</v>
      </c>
      <c r="F370" t="s">
        <v>36</v>
      </c>
      <c r="G370" t="s">
        <v>43</v>
      </c>
      <c r="H370" t="s">
        <v>82</v>
      </c>
      <c r="I370" t="s">
        <v>43</v>
      </c>
      <c r="J370" t="s">
        <v>146</v>
      </c>
      <c r="K370" t="s">
        <v>41</v>
      </c>
      <c r="L370" t="s">
        <v>147</v>
      </c>
      <c r="M370" t="s">
        <v>48</v>
      </c>
      <c r="N370" t="s">
        <v>96</v>
      </c>
      <c r="O370" t="s">
        <v>156</v>
      </c>
      <c r="P370" t="s">
        <v>148</v>
      </c>
      <c r="Q370">
        <v>16</v>
      </c>
      <c r="R370">
        <v>2</v>
      </c>
      <c r="S370">
        <v>17</v>
      </c>
      <c r="T370">
        <v>0</v>
      </c>
      <c r="U370">
        <v>0</v>
      </c>
      <c r="V370">
        <v>19</v>
      </c>
      <c r="W370">
        <v>36</v>
      </c>
      <c r="X370">
        <v>1411</v>
      </c>
      <c r="Y370">
        <v>19877</v>
      </c>
      <c r="Z370">
        <v>3072</v>
      </c>
      <c r="AA370">
        <v>2</v>
      </c>
      <c r="AB370" s="29">
        <v>44773</v>
      </c>
      <c r="AC370" s="29">
        <v>29800</v>
      </c>
      <c r="AD370" s="29">
        <v>44605</v>
      </c>
      <c r="AE370" s="29"/>
      <c r="AF370">
        <v>0</v>
      </c>
      <c r="AG370" t="s">
        <v>153</v>
      </c>
      <c r="AI370">
        <v>41</v>
      </c>
      <c r="AJ370">
        <v>1</v>
      </c>
      <c r="AK370" t="s">
        <v>171</v>
      </c>
      <c r="AL370" t="s">
        <v>78</v>
      </c>
      <c r="AM370">
        <f t="shared" si="25"/>
        <v>1</v>
      </c>
      <c r="AN370">
        <f t="shared" si="26"/>
        <v>2</v>
      </c>
      <c r="AO370" t="str">
        <f t="shared" si="27"/>
        <v/>
      </c>
      <c r="AP370" t="str">
        <f t="shared" si="28"/>
        <v/>
      </c>
      <c r="AQ370">
        <f t="shared" si="29"/>
        <v>2022</v>
      </c>
    </row>
    <row r="371" spans="1:43" x14ac:dyDescent="0.35">
      <c r="A371">
        <v>568</v>
      </c>
      <c r="B371">
        <v>57</v>
      </c>
      <c r="C371" t="s">
        <v>148</v>
      </c>
      <c r="D371" t="s">
        <v>145</v>
      </c>
      <c r="E371" t="s">
        <v>158</v>
      </c>
      <c r="F371" t="s">
        <v>38</v>
      </c>
      <c r="G371" t="s">
        <v>41</v>
      </c>
      <c r="H371" t="s">
        <v>82</v>
      </c>
      <c r="I371" t="s">
        <v>42</v>
      </c>
      <c r="J371" t="s">
        <v>169</v>
      </c>
      <c r="K371" t="s">
        <v>44</v>
      </c>
      <c r="L371" t="s">
        <v>147</v>
      </c>
      <c r="M371" t="s">
        <v>48</v>
      </c>
      <c r="N371" t="s">
        <v>96</v>
      </c>
      <c r="O371" t="s">
        <v>41</v>
      </c>
      <c r="P371" t="s">
        <v>148</v>
      </c>
      <c r="Q371">
        <v>12</v>
      </c>
      <c r="R371">
        <v>3</v>
      </c>
      <c r="S371">
        <v>32</v>
      </c>
      <c r="T371">
        <v>0</v>
      </c>
      <c r="U371">
        <v>0</v>
      </c>
      <c r="V371">
        <v>29</v>
      </c>
      <c r="W371">
        <v>56</v>
      </c>
      <c r="X371">
        <v>210</v>
      </c>
      <c r="Y371">
        <v>22102</v>
      </c>
      <c r="Z371">
        <v>14118</v>
      </c>
      <c r="AA371">
        <v>3</v>
      </c>
      <c r="AB371" s="29">
        <v>44773</v>
      </c>
      <c r="AC371" s="29">
        <v>24318</v>
      </c>
      <c r="AD371" s="29">
        <v>44607</v>
      </c>
      <c r="AE371" s="29"/>
      <c r="AF371">
        <v>0</v>
      </c>
      <c r="AG371" t="s">
        <v>167</v>
      </c>
      <c r="AI371">
        <v>57</v>
      </c>
      <c r="AJ371">
        <v>1</v>
      </c>
      <c r="AK371" t="s">
        <v>171</v>
      </c>
      <c r="AL371" t="s">
        <v>77</v>
      </c>
      <c r="AM371">
        <f t="shared" si="25"/>
        <v>1</v>
      </c>
      <c r="AN371">
        <f t="shared" si="26"/>
        <v>2</v>
      </c>
      <c r="AO371" t="str">
        <f t="shared" si="27"/>
        <v/>
      </c>
      <c r="AP371" t="str">
        <f t="shared" si="28"/>
        <v/>
      </c>
      <c r="AQ371">
        <f t="shared" si="29"/>
        <v>2022</v>
      </c>
    </row>
    <row r="372" spans="1:43" x14ac:dyDescent="0.35">
      <c r="A372">
        <v>1292</v>
      </c>
      <c r="B372">
        <v>42</v>
      </c>
      <c r="C372" t="s">
        <v>148</v>
      </c>
      <c r="D372" t="s">
        <v>145</v>
      </c>
      <c r="E372" t="s">
        <v>4</v>
      </c>
      <c r="F372" t="s">
        <v>37</v>
      </c>
      <c r="G372" t="s">
        <v>42</v>
      </c>
      <c r="H372" t="s">
        <v>81</v>
      </c>
      <c r="I372" t="s">
        <v>44</v>
      </c>
      <c r="J372" t="s">
        <v>146</v>
      </c>
      <c r="K372" t="s">
        <v>42</v>
      </c>
      <c r="L372" t="s">
        <v>147</v>
      </c>
      <c r="M372" t="s">
        <v>49</v>
      </c>
      <c r="N372" t="s">
        <v>160</v>
      </c>
      <c r="P372" t="s">
        <v>144</v>
      </c>
      <c r="Q372">
        <v>16</v>
      </c>
      <c r="R372">
        <v>6</v>
      </c>
      <c r="S372">
        <v>18</v>
      </c>
      <c r="T372">
        <v>0</v>
      </c>
      <c r="U372">
        <v>0</v>
      </c>
      <c r="V372">
        <v>7</v>
      </c>
      <c r="W372">
        <v>78</v>
      </c>
      <c r="X372">
        <v>603</v>
      </c>
      <c r="Y372">
        <v>5628</v>
      </c>
      <c r="Z372">
        <v>2372</v>
      </c>
      <c r="AA372">
        <v>2</v>
      </c>
      <c r="AB372" s="29">
        <v>44773</v>
      </c>
      <c r="AC372" s="29">
        <v>29617</v>
      </c>
      <c r="AD372" s="29">
        <v>44620</v>
      </c>
      <c r="AE372" s="29"/>
      <c r="AF372">
        <v>0</v>
      </c>
      <c r="AG372" t="s">
        <v>153</v>
      </c>
      <c r="AI372">
        <v>42</v>
      </c>
      <c r="AJ372">
        <v>2</v>
      </c>
      <c r="AK372" t="s">
        <v>171</v>
      </c>
      <c r="AL372" t="s">
        <v>77</v>
      </c>
      <c r="AM372">
        <f t="shared" si="25"/>
        <v>1</v>
      </c>
      <c r="AN372">
        <f t="shared" si="26"/>
        <v>2</v>
      </c>
      <c r="AO372" t="str">
        <f t="shared" si="27"/>
        <v/>
      </c>
      <c r="AP372" t="str">
        <f t="shared" si="28"/>
        <v/>
      </c>
      <c r="AQ372">
        <f t="shared" si="29"/>
        <v>2022</v>
      </c>
    </row>
    <row r="373" spans="1:43" x14ac:dyDescent="0.35">
      <c r="A373">
        <v>101</v>
      </c>
      <c r="B373">
        <v>45</v>
      </c>
      <c r="C373" t="s">
        <v>148</v>
      </c>
      <c r="D373" t="s">
        <v>145</v>
      </c>
      <c r="E373" t="s">
        <v>4</v>
      </c>
      <c r="F373" t="s">
        <v>37</v>
      </c>
      <c r="G373" t="s">
        <v>44</v>
      </c>
      <c r="H373" t="s">
        <v>82</v>
      </c>
      <c r="I373" t="s">
        <v>43</v>
      </c>
      <c r="J373" t="s">
        <v>173</v>
      </c>
      <c r="K373" t="s">
        <v>41</v>
      </c>
      <c r="L373" t="s">
        <v>48</v>
      </c>
      <c r="M373" t="s">
        <v>50</v>
      </c>
      <c r="N373" t="s">
        <v>160</v>
      </c>
      <c r="P373" t="s">
        <v>144</v>
      </c>
      <c r="Q373">
        <v>14</v>
      </c>
      <c r="R373">
        <v>4</v>
      </c>
      <c r="S373">
        <v>17</v>
      </c>
      <c r="T373">
        <v>0</v>
      </c>
      <c r="U373">
        <v>0</v>
      </c>
      <c r="V373">
        <v>6</v>
      </c>
      <c r="W373">
        <v>52</v>
      </c>
      <c r="X373">
        <v>193</v>
      </c>
      <c r="Y373">
        <v>15067</v>
      </c>
      <c r="Z373">
        <v>13245</v>
      </c>
      <c r="AA373">
        <v>3</v>
      </c>
      <c r="AB373" s="29">
        <v>44773</v>
      </c>
      <c r="AC373" s="29">
        <v>28536</v>
      </c>
      <c r="AD373" s="29">
        <v>44644</v>
      </c>
      <c r="AE373" s="29"/>
      <c r="AF373">
        <v>0</v>
      </c>
      <c r="AG373" t="s">
        <v>153</v>
      </c>
      <c r="AI373">
        <v>45</v>
      </c>
      <c r="AJ373">
        <v>1</v>
      </c>
      <c r="AK373" t="s">
        <v>171</v>
      </c>
      <c r="AL373" t="s">
        <v>78</v>
      </c>
      <c r="AM373">
        <f t="shared" si="25"/>
        <v>1</v>
      </c>
      <c r="AN373">
        <f t="shared" si="26"/>
        <v>3</v>
      </c>
      <c r="AO373" t="str">
        <f t="shared" si="27"/>
        <v/>
      </c>
      <c r="AP373" t="str">
        <f t="shared" si="28"/>
        <v/>
      </c>
      <c r="AQ373">
        <f t="shared" si="29"/>
        <v>2022</v>
      </c>
    </row>
    <row r="374" spans="1:43" x14ac:dyDescent="0.35">
      <c r="A374">
        <v>479</v>
      </c>
      <c r="B374">
        <v>36</v>
      </c>
      <c r="C374" t="s">
        <v>148</v>
      </c>
      <c r="D374" t="s">
        <v>164</v>
      </c>
      <c r="E374" t="s">
        <v>158</v>
      </c>
      <c r="F374" t="s">
        <v>34</v>
      </c>
      <c r="G374" t="s">
        <v>44</v>
      </c>
      <c r="H374" t="s">
        <v>81</v>
      </c>
      <c r="I374" t="s">
        <v>43</v>
      </c>
      <c r="J374" t="s">
        <v>159</v>
      </c>
      <c r="K374" t="s">
        <v>44</v>
      </c>
      <c r="L374" t="s">
        <v>147</v>
      </c>
      <c r="M374" t="s">
        <v>49</v>
      </c>
      <c r="N374" t="s">
        <v>95</v>
      </c>
      <c r="P374" t="s">
        <v>148</v>
      </c>
      <c r="Q374">
        <v>15</v>
      </c>
      <c r="R374">
        <v>4</v>
      </c>
      <c r="S374">
        <v>7</v>
      </c>
      <c r="T374">
        <v>0</v>
      </c>
      <c r="U374">
        <v>0</v>
      </c>
      <c r="V374">
        <v>1</v>
      </c>
      <c r="W374">
        <v>45</v>
      </c>
      <c r="X374">
        <v>845</v>
      </c>
      <c r="Y374">
        <v>15276</v>
      </c>
      <c r="Z374">
        <v>6653</v>
      </c>
      <c r="AA374">
        <v>6</v>
      </c>
      <c r="AB374" s="29">
        <v>44773</v>
      </c>
      <c r="AC374" s="29">
        <v>31662</v>
      </c>
      <c r="AD374" s="29">
        <v>44649</v>
      </c>
      <c r="AE374" s="29"/>
      <c r="AF374">
        <v>0</v>
      </c>
      <c r="AG374" t="s">
        <v>149</v>
      </c>
      <c r="AI374">
        <v>36</v>
      </c>
      <c r="AJ374">
        <v>1</v>
      </c>
      <c r="AK374" t="s">
        <v>171</v>
      </c>
      <c r="AL374" t="s">
        <v>77</v>
      </c>
      <c r="AM374">
        <f t="shared" si="25"/>
        <v>1</v>
      </c>
      <c r="AN374">
        <f t="shared" si="26"/>
        <v>3</v>
      </c>
      <c r="AO374" t="str">
        <f t="shared" si="27"/>
        <v/>
      </c>
      <c r="AP374" t="str">
        <f t="shared" si="28"/>
        <v/>
      </c>
      <c r="AQ374">
        <f t="shared" si="29"/>
        <v>2022</v>
      </c>
    </row>
    <row r="375" spans="1:43" x14ac:dyDescent="0.35">
      <c r="A375">
        <v>1595</v>
      </c>
      <c r="B375">
        <v>42</v>
      </c>
      <c r="C375" t="s">
        <v>148</v>
      </c>
      <c r="D375" t="s">
        <v>145</v>
      </c>
      <c r="E375" t="s">
        <v>4</v>
      </c>
      <c r="F375" t="s">
        <v>36</v>
      </c>
      <c r="G375" t="s">
        <v>44</v>
      </c>
      <c r="H375" t="s">
        <v>82</v>
      </c>
      <c r="I375" t="s">
        <v>42</v>
      </c>
      <c r="J375" t="s">
        <v>169</v>
      </c>
      <c r="K375" t="s">
        <v>44</v>
      </c>
      <c r="L375" t="s">
        <v>152</v>
      </c>
      <c r="M375" t="s">
        <v>49</v>
      </c>
      <c r="N375" t="s">
        <v>95</v>
      </c>
      <c r="P375" t="s">
        <v>148</v>
      </c>
      <c r="Q375">
        <v>22</v>
      </c>
      <c r="R375">
        <v>8</v>
      </c>
      <c r="S375">
        <v>24</v>
      </c>
      <c r="T375">
        <v>0</v>
      </c>
      <c r="U375">
        <v>0</v>
      </c>
      <c r="V375">
        <v>9</v>
      </c>
      <c r="W375">
        <v>93</v>
      </c>
      <c r="X375">
        <v>1059</v>
      </c>
      <c r="Y375">
        <v>26362</v>
      </c>
      <c r="Z375">
        <v>19613</v>
      </c>
      <c r="AA375">
        <v>2</v>
      </c>
      <c r="AB375" s="29">
        <v>44773</v>
      </c>
      <c r="AC375" s="29">
        <v>29666</v>
      </c>
      <c r="AD375" s="29">
        <v>44652</v>
      </c>
      <c r="AE375" s="29"/>
      <c r="AF375">
        <v>0</v>
      </c>
      <c r="AG375" t="s">
        <v>153</v>
      </c>
      <c r="AI375">
        <v>42</v>
      </c>
      <c r="AJ375">
        <v>1</v>
      </c>
      <c r="AK375" t="s">
        <v>171</v>
      </c>
      <c r="AL375" t="s">
        <v>77</v>
      </c>
      <c r="AM375">
        <f t="shared" si="25"/>
        <v>2</v>
      </c>
      <c r="AN375">
        <f t="shared" si="26"/>
        <v>4</v>
      </c>
      <c r="AO375" t="str">
        <f t="shared" si="27"/>
        <v/>
      </c>
      <c r="AP375" t="str">
        <f t="shared" si="28"/>
        <v/>
      </c>
      <c r="AQ375">
        <f t="shared" si="29"/>
        <v>2022</v>
      </c>
    </row>
    <row r="376" spans="1:43" x14ac:dyDescent="0.35">
      <c r="A376">
        <v>468</v>
      </c>
      <c r="B376">
        <v>42</v>
      </c>
      <c r="C376" t="s">
        <v>148</v>
      </c>
      <c r="D376" t="s">
        <v>145</v>
      </c>
      <c r="E376" t="s">
        <v>4</v>
      </c>
      <c r="F376" t="s">
        <v>34</v>
      </c>
      <c r="G376" t="s">
        <v>41</v>
      </c>
      <c r="H376" t="s">
        <v>81</v>
      </c>
      <c r="I376" t="s">
        <v>43</v>
      </c>
      <c r="J376" t="s">
        <v>173</v>
      </c>
      <c r="K376" t="s">
        <v>44</v>
      </c>
      <c r="L376" t="s">
        <v>147</v>
      </c>
      <c r="M376" t="s">
        <v>49</v>
      </c>
      <c r="N376" t="s">
        <v>95</v>
      </c>
      <c r="P376" t="s">
        <v>148</v>
      </c>
      <c r="Q376">
        <v>14</v>
      </c>
      <c r="R376">
        <v>2</v>
      </c>
      <c r="S376">
        <v>16</v>
      </c>
      <c r="T376">
        <v>0</v>
      </c>
      <c r="U376">
        <v>0</v>
      </c>
      <c r="V376">
        <v>23</v>
      </c>
      <c r="W376">
        <v>44</v>
      </c>
      <c r="X376">
        <v>810</v>
      </c>
      <c r="Y376">
        <v>15901</v>
      </c>
      <c r="Z376">
        <v>15992</v>
      </c>
      <c r="AA376">
        <v>2</v>
      </c>
      <c r="AB376" s="29">
        <v>44773</v>
      </c>
      <c r="AC376" s="29">
        <v>29613</v>
      </c>
      <c r="AD376" s="29">
        <v>44659</v>
      </c>
      <c r="AE376" s="29"/>
      <c r="AF376">
        <v>0</v>
      </c>
      <c r="AG376" t="s">
        <v>153</v>
      </c>
      <c r="AI376">
        <v>42</v>
      </c>
      <c r="AJ376">
        <v>2</v>
      </c>
      <c r="AK376" t="s">
        <v>171</v>
      </c>
      <c r="AL376" t="s">
        <v>77</v>
      </c>
      <c r="AM376">
        <f t="shared" si="25"/>
        <v>2</v>
      </c>
      <c r="AN376">
        <f t="shared" si="26"/>
        <v>4</v>
      </c>
      <c r="AO376" t="str">
        <f t="shared" si="27"/>
        <v/>
      </c>
      <c r="AP376" t="str">
        <f t="shared" si="28"/>
        <v/>
      </c>
      <c r="AQ376">
        <f t="shared" si="29"/>
        <v>2022</v>
      </c>
    </row>
    <row r="377" spans="1:43" x14ac:dyDescent="0.35">
      <c r="A377">
        <v>1481</v>
      </c>
      <c r="B377">
        <v>44</v>
      </c>
      <c r="C377" t="s">
        <v>148</v>
      </c>
      <c r="D377" t="s">
        <v>151</v>
      </c>
      <c r="E377" t="s">
        <v>158</v>
      </c>
      <c r="F377" t="s">
        <v>34</v>
      </c>
      <c r="G377" t="s">
        <v>41</v>
      </c>
      <c r="H377" t="s">
        <v>81</v>
      </c>
      <c r="I377" t="s">
        <v>43</v>
      </c>
      <c r="J377" t="s">
        <v>159</v>
      </c>
      <c r="K377" t="s">
        <v>43</v>
      </c>
      <c r="L377" t="s">
        <v>48</v>
      </c>
      <c r="M377" t="s">
        <v>48</v>
      </c>
      <c r="N377" t="s">
        <v>160</v>
      </c>
      <c r="O377" t="s">
        <v>41</v>
      </c>
      <c r="P377" t="s">
        <v>148</v>
      </c>
      <c r="Q377">
        <v>12</v>
      </c>
      <c r="R377">
        <v>7</v>
      </c>
      <c r="S377">
        <v>11</v>
      </c>
      <c r="T377">
        <v>0</v>
      </c>
      <c r="U377">
        <v>0</v>
      </c>
      <c r="V377">
        <v>1</v>
      </c>
      <c r="W377">
        <v>79</v>
      </c>
      <c r="X377">
        <v>383</v>
      </c>
      <c r="Y377">
        <v>9282</v>
      </c>
      <c r="Z377">
        <v>4768</v>
      </c>
      <c r="AA377">
        <v>4</v>
      </c>
      <c r="AB377" s="29">
        <v>44773</v>
      </c>
      <c r="AC377" s="29">
        <v>28864</v>
      </c>
      <c r="AD377" s="29">
        <v>44661</v>
      </c>
      <c r="AE377" s="29"/>
      <c r="AF377">
        <v>0</v>
      </c>
      <c r="AG377" t="s">
        <v>153</v>
      </c>
      <c r="AI377">
        <v>44</v>
      </c>
      <c r="AJ377">
        <v>1</v>
      </c>
      <c r="AK377" t="s">
        <v>171</v>
      </c>
      <c r="AL377" t="s">
        <v>77</v>
      </c>
      <c r="AM377">
        <f t="shared" si="25"/>
        <v>2</v>
      </c>
      <c r="AN377">
        <f t="shared" si="26"/>
        <v>4</v>
      </c>
      <c r="AO377" t="str">
        <f t="shared" si="27"/>
        <v/>
      </c>
      <c r="AP377" t="str">
        <f t="shared" si="28"/>
        <v/>
      </c>
      <c r="AQ377">
        <f t="shared" si="29"/>
        <v>2022</v>
      </c>
    </row>
    <row r="378" spans="1:43" x14ac:dyDescent="0.35">
      <c r="A378">
        <v>1770</v>
      </c>
      <c r="B378">
        <v>55</v>
      </c>
      <c r="C378" t="s">
        <v>148</v>
      </c>
      <c r="D378" t="s">
        <v>145</v>
      </c>
      <c r="E378" t="s">
        <v>4</v>
      </c>
      <c r="F378" t="s">
        <v>38</v>
      </c>
      <c r="G378" t="s">
        <v>43</v>
      </c>
      <c r="H378" t="s">
        <v>82</v>
      </c>
      <c r="I378" t="s">
        <v>42</v>
      </c>
      <c r="J378" t="s">
        <v>173</v>
      </c>
      <c r="K378" t="s">
        <v>41</v>
      </c>
      <c r="L378" t="s">
        <v>147</v>
      </c>
      <c r="M378" t="s">
        <v>49</v>
      </c>
      <c r="N378" t="s">
        <v>160</v>
      </c>
      <c r="O378" t="s">
        <v>43</v>
      </c>
      <c r="P378" t="s">
        <v>148</v>
      </c>
      <c r="Q378">
        <v>12</v>
      </c>
      <c r="R378">
        <v>8</v>
      </c>
      <c r="S378">
        <v>34</v>
      </c>
      <c r="T378">
        <v>0</v>
      </c>
      <c r="U378">
        <v>0</v>
      </c>
      <c r="V378">
        <v>2</v>
      </c>
      <c r="W378">
        <v>60</v>
      </c>
      <c r="X378">
        <v>478</v>
      </c>
      <c r="Y378">
        <v>19805</v>
      </c>
      <c r="Z378">
        <v>19038</v>
      </c>
      <c r="AA378">
        <v>2</v>
      </c>
      <c r="AB378" s="29">
        <v>44773</v>
      </c>
      <c r="AC378" s="29">
        <v>24709</v>
      </c>
      <c r="AD378" s="29">
        <v>44671</v>
      </c>
      <c r="AE378" s="29"/>
      <c r="AF378">
        <v>0</v>
      </c>
      <c r="AG378" t="s">
        <v>167</v>
      </c>
      <c r="AI378">
        <v>55</v>
      </c>
      <c r="AJ378">
        <v>1</v>
      </c>
      <c r="AK378" t="s">
        <v>171</v>
      </c>
      <c r="AL378" t="s">
        <v>78</v>
      </c>
      <c r="AM378">
        <f t="shared" si="25"/>
        <v>2</v>
      </c>
      <c r="AN378">
        <f t="shared" si="26"/>
        <v>4</v>
      </c>
      <c r="AO378" t="str">
        <f t="shared" si="27"/>
        <v/>
      </c>
      <c r="AP378" t="str">
        <f t="shared" si="28"/>
        <v/>
      </c>
      <c r="AQ378">
        <f t="shared" si="29"/>
        <v>2022</v>
      </c>
    </row>
    <row r="379" spans="1:43" x14ac:dyDescent="0.35">
      <c r="A379">
        <v>1515</v>
      </c>
      <c r="B379">
        <v>33</v>
      </c>
      <c r="C379" t="s">
        <v>148</v>
      </c>
      <c r="D379" t="s">
        <v>145</v>
      </c>
      <c r="E379" t="s">
        <v>4</v>
      </c>
      <c r="F379" t="s">
        <v>34</v>
      </c>
      <c r="G379" t="s">
        <v>44</v>
      </c>
      <c r="H379" t="s">
        <v>82</v>
      </c>
      <c r="I379" t="s">
        <v>43</v>
      </c>
      <c r="J379" t="s">
        <v>161</v>
      </c>
      <c r="K379" t="s">
        <v>43</v>
      </c>
      <c r="L379" t="s">
        <v>147</v>
      </c>
      <c r="M379" t="s">
        <v>49</v>
      </c>
      <c r="N379" t="s">
        <v>95</v>
      </c>
      <c r="P379" t="s">
        <v>144</v>
      </c>
      <c r="Q379">
        <v>17</v>
      </c>
      <c r="R379">
        <v>2</v>
      </c>
      <c r="S379">
        <v>14</v>
      </c>
      <c r="T379">
        <v>0</v>
      </c>
      <c r="U379">
        <v>0</v>
      </c>
      <c r="V379">
        <v>8</v>
      </c>
      <c r="W379">
        <v>69</v>
      </c>
      <c r="X379">
        <v>516</v>
      </c>
      <c r="Y379">
        <v>22049</v>
      </c>
      <c r="Z379">
        <v>6388</v>
      </c>
      <c r="AA379">
        <v>6</v>
      </c>
      <c r="AB379" s="29">
        <v>44773</v>
      </c>
      <c r="AC379" s="29">
        <v>32764</v>
      </c>
      <c r="AD379" s="29">
        <v>44675</v>
      </c>
      <c r="AE379" s="29"/>
      <c r="AF379">
        <v>0</v>
      </c>
      <c r="AG379" t="s">
        <v>149</v>
      </c>
      <c r="AI379">
        <v>33</v>
      </c>
      <c r="AJ379">
        <v>1</v>
      </c>
      <c r="AK379" t="s">
        <v>171</v>
      </c>
      <c r="AL379" t="s">
        <v>77</v>
      </c>
      <c r="AM379">
        <f t="shared" si="25"/>
        <v>2</v>
      </c>
      <c r="AN379">
        <f t="shared" si="26"/>
        <v>4</v>
      </c>
      <c r="AO379" t="str">
        <f t="shared" si="27"/>
        <v/>
      </c>
      <c r="AP379" t="str">
        <f t="shared" si="28"/>
        <v/>
      </c>
      <c r="AQ379">
        <f t="shared" si="29"/>
        <v>2022</v>
      </c>
    </row>
    <row r="380" spans="1:43" x14ac:dyDescent="0.35">
      <c r="A380">
        <v>1731</v>
      </c>
      <c r="B380">
        <v>47</v>
      </c>
      <c r="C380" t="s">
        <v>148</v>
      </c>
      <c r="D380" t="s">
        <v>164</v>
      </c>
      <c r="E380" t="s">
        <v>158</v>
      </c>
      <c r="F380" t="s">
        <v>37</v>
      </c>
      <c r="G380" t="s">
        <v>43</v>
      </c>
      <c r="H380" t="s">
        <v>82</v>
      </c>
      <c r="I380" t="s">
        <v>43</v>
      </c>
      <c r="J380" t="s">
        <v>159</v>
      </c>
      <c r="K380" t="s">
        <v>42</v>
      </c>
      <c r="L380" t="s">
        <v>147</v>
      </c>
      <c r="M380" t="s">
        <v>47</v>
      </c>
      <c r="N380" t="s">
        <v>160</v>
      </c>
      <c r="O380" t="s">
        <v>41</v>
      </c>
      <c r="P380" t="s">
        <v>148</v>
      </c>
      <c r="Q380">
        <v>11</v>
      </c>
      <c r="R380">
        <v>7</v>
      </c>
      <c r="S380">
        <v>4</v>
      </c>
      <c r="T380">
        <v>0</v>
      </c>
      <c r="U380">
        <v>0</v>
      </c>
      <c r="V380">
        <v>2</v>
      </c>
      <c r="W380">
        <v>87</v>
      </c>
      <c r="X380">
        <v>543</v>
      </c>
      <c r="Y380">
        <v>3536</v>
      </c>
      <c r="Z380">
        <v>4978</v>
      </c>
      <c r="AA380">
        <v>3</v>
      </c>
      <c r="AB380" s="29">
        <v>44773</v>
      </c>
      <c r="AC380" s="29">
        <v>27765</v>
      </c>
      <c r="AD380" s="29">
        <v>44679</v>
      </c>
      <c r="AE380" s="29"/>
      <c r="AF380">
        <v>0</v>
      </c>
      <c r="AG380" t="s">
        <v>153</v>
      </c>
      <c r="AI380">
        <v>47</v>
      </c>
      <c r="AJ380">
        <v>1</v>
      </c>
      <c r="AK380" t="s">
        <v>171</v>
      </c>
      <c r="AL380" t="s">
        <v>77</v>
      </c>
      <c r="AM380">
        <f t="shared" si="25"/>
        <v>2</v>
      </c>
      <c r="AN380">
        <f t="shared" si="26"/>
        <v>4</v>
      </c>
      <c r="AO380" t="str">
        <f t="shared" si="27"/>
        <v/>
      </c>
      <c r="AP380" t="str">
        <f t="shared" si="28"/>
        <v/>
      </c>
      <c r="AQ380">
        <f t="shared" si="29"/>
        <v>2022</v>
      </c>
    </row>
    <row r="381" spans="1:43" x14ac:dyDescent="0.35">
      <c r="A381">
        <v>954</v>
      </c>
      <c r="B381">
        <v>40</v>
      </c>
      <c r="C381" t="s">
        <v>148</v>
      </c>
      <c r="D381" t="s">
        <v>145</v>
      </c>
      <c r="E381" t="s">
        <v>158</v>
      </c>
      <c r="F381" t="s">
        <v>37</v>
      </c>
      <c r="G381" t="s">
        <v>41</v>
      </c>
      <c r="H381" t="s">
        <v>82</v>
      </c>
      <c r="I381" t="s">
        <v>42</v>
      </c>
      <c r="J381" t="s">
        <v>159</v>
      </c>
      <c r="K381" t="s">
        <v>42</v>
      </c>
      <c r="L381" t="s">
        <v>147</v>
      </c>
      <c r="M381" t="s">
        <v>48</v>
      </c>
      <c r="N381" t="s">
        <v>96</v>
      </c>
      <c r="O381" t="s">
        <v>41</v>
      </c>
      <c r="P381" t="s">
        <v>148</v>
      </c>
      <c r="Q381">
        <v>12</v>
      </c>
      <c r="R381">
        <v>2</v>
      </c>
      <c r="S381">
        <v>11</v>
      </c>
      <c r="T381">
        <v>0</v>
      </c>
      <c r="U381">
        <v>0</v>
      </c>
      <c r="V381">
        <v>10</v>
      </c>
      <c r="W381">
        <v>67</v>
      </c>
      <c r="X381">
        <v>658</v>
      </c>
      <c r="Y381">
        <v>20652</v>
      </c>
      <c r="Z381">
        <v>9705</v>
      </c>
      <c r="AA381">
        <v>2</v>
      </c>
      <c r="AB381" s="29">
        <v>44773</v>
      </c>
      <c r="AC381" s="29">
        <v>30226</v>
      </c>
      <c r="AD381" s="29">
        <v>44687</v>
      </c>
      <c r="AE381" s="29"/>
      <c r="AF381">
        <v>0</v>
      </c>
      <c r="AG381" t="s">
        <v>153</v>
      </c>
      <c r="AI381">
        <v>40</v>
      </c>
      <c r="AJ381">
        <v>1</v>
      </c>
      <c r="AK381" t="s">
        <v>171</v>
      </c>
      <c r="AL381" t="s">
        <v>77</v>
      </c>
      <c r="AM381">
        <f t="shared" si="25"/>
        <v>2</v>
      </c>
      <c r="AN381">
        <f t="shared" si="26"/>
        <v>5</v>
      </c>
      <c r="AO381" t="str">
        <f t="shared" si="27"/>
        <v/>
      </c>
      <c r="AP381" t="str">
        <f t="shared" si="28"/>
        <v/>
      </c>
      <c r="AQ381">
        <f t="shared" si="29"/>
        <v>2022</v>
      </c>
    </row>
    <row r="382" spans="1:43" x14ac:dyDescent="0.35">
      <c r="A382">
        <v>518</v>
      </c>
      <c r="B382">
        <v>37</v>
      </c>
      <c r="C382" t="s">
        <v>148</v>
      </c>
      <c r="D382" t="s">
        <v>145</v>
      </c>
      <c r="E382" t="s">
        <v>4</v>
      </c>
      <c r="F382" t="s">
        <v>37</v>
      </c>
      <c r="G382" t="s">
        <v>43</v>
      </c>
      <c r="H382" t="s">
        <v>82</v>
      </c>
      <c r="I382" t="s">
        <v>43</v>
      </c>
      <c r="J382" t="s">
        <v>165</v>
      </c>
      <c r="K382" t="s">
        <v>42</v>
      </c>
      <c r="L382" t="s">
        <v>147</v>
      </c>
      <c r="M382" t="s">
        <v>48</v>
      </c>
      <c r="N382" t="s">
        <v>95</v>
      </c>
      <c r="P382" t="s">
        <v>144</v>
      </c>
      <c r="Q382">
        <v>12</v>
      </c>
      <c r="R382">
        <v>2</v>
      </c>
      <c r="S382">
        <v>18</v>
      </c>
      <c r="T382">
        <v>0</v>
      </c>
      <c r="U382">
        <v>0</v>
      </c>
      <c r="V382">
        <v>10</v>
      </c>
      <c r="W382">
        <v>49</v>
      </c>
      <c r="X382">
        <v>1305</v>
      </c>
      <c r="Y382">
        <v>21123</v>
      </c>
      <c r="Z382">
        <v>4197</v>
      </c>
      <c r="AA382">
        <v>2</v>
      </c>
      <c r="AB382" s="29">
        <v>44773</v>
      </c>
      <c r="AC382" s="29">
        <v>31538</v>
      </c>
      <c r="AD382" s="29">
        <v>44695</v>
      </c>
      <c r="AE382" s="29"/>
      <c r="AF382">
        <v>0</v>
      </c>
      <c r="AG382" t="s">
        <v>149</v>
      </c>
      <c r="AI382">
        <v>37</v>
      </c>
      <c r="AJ382">
        <v>1</v>
      </c>
      <c r="AK382" t="s">
        <v>171</v>
      </c>
      <c r="AL382" t="s">
        <v>77</v>
      </c>
      <c r="AM382">
        <f t="shared" si="25"/>
        <v>2</v>
      </c>
      <c r="AN382">
        <f t="shared" si="26"/>
        <v>5</v>
      </c>
      <c r="AO382" t="str">
        <f t="shared" si="27"/>
        <v/>
      </c>
      <c r="AP382" t="str">
        <f t="shared" si="28"/>
        <v/>
      </c>
      <c r="AQ382">
        <f t="shared" si="29"/>
        <v>2022</v>
      </c>
    </row>
    <row r="383" spans="1:43" x14ac:dyDescent="0.35">
      <c r="A383">
        <v>473</v>
      </c>
      <c r="B383">
        <v>48</v>
      </c>
      <c r="C383" t="s">
        <v>148</v>
      </c>
      <c r="D383" t="s">
        <v>145</v>
      </c>
      <c r="E383" t="s">
        <v>158</v>
      </c>
      <c r="F383" t="s">
        <v>35</v>
      </c>
      <c r="G383" t="s">
        <v>41</v>
      </c>
      <c r="H383" t="s">
        <v>81</v>
      </c>
      <c r="I383" t="s">
        <v>43</v>
      </c>
      <c r="J383" t="s">
        <v>169</v>
      </c>
      <c r="K383" t="s">
        <v>43</v>
      </c>
      <c r="L383" t="s">
        <v>152</v>
      </c>
      <c r="M383" t="s">
        <v>47</v>
      </c>
      <c r="N383" t="s">
        <v>160</v>
      </c>
      <c r="O383" t="s">
        <v>41</v>
      </c>
      <c r="P383" t="s">
        <v>148</v>
      </c>
      <c r="Q383">
        <v>21</v>
      </c>
      <c r="R383">
        <v>3</v>
      </c>
      <c r="S383">
        <v>15</v>
      </c>
      <c r="T383">
        <v>0</v>
      </c>
      <c r="U383">
        <v>0</v>
      </c>
      <c r="V383">
        <v>29</v>
      </c>
      <c r="W383">
        <v>91</v>
      </c>
      <c r="X383">
        <v>530</v>
      </c>
      <c r="Y383">
        <v>23978</v>
      </c>
      <c r="Z383">
        <v>12504</v>
      </c>
      <c r="AA383">
        <v>3</v>
      </c>
      <c r="AB383" s="29">
        <v>44773</v>
      </c>
      <c r="AC383" s="29">
        <v>27558</v>
      </c>
      <c r="AD383" s="29">
        <v>44698</v>
      </c>
      <c r="AE383" s="29"/>
      <c r="AF383">
        <v>0</v>
      </c>
      <c r="AG383" t="s">
        <v>153</v>
      </c>
      <c r="AI383">
        <v>48</v>
      </c>
      <c r="AJ383">
        <v>2</v>
      </c>
      <c r="AK383" t="s">
        <v>171</v>
      </c>
      <c r="AL383" t="s">
        <v>78</v>
      </c>
      <c r="AM383">
        <f t="shared" si="25"/>
        <v>2</v>
      </c>
      <c r="AN383">
        <f t="shared" si="26"/>
        <v>5</v>
      </c>
      <c r="AO383" t="str">
        <f t="shared" si="27"/>
        <v/>
      </c>
      <c r="AP383" t="str">
        <f t="shared" si="28"/>
        <v/>
      </c>
      <c r="AQ383">
        <f t="shared" si="29"/>
        <v>2022</v>
      </c>
    </row>
    <row r="384" spans="1:43" x14ac:dyDescent="0.35">
      <c r="A384">
        <v>496</v>
      </c>
      <c r="B384">
        <v>35</v>
      </c>
      <c r="C384" t="s">
        <v>148</v>
      </c>
      <c r="D384" t="s">
        <v>145</v>
      </c>
      <c r="E384" t="s">
        <v>4</v>
      </c>
      <c r="F384" t="s">
        <v>37</v>
      </c>
      <c r="G384" t="s">
        <v>43</v>
      </c>
      <c r="H384" t="s">
        <v>82</v>
      </c>
      <c r="I384" t="s">
        <v>42</v>
      </c>
      <c r="J384" t="s">
        <v>161</v>
      </c>
      <c r="K384" t="s">
        <v>42</v>
      </c>
      <c r="L384" t="s">
        <v>147</v>
      </c>
      <c r="M384" t="s">
        <v>49</v>
      </c>
      <c r="N384" t="s">
        <v>95</v>
      </c>
      <c r="P384" t="s">
        <v>148</v>
      </c>
      <c r="Q384">
        <v>19</v>
      </c>
      <c r="R384">
        <v>9</v>
      </c>
      <c r="S384">
        <v>10</v>
      </c>
      <c r="T384">
        <v>0</v>
      </c>
      <c r="U384">
        <v>0</v>
      </c>
      <c r="V384">
        <v>9</v>
      </c>
      <c r="W384">
        <v>97</v>
      </c>
      <c r="X384">
        <v>755</v>
      </c>
      <c r="Y384">
        <v>19394</v>
      </c>
      <c r="Z384">
        <v>6540</v>
      </c>
      <c r="AA384">
        <v>5</v>
      </c>
      <c r="AB384" s="29">
        <v>44773</v>
      </c>
      <c r="AC384" s="29">
        <v>32257</v>
      </c>
      <c r="AD384" s="29">
        <v>44703</v>
      </c>
      <c r="AE384" s="29"/>
      <c r="AF384">
        <v>0</v>
      </c>
      <c r="AG384" t="s">
        <v>149</v>
      </c>
      <c r="AI384">
        <v>35</v>
      </c>
      <c r="AJ384">
        <v>1</v>
      </c>
      <c r="AK384" t="s">
        <v>171</v>
      </c>
      <c r="AL384" t="s">
        <v>77</v>
      </c>
      <c r="AM384">
        <f t="shared" si="25"/>
        <v>2</v>
      </c>
      <c r="AN384">
        <f t="shared" si="26"/>
        <v>5</v>
      </c>
      <c r="AO384" t="str">
        <f t="shared" si="27"/>
        <v/>
      </c>
      <c r="AP384" t="str">
        <f t="shared" si="28"/>
        <v/>
      </c>
      <c r="AQ384">
        <f t="shared" si="29"/>
        <v>2022</v>
      </c>
    </row>
    <row r="385" spans="1:43" x14ac:dyDescent="0.35">
      <c r="A385">
        <v>1697</v>
      </c>
      <c r="B385">
        <v>60</v>
      </c>
      <c r="C385" t="s">
        <v>148</v>
      </c>
      <c r="D385" t="s">
        <v>145</v>
      </c>
      <c r="E385" t="s">
        <v>4</v>
      </c>
      <c r="F385" t="s">
        <v>37</v>
      </c>
      <c r="G385" t="s">
        <v>43</v>
      </c>
      <c r="H385" t="s">
        <v>82</v>
      </c>
      <c r="I385" t="s">
        <v>41</v>
      </c>
      <c r="J385" t="s">
        <v>161</v>
      </c>
      <c r="K385" t="s">
        <v>44</v>
      </c>
      <c r="L385" t="s">
        <v>152</v>
      </c>
      <c r="M385" t="s">
        <v>50</v>
      </c>
      <c r="N385" t="s">
        <v>96</v>
      </c>
      <c r="O385" t="s">
        <v>41</v>
      </c>
      <c r="P385" t="s">
        <v>148</v>
      </c>
      <c r="Q385">
        <v>20</v>
      </c>
      <c r="R385">
        <v>3</v>
      </c>
      <c r="S385">
        <v>19</v>
      </c>
      <c r="T385">
        <v>0</v>
      </c>
      <c r="U385">
        <v>0</v>
      </c>
      <c r="V385">
        <v>1</v>
      </c>
      <c r="W385">
        <v>92</v>
      </c>
      <c r="X385">
        <v>370</v>
      </c>
      <c r="Y385">
        <v>20467</v>
      </c>
      <c r="Z385">
        <v>10883</v>
      </c>
      <c r="AA385">
        <v>2</v>
      </c>
      <c r="AB385" s="29">
        <v>44773</v>
      </c>
      <c r="AC385" s="29">
        <v>22948</v>
      </c>
      <c r="AD385" s="29">
        <v>44714</v>
      </c>
      <c r="AE385" s="29"/>
      <c r="AF385">
        <v>0</v>
      </c>
      <c r="AG385" t="s">
        <v>174</v>
      </c>
      <c r="AI385">
        <v>60</v>
      </c>
      <c r="AJ385">
        <v>1</v>
      </c>
      <c r="AK385" t="s">
        <v>171</v>
      </c>
      <c r="AL385" t="s">
        <v>77</v>
      </c>
      <c r="AM385">
        <f t="shared" si="25"/>
        <v>2</v>
      </c>
      <c r="AN385">
        <f t="shared" si="26"/>
        <v>6</v>
      </c>
      <c r="AO385" t="str">
        <f t="shared" si="27"/>
        <v/>
      </c>
      <c r="AP385" t="str">
        <f t="shared" si="28"/>
        <v/>
      </c>
      <c r="AQ385">
        <f t="shared" si="29"/>
        <v>2022</v>
      </c>
    </row>
    <row r="386" spans="1:43" x14ac:dyDescent="0.35">
      <c r="A386">
        <v>1585</v>
      </c>
      <c r="B386">
        <v>36</v>
      </c>
      <c r="C386" t="s">
        <v>148</v>
      </c>
      <c r="D386" t="s">
        <v>145</v>
      </c>
      <c r="E386" t="s">
        <v>158</v>
      </c>
      <c r="F386" t="s">
        <v>37</v>
      </c>
      <c r="G386" t="s">
        <v>42</v>
      </c>
      <c r="H386" t="s">
        <v>81</v>
      </c>
      <c r="I386" t="s">
        <v>43</v>
      </c>
      <c r="J386" t="s">
        <v>159</v>
      </c>
      <c r="K386" t="s">
        <v>43</v>
      </c>
      <c r="L386" t="s">
        <v>147</v>
      </c>
      <c r="M386" t="s">
        <v>49</v>
      </c>
      <c r="N386" t="s">
        <v>95</v>
      </c>
      <c r="P386" t="s">
        <v>148</v>
      </c>
      <c r="Q386">
        <v>13</v>
      </c>
      <c r="R386">
        <v>6</v>
      </c>
      <c r="S386">
        <v>15</v>
      </c>
      <c r="T386">
        <v>0</v>
      </c>
      <c r="U386">
        <v>0</v>
      </c>
      <c r="V386">
        <v>1</v>
      </c>
      <c r="W386">
        <v>73</v>
      </c>
      <c r="X386">
        <v>884</v>
      </c>
      <c r="Y386">
        <v>21447</v>
      </c>
      <c r="Z386">
        <v>6815</v>
      </c>
      <c r="AA386">
        <v>5</v>
      </c>
      <c r="AB386" s="29">
        <v>44773</v>
      </c>
      <c r="AC386" s="29">
        <v>31630</v>
      </c>
      <c r="AD386" s="29">
        <v>44715</v>
      </c>
      <c r="AE386" s="29"/>
      <c r="AF386">
        <v>0</v>
      </c>
      <c r="AG386" t="s">
        <v>149</v>
      </c>
      <c r="AI386">
        <v>36</v>
      </c>
      <c r="AJ386">
        <v>2</v>
      </c>
      <c r="AK386" t="s">
        <v>171</v>
      </c>
      <c r="AL386" t="s">
        <v>77</v>
      </c>
      <c r="AM386">
        <f t="shared" ref="AM386:AM449" si="30">ROUNDUP(MONTH(AD386)/3,0)</f>
        <v>2</v>
      </c>
      <c r="AN386">
        <f t="shared" ref="AN386:AN449" si="31">MONTH(AD386)</f>
        <v>6</v>
      </c>
      <c r="AO386" t="str">
        <f t="shared" ref="AO386:AO449" si="32">IF(C386="Yes",ROUNDUP(MONTH(AE386)/3,0),"")</f>
        <v/>
      </c>
      <c r="AP386" t="str">
        <f t="shared" ref="AP386:AP449" si="33">IF(C386="Yes",MONTH(AE386),"")</f>
        <v/>
      </c>
      <c r="AQ386">
        <f t="shared" ref="AQ386:AQ449" si="34">YEAR(AD386)</f>
        <v>2022</v>
      </c>
    </row>
    <row r="387" spans="1:43" x14ac:dyDescent="0.35">
      <c r="A387">
        <v>832</v>
      </c>
      <c r="B387">
        <v>40</v>
      </c>
      <c r="C387" t="s">
        <v>148</v>
      </c>
      <c r="D387" t="s">
        <v>151</v>
      </c>
      <c r="E387" t="s">
        <v>4</v>
      </c>
      <c r="F387" t="s">
        <v>37</v>
      </c>
      <c r="G387" t="s">
        <v>41</v>
      </c>
      <c r="H387" t="s">
        <v>82</v>
      </c>
      <c r="I387" t="s">
        <v>42</v>
      </c>
      <c r="J387" t="s">
        <v>155</v>
      </c>
      <c r="K387" t="s">
        <v>43</v>
      </c>
      <c r="L387" t="s">
        <v>48</v>
      </c>
      <c r="M387" t="s">
        <v>49</v>
      </c>
      <c r="N387" t="s">
        <v>95</v>
      </c>
      <c r="P387" t="s">
        <v>148</v>
      </c>
      <c r="Q387">
        <v>14</v>
      </c>
      <c r="R387">
        <v>6</v>
      </c>
      <c r="S387">
        <v>10</v>
      </c>
      <c r="T387">
        <v>0</v>
      </c>
      <c r="U387">
        <v>0</v>
      </c>
      <c r="V387">
        <v>16</v>
      </c>
      <c r="W387">
        <v>51</v>
      </c>
      <c r="X387">
        <v>720</v>
      </c>
      <c r="Y387">
        <v>11983</v>
      </c>
      <c r="Z387">
        <v>5094</v>
      </c>
      <c r="AA387">
        <v>6</v>
      </c>
      <c r="AB387" s="29">
        <v>44773</v>
      </c>
      <c r="AC387" s="29">
        <v>30528</v>
      </c>
      <c r="AD387" s="29">
        <v>44717</v>
      </c>
      <c r="AE387" s="29"/>
      <c r="AF387">
        <v>0</v>
      </c>
      <c r="AG387" t="s">
        <v>153</v>
      </c>
      <c r="AI387">
        <v>40</v>
      </c>
      <c r="AJ387">
        <v>1</v>
      </c>
      <c r="AK387" t="s">
        <v>171</v>
      </c>
      <c r="AL387" t="s">
        <v>77</v>
      </c>
      <c r="AM387">
        <f t="shared" si="30"/>
        <v>2</v>
      </c>
      <c r="AN387">
        <f t="shared" si="31"/>
        <v>6</v>
      </c>
      <c r="AO387" t="str">
        <f t="shared" si="32"/>
        <v/>
      </c>
      <c r="AP387" t="str">
        <f t="shared" si="33"/>
        <v/>
      </c>
      <c r="AQ387">
        <f t="shared" si="34"/>
        <v>2022</v>
      </c>
    </row>
    <row r="388" spans="1:43" x14ac:dyDescent="0.35">
      <c r="A388">
        <v>1148</v>
      </c>
      <c r="B388">
        <v>42</v>
      </c>
      <c r="C388" t="s">
        <v>148</v>
      </c>
      <c r="D388" t="s">
        <v>145</v>
      </c>
      <c r="E388" t="s">
        <v>4</v>
      </c>
      <c r="F388" t="s">
        <v>38</v>
      </c>
      <c r="G388" t="s">
        <v>42</v>
      </c>
      <c r="H388" t="s">
        <v>82</v>
      </c>
      <c r="I388" t="s">
        <v>41</v>
      </c>
      <c r="J388" t="s">
        <v>155</v>
      </c>
      <c r="K388" t="s">
        <v>44</v>
      </c>
      <c r="L388" t="s">
        <v>147</v>
      </c>
      <c r="M388" t="s">
        <v>49</v>
      </c>
      <c r="N388" t="s">
        <v>95</v>
      </c>
      <c r="P388" t="s">
        <v>148</v>
      </c>
      <c r="Q388">
        <v>19</v>
      </c>
      <c r="R388">
        <v>4</v>
      </c>
      <c r="S388">
        <v>16</v>
      </c>
      <c r="T388">
        <v>0</v>
      </c>
      <c r="U388">
        <v>0</v>
      </c>
      <c r="V388">
        <v>29</v>
      </c>
      <c r="W388">
        <v>56</v>
      </c>
      <c r="X388">
        <v>188</v>
      </c>
      <c r="Y388">
        <v>9558</v>
      </c>
      <c r="Z388">
        <v>4272</v>
      </c>
      <c r="AA388">
        <v>3</v>
      </c>
      <c r="AB388" s="29">
        <v>44773</v>
      </c>
      <c r="AC388" s="29">
        <v>29449</v>
      </c>
      <c r="AD388" s="29">
        <v>44725</v>
      </c>
      <c r="AE388" s="29"/>
      <c r="AF388">
        <v>0</v>
      </c>
      <c r="AG388" t="s">
        <v>153</v>
      </c>
      <c r="AI388">
        <v>42</v>
      </c>
      <c r="AJ388">
        <v>2</v>
      </c>
      <c r="AK388" t="s">
        <v>171</v>
      </c>
      <c r="AL388" t="s">
        <v>77</v>
      </c>
      <c r="AM388">
        <f t="shared" si="30"/>
        <v>2</v>
      </c>
      <c r="AN388">
        <f t="shared" si="31"/>
        <v>6</v>
      </c>
      <c r="AO388" t="str">
        <f t="shared" si="32"/>
        <v/>
      </c>
      <c r="AP388" t="str">
        <f t="shared" si="33"/>
        <v/>
      </c>
      <c r="AQ388">
        <f t="shared" si="34"/>
        <v>2022</v>
      </c>
    </row>
    <row r="389" spans="1:43" x14ac:dyDescent="0.35">
      <c r="A389">
        <v>451</v>
      </c>
      <c r="B389">
        <v>43</v>
      </c>
      <c r="C389" t="s">
        <v>148</v>
      </c>
      <c r="D389" t="s">
        <v>145</v>
      </c>
      <c r="E389" t="s">
        <v>4</v>
      </c>
      <c r="F389" t="s">
        <v>38</v>
      </c>
      <c r="G389" t="s">
        <v>43</v>
      </c>
      <c r="H389" t="s">
        <v>81</v>
      </c>
      <c r="I389" t="s">
        <v>43</v>
      </c>
      <c r="J389" t="s">
        <v>161</v>
      </c>
      <c r="K389" t="s">
        <v>41</v>
      </c>
      <c r="L389" t="s">
        <v>147</v>
      </c>
      <c r="M389" t="s">
        <v>48</v>
      </c>
      <c r="N389" t="s">
        <v>160</v>
      </c>
      <c r="O389" t="s">
        <v>41</v>
      </c>
      <c r="P389" t="s">
        <v>148</v>
      </c>
      <c r="Q389">
        <v>16</v>
      </c>
      <c r="R389">
        <v>8</v>
      </c>
      <c r="S389">
        <v>10</v>
      </c>
      <c r="T389">
        <v>0</v>
      </c>
      <c r="U389">
        <v>0</v>
      </c>
      <c r="V389">
        <v>7</v>
      </c>
      <c r="W389">
        <v>43</v>
      </c>
      <c r="X389">
        <v>1001</v>
      </c>
      <c r="Y389">
        <v>9262</v>
      </c>
      <c r="Z389">
        <v>9985</v>
      </c>
      <c r="AA389">
        <v>1</v>
      </c>
      <c r="AB389" s="29">
        <v>44773</v>
      </c>
      <c r="AC389" s="29">
        <v>29293</v>
      </c>
      <c r="AD389" s="29">
        <v>44734</v>
      </c>
      <c r="AE389" s="29"/>
      <c r="AF389">
        <v>0</v>
      </c>
      <c r="AG389" t="s">
        <v>153</v>
      </c>
      <c r="AI389">
        <v>43</v>
      </c>
      <c r="AJ389">
        <v>1</v>
      </c>
      <c r="AK389" t="s">
        <v>171</v>
      </c>
      <c r="AL389" t="s">
        <v>77</v>
      </c>
      <c r="AM389">
        <f t="shared" si="30"/>
        <v>2</v>
      </c>
      <c r="AN389">
        <f t="shared" si="31"/>
        <v>6</v>
      </c>
      <c r="AO389" t="str">
        <f t="shared" si="32"/>
        <v/>
      </c>
      <c r="AP389" t="str">
        <f t="shared" si="33"/>
        <v/>
      </c>
      <c r="AQ389">
        <f t="shared" si="34"/>
        <v>2022</v>
      </c>
    </row>
    <row r="390" spans="1:43" x14ac:dyDescent="0.35">
      <c r="A390">
        <v>578</v>
      </c>
      <c r="B390">
        <v>54</v>
      </c>
      <c r="C390" t="s">
        <v>148</v>
      </c>
      <c r="D390" t="s">
        <v>145</v>
      </c>
      <c r="E390" t="s">
        <v>4</v>
      </c>
      <c r="F390" t="s">
        <v>37</v>
      </c>
      <c r="G390" t="s">
        <v>43</v>
      </c>
      <c r="H390" t="s">
        <v>81</v>
      </c>
      <c r="I390" t="s">
        <v>43</v>
      </c>
      <c r="J390" t="s">
        <v>155</v>
      </c>
      <c r="K390" t="s">
        <v>43</v>
      </c>
      <c r="L390" t="s">
        <v>147</v>
      </c>
      <c r="M390" t="s">
        <v>49</v>
      </c>
      <c r="N390" t="s">
        <v>95</v>
      </c>
      <c r="P390" t="s">
        <v>148</v>
      </c>
      <c r="Q390">
        <v>11</v>
      </c>
      <c r="R390">
        <v>7</v>
      </c>
      <c r="S390">
        <v>19</v>
      </c>
      <c r="T390">
        <v>0</v>
      </c>
      <c r="U390">
        <v>0</v>
      </c>
      <c r="V390">
        <v>8</v>
      </c>
      <c r="W390">
        <v>42</v>
      </c>
      <c r="X390">
        <v>548</v>
      </c>
      <c r="Y390">
        <v>23428</v>
      </c>
      <c r="Z390">
        <v>3780</v>
      </c>
      <c r="AA390">
        <v>3</v>
      </c>
      <c r="AB390" s="29">
        <v>44773</v>
      </c>
      <c r="AC390" s="29">
        <v>25321</v>
      </c>
      <c r="AD390" s="29">
        <v>44739</v>
      </c>
      <c r="AE390" s="29"/>
      <c r="AF390">
        <v>0</v>
      </c>
      <c r="AG390" t="s">
        <v>167</v>
      </c>
      <c r="AI390">
        <v>54</v>
      </c>
      <c r="AJ390">
        <v>2</v>
      </c>
      <c r="AK390" t="s">
        <v>171</v>
      </c>
      <c r="AL390" t="s">
        <v>78</v>
      </c>
      <c r="AM390">
        <f t="shared" si="30"/>
        <v>2</v>
      </c>
      <c r="AN390">
        <f t="shared" si="31"/>
        <v>6</v>
      </c>
      <c r="AO390" t="str">
        <f t="shared" si="32"/>
        <v/>
      </c>
      <c r="AP390" t="str">
        <f t="shared" si="33"/>
        <v/>
      </c>
      <c r="AQ390">
        <f t="shared" si="34"/>
        <v>2022</v>
      </c>
    </row>
    <row r="391" spans="1:43" x14ac:dyDescent="0.35">
      <c r="A391">
        <v>1040</v>
      </c>
      <c r="B391">
        <v>50</v>
      </c>
      <c r="C391" t="s">
        <v>148</v>
      </c>
      <c r="D391" t="s">
        <v>164</v>
      </c>
      <c r="E391" t="s">
        <v>158</v>
      </c>
      <c r="F391" t="s">
        <v>38</v>
      </c>
      <c r="G391" t="s">
        <v>44</v>
      </c>
      <c r="H391" t="s">
        <v>81</v>
      </c>
      <c r="I391" t="s">
        <v>43</v>
      </c>
      <c r="J391" t="s">
        <v>159</v>
      </c>
      <c r="K391" t="s">
        <v>43</v>
      </c>
      <c r="L391" t="s">
        <v>41</v>
      </c>
      <c r="M391" t="s">
        <v>49</v>
      </c>
      <c r="N391" t="s">
        <v>160</v>
      </c>
      <c r="O391" t="s">
        <v>41</v>
      </c>
      <c r="P391" t="s">
        <v>148</v>
      </c>
      <c r="Q391">
        <v>12</v>
      </c>
      <c r="R391">
        <v>0</v>
      </c>
      <c r="S391">
        <v>19</v>
      </c>
      <c r="T391">
        <v>0</v>
      </c>
      <c r="U391">
        <v>13</v>
      </c>
      <c r="V391">
        <v>1</v>
      </c>
      <c r="W391">
        <v>95</v>
      </c>
      <c r="X391">
        <v>145</v>
      </c>
      <c r="Y391">
        <v>24920</v>
      </c>
      <c r="Z391">
        <v>6347</v>
      </c>
      <c r="AA391">
        <v>3</v>
      </c>
      <c r="AB391" s="29">
        <v>44773</v>
      </c>
      <c r="AC391" s="29">
        <v>26520</v>
      </c>
      <c r="AD391" s="29">
        <v>38557</v>
      </c>
      <c r="AE391" s="29"/>
      <c r="AF391">
        <v>17</v>
      </c>
      <c r="AG391" t="s">
        <v>167</v>
      </c>
      <c r="AI391">
        <v>33</v>
      </c>
      <c r="AJ391">
        <v>1</v>
      </c>
      <c r="AK391" t="s">
        <v>163</v>
      </c>
      <c r="AL391" t="s">
        <v>77</v>
      </c>
      <c r="AM391">
        <f t="shared" si="30"/>
        <v>3</v>
      </c>
      <c r="AN391">
        <f t="shared" si="31"/>
        <v>7</v>
      </c>
      <c r="AO391" t="str">
        <f t="shared" si="32"/>
        <v/>
      </c>
      <c r="AP391" t="str">
        <f t="shared" si="33"/>
        <v/>
      </c>
      <c r="AQ391">
        <f t="shared" si="34"/>
        <v>2005</v>
      </c>
    </row>
    <row r="392" spans="1:43" x14ac:dyDescent="0.35">
      <c r="A392">
        <v>1133</v>
      </c>
      <c r="B392">
        <v>36</v>
      </c>
      <c r="C392" t="s">
        <v>148</v>
      </c>
      <c r="D392" t="s">
        <v>164</v>
      </c>
      <c r="E392" t="s">
        <v>4</v>
      </c>
      <c r="F392" t="s">
        <v>37</v>
      </c>
      <c r="G392" t="s">
        <v>41</v>
      </c>
      <c r="H392" t="s">
        <v>82</v>
      </c>
      <c r="I392" t="s">
        <v>43</v>
      </c>
      <c r="J392" t="s">
        <v>165</v>
      </c>
      <c r="K392" t="s">
        <v>44</v>
      </c>
      <c r="L392" t="s">
        <v>152</v>
      </c>
      <c r="M392" t="s">
        <v>49</v>
      </c>
      <c r="N392" t="s">
        <v>95</v>
      </c>
      <c r="P392" t="s">
        <v>148</v>
      </c>
      <c r="Q392">
        <v>20</v>
      </c>
      <c r="R392">
        <v>2</v>
      </c>
      <c r="S392">
        <v>18</v>
      </c>
      <c r="T392">
        <v>0</v>
      </c>
      <c r="U392">
        <v>9</v>
      </c>
      <c r="V392">
        <v>18</v>
      </c>
      <c r="W392">
        <v>78</v>
      </c>
      <c r="X392">
        <v>217</v>
      </c>
      <c r="Y392">
        <v>23238</v>
      </c>
      <c r="Z392">
        <v>7779</v>
      </c>
      <c r="AA392">
        <v>0</v>
      </c>
      <c r="AB392" s="29">
        <v>44773</v>
      </c>
      <c r="AC392" s="29">
        <v>31982</v>
      </c>
      <c r="AD392" s="29">
        <v>41088</v>
      </c>
      <c r="AE392" s="29"/>
      <c r="AF392">
        <v>10</v>
      </c>
      <c r="AG392" t="s">
        <v>149</v>
      </c>
      <c r="AI392">
        <v>26</v>
      </c>
      <c r="AJ392">
        <v>1</v>
      </c>
      <c r="AK392" t="s">
        <v>154</v>
      </c>
      <c r="AL392" t="s">
        <v>77</v>
      </c>
      <c r="AM392">
        <f t="shared" si="30"/>
        <v>2</v>
      </c>
      <c r="AN392">
        <f t="shared" si="31"/>
        <v>6</v>
      </c>
      <c r="AO392" t="str">
        <f t="shared" si="32"/>
        <v/>
      </c>
      <c r="AP392" t="str">
        <f t="shared" si="33"/>
        <v/>
      </c>
      <c r="AQ392">
        <f t="shared" si="34"/>
        <v>2012</v>
      </c>
    </row>
    <row r="393" spans="1:43" x14ac:dyDescent="0.35">
      <c r="A393">
        <v>1890</v>
      </c>
      <c r="B393">
        <v>36</v>
      </c>
      <c r="C393" t="s">
        <v>148</v>
      </c>
      <c r="D393" t="s">
        <v>151</v>
      </c>
      <c r="E393" t="s">
        <v>168</v>
      </c>
      <c r="F393" t="s">
        <v>35</v>
      </c>
      <c r="G393" t="s">
        <v>42</v>
      </c>
      <c r="H393" t="s">
        <v>82</v>
      </c>
      <c r="I393" t="s">
        <v>42</v>
      </c>
      <c r="J393" t="s">
        <v>168</v>
      </c>
      <c r="K393" t="s">
        <v>44</v>
      </c>
      <c r="L393" t="s">
        <v>152</v>
      </c>
      <c r="M393" t="s">
        <v>48</v>
      </c>
      <c r="N393" t="s">
        <v>95</v>
      </c>
      <c r="P393" t="s">
        <v>148</v>
      </c>
      <c r="Q393">
        <v>21</v>
      </c>
      <c r="R393">
        <v>1</v>
      </c>
      <c r="S393">
        <v>10</v>
      </c>
      <c r="T393">
        <v>0</v>
      </c>
      <c r="U393">
        <v>8</v>
      </c>
      <c r="V393">
        <v>2</v>
      </c>
      <c r="W393">
        <v>94</v>
      </c>
      <c r="X393">
        <v>1213</v>
      </c>
      <c r="Y393">
        <v>4223</v>
      </c>
      <c r="Z393">
        <v>3886</v>
      </c>
      <c r="AA393">
        <v>2</v>
      </c>
      <c r="AB393" s="29">
        <v>44773</v>
      </c>
      <c r="AC393" s="29">
        <v>31785</v>
      </c>
      <c r="AD393" s="29">
        <v>41292</v>
      </c>
      <c r="AE393" s="29"/>
      <c r="AF393">
        <v>10</v>
      </c>
      <c r="AG393" t="s">
        <v>149</v>
      </c>
      <c r="AI393">
        <v>26</v>
      </c>
      <c r="AJ393">
        <v>1</v>
      </c>
      <c r="AK393" t="s">
        <v>154</v>
      </c>
      <c r="AL393" t="s">
        <v>77</v>
      </c>
      <c r="AM393">
        <f t="shared" si="30"/>
        <v>1</v>
      </c>
      <c r="AN393">
        <f t="shared" si="31"/>
        <v>1</v>
      </c>
      <c r="AO393" t="str">
        <f t="shared" si="32"/>
        <v/>
      </c>
      <c r="AP393" t="str">
        <f t="shared" si="33"/>
        <v/>
      </c>
      <c r="AQ393">
        <f t="shared" si="34"/>
        <v>2013</v>
      </c>
    </row>
    <row r="394" spans="1:43" x14ac:dyDescent="0.35">
      <c r="A394">
        <v>208</v>
      </c>
      <c r="B394">
        <v>29</v>
      </c>
      <c r="C394" t="s">
        <v>148</v>
      </c>
      <c r="D394" t="s">
        <v>164</v>
      </c>
      <c r="E394" t="s">
        <v>4</v>
      </c>
      <c r="F394" t="s">
        <v>35</v>
      </c>
      <c r="G394" t="s">
        <v>44</v>
      </c>
      <c r="H394" t="s">
        <v>82</v>
      </c>
      <c r="I394" t="s">
        <v>43</v>
      </c>
      <c r="J394" t="s">
        <v>165</v>
      </c>
      <c r="K394" t="s">
        <v>43</v>
      </c>
      <c r="L394" t="s">
        <v>41</v>
      </c>
      <c r="M394" t="s">
        <v>49</v>
      </c>
      <c r="N394" t="s">
        <v>160</v>
      </c>
      <c r="O394" t="s">
        <v>41</v>
      </c>
      <c r="P394" t="s">
        <v>148</v>
      </c>
      <c r="Q394">
        <v>13</v>
      </c>
      <c r="R394">
        <v>1</v>
      </c>
      <c r="S394">
        <v>10</v>
      </c>
      <c r="T394">
        <v>0</v>
      </c>
      <c r="U394">
        <v>9</v>
      </c>
      <c r="V394">
        <v>1</v>
      </c>
      <c r="W394">
        <v>41</v>
      </c>
      <c r="X394">
        <v>1496</v>
      </c>
      <c r="Y394">
        <v>26283</v>
      </c>
      <c r="Z394">
        <v>4319</v>
      </c>
      <c r="AA394">
        <v>1</v>
      </c>
      <c r="AB394" s="29">
        <v>44773</v>
      </c>
      <c r="AC394" s="29">
        <v>34471</v>
      </c>
      <c r="AD394" s="29">
        <v>41434</v>
      </c>
      <c r="AE394" s="29"/>
      <c r="AF394">
        <v>9</v>
      </c>
      <c r="AG394" t="s">
        <v>157</v>
      </c>
      <c r="AI394">
        <v>20</v>
      </c>
      <c r="AJ394">
        <v>2</v>
      </c>
      <c r="AK394" t="s">
        <v>150</v>
      </c>
      <c r="AL394" t="s">
        <v>77</v>
      </c>
      <c r="AM394">
        <f t="shared" si="30"/>
        <v>2</v>
      </c>
      <c r="AN394">
        <f t="shared" si="31"/>
        <v>6</v>
      </c>
      <c r="AO394" t="str">
        <f t="shared" si="32"/>
        <v/>
      </c>
      <c r="AP394" t="str">
        <f t="shared" si="33"/>
        <v/>
      </c>
      <c r="AQ394">
        <f t="shared" si="34"/>
        <v>2013</v>
      </c>
    </row>
    <row r="395" spans="1:43" x14ac:dyDescent="0.35">
      <c r="A395">
        <v>159</v>
      </c>
      <c r="B395">
        <v>30</v>
      </c>
      <c r="C395" t="s">
        <v>148</v>
      </c>
      <c r="D395" t="s">
        <v>151</v>
      </c>
      <c r="E395" t="s">
        <v>4</v>
      </c>
      <c r="F395" t="s">
        <v>38</v>
      </c>
      <c r="G395" t="s">
        <v>41</v>
      </c>
      <c r="H395" t="s">
        <v>82</v>
      </c>
      <c r="I395" t="s">
        <v>41</v>
      </c>
      <c r="J395" t="s">
        <v>146</v>
      </c>
      <c r="K395" t="s">
        <v>43</v>
      </c>
      <c r="L395" t="s">
        <v>152</v>
      </c>
      <c r="M395" t="s">
        <v>48</v>
      </c>
      <c r="N395" t="s">
        <v>96</v>
      </c>
      <c r="O395" t="s">
        <v>43</v>
      </c>
      <c r="P395" t="s">
        <v>148</v>
      </c>
      <c r="Q395">
        <v>25</v>
      </c>
      <c r="R395">
        <v>1</v>
      </c>
      <c r="S395">
        <v>10</v>
      </c>
      <c r="T395">
        <v>0</v>
      </c>
      <c r="U395">
        <v>9</v>
      </c>
      <c r="V395">
        <v>23</v>
      </c>
      <c r="W395">
        <v>96</v>
      </c>
      <c r="X395">
        <v>1312</v>
      </c>
      <c r="Y395">
        <v>22310</v>
      </c>
      <c r="Z395">
        <v>2613</v>
      </c>
      <c r="AA395">
        <v>2</v>
      </c>
      <c r="AB395" s="29">
        <v>44773</v>
      </c>
      <c r="AC395" s="29">
        <v>34130</v>
      </c>
      <c r="AD395" s="29">
        <v>41452</v>
      </c>
      <c r="AE395" s="29"/>
      <c r="AF395">
        <v>9</v>
      </c>
      <c r="AG395" t="s">
        <v>149</v>
      </c>
      <c r="AI395">
        <v>21</v>
      </c>
      <c r="AJ395">
        <v>1</v>
      </c>
      <c r="AK395" t="s">
        <v>150</v>
      </c>
      <c r="AL395" t="s">
        <v>77</v>
      </c>
      <c r="AM395">
        <f t="shared" si="30"/>
        <v>2</v>
      </c>
      <c r="AN395">
        <f t="shared" si="31"/>
        <v>6</v>
      </c>
      <c r="AO395" t="str">
        <f t="shared" si="32"/>
        <v/>
      </c>
      <c r="AP395" t="str">
        <f t="shared" si="33"/>
        <v/>
      </c>
      <c r="AQ395">
        <f t="shared" si="34"/>
        <v>2013</v>
      </c>
    </row>
    <row r="396" spans="1:43" x14ac:dyDescent="0.35">
      <c r="A396">
        <v>62</v>
      </c>
      <c r="B396">
        <v>46</v>
      </c>
      <c r="C396" t="s">
        <v>148</v>
      </c>
      <c r="D396" t="s">
        <v>151</v>
      </c>
      <c r="E396" t="s">
        <v>158</v>
      </c>
      <c r="F396" t="s">
        <v>37</v>
      </c>
      <c r="G396" t="s">
        <v>41</v>
      </c>
      <c r="H396" t="s">
        <v>82</v>
      </c>
      <c r="I396" t="s">
        <v>43</v>
      </c>
      <c r="J396" t="s">
        <v>159</v>
      </c>
      <c r="K396" t="s">
        <v>44</v>
      </c>
      <c r="L396" t="s">
        <v>152</v>
      </c>
      <c r="M396" t="s">
        <v>49</v>
      </c>
      <c r="N396" t="s">
        <v>95</v>
      </c>
      <c r="P396" t="s">
        <v>144</v>
      </c>
      <c r="Q396">
        <v>21</v>
      </c>
      <c r="R396">
        <v>4</v>
      </c>
      <c r="S396">
        <v>14</v>
      </c>
      <c r="T396">
        <v>0</v>
      </c>
      <c r="U396">
        <v>8</v>
      </c>
      <c r="V396">
        <v>5</v>
      </c>
      <c r="W396">
        <v>98</v>
      </c>
      <c r="X396">
        <v>1211</v>
      </c>
      <c r="Y396">
        <v>20445</v>
      </c>
      <c r="Z396">
        <v>5772</v>
      </c>
      <c r="AA396">
        <v>4</v>
      </c>
      <c r="AB396" s="29">
        <v>44773</v>
      </c>
      <c r="AC396" s="29">
        <v>28243</v>
      </c>
      <c r="AD396" s="29">
        <v>41577</v>
      </c>
      <c r="AE396" s="29"/>
      <c r="AF396">
        <v>9</v>
      </c>
      <c r="AG396" t="s">
        <v>153</v>
      </c>
      <c r="AI396">
        <v>37</v>
      </c>
      <c r="AJ396">
        <v>1</v>
      </c>
      <c r="AK396" t="s">
        <v>150</v>
      </c>
      <c r="AL396" t="s">
        <v>77</v>
      </c>
      <c r="AM396">
        <f t="shared" si="30"/>
        <v>4</v>
      </c>
      <c r="AN396">
        <f t="shared" si="31"/>
        <v>10</v>
      </c>
      <c r="AO396" t="str">
        <f t="shared" si="32"/>
        <v/>
      </c>
      <c r="AP396" t="str">
        <f t="shared" si="33"/>
        <v/>
      </c>
      <c r="AQ396">
        <f t="shared" si="34"/>
        <v>2013</v>
      </c>
    </row>
    <row r="397" spans="1:43" x14ac:dyDescent="0.35">
      <c r="A397">
        <v>742</v>
      </c>
      <c r="B397">
        <v>36</v>
      </c>
      <c r="C397" t="s">
        <v>148</v>
      </c>
      <c r="D397" t="s">
        <v>164</v>
      </c>
      <c r="E397" t="s">
        <v>4</v>
      </c>
      <c r="F397" t="s">
        <v>38</v>
      </c>
      <c r="G397" t="s">
        <v>41</v>
      </c>
      <c r="H397" t="s">
        <v>81</v>
      </c>
      <c r="I397" t="s">
        <v>44</v>
      </c>
      <c r="J397" t="s">
        <v>173</v>
      </c>
      <c r="K397" t="s">
        <v>41</v>
      </c>
      <c r="L397" t="s">
        <v>48</v>
      </c>
      <c r="M397" t="s">
        <v>49</v>
      </c>
      <c r="N397" t="s">
        <v>160</v>
      </c>
      <c r="O397" t="s">
        <v>41</v>
      </c>
      <c r="P397" t="s">
        <v>148</v>
      </c>
      <c r="Q397">
        <v>14</v>
      </c>
      <c r="R397">
        <v>9</v>
      </c>
      <c r="S397">
        <v>10</v>
      </c>
      <c r="T397">
        <v>0</v>
      </c>
      <c r="U397">
        <v>5</v>
      </c>
      <c r="V397">
        <v>8</v>
      </c>
      <c r="W397">
        <v>63</v>
      </c>
      <c r="X397">
        <v>427</v>
      </c>
      <c r="Y397">
        <v>20335</v>
      </c>
      <c r="Z397">
        <v>11713</v>
      </c>
      <c r="AA397">
        <v>2</v>
      </c>
      <c r="AB397" s="29">
        <v>44773</v>
      </c>
      <c r="AC397" s="29">
        <v>31655</v>
      </c>
      <c r="AD397" s="29">
        <v>41938</v>
      </c>
      <c r="AE397" s="29"/>
      <c r="AF397">
        <v>8</v>
      </c>
      <c r="AG397" t="s">
        <v>149</v>
      </c>
      <c r="AI397">
        <v>28</v>
      </c>
      <c r="AJ397">
        <v>2</v>
      </c>
      <c r="AK397" t="s">
        <v>150</v>
      </c>
      <c r="AL397" t="s">
        <v>77</v>
      </c>
      <c r="AM397">
        <f t="shared" si="30"/>
        <v>4</v>
      </c>
      <c r="AN397">
        <f t="shared" si="31"/>
        <v>10</v>
      </c>
      <c r="AO397" t="str">
        <f t="shared" si="32"/>
        <v/>
      </c>
      <c r="AP397" t="str">
        <f t="shared" si="33"/>
        <v/>
      </c>
      <c r="AQ397">
        <f t="shared" si="34"/>
        <v>2014</v>
      </c>
    </row>
    <row r="398" spans="1:43" x14ac:dyDescent="0.35">
      <c r="A398">
        <v>1103</v>
      </c>
      <c r="B398">
        <v>34</v>
      </c>
      <c r="C398" t="s">
        <v>148</v>
      </c>
      <c r="D398" t="s">
        <v>151</v>
      </c>
      <c r="E398" t="s">
        <v>4</v>
      </c>
      <c r="F398" t="s">
        <v>35</v>
      </c>
      <c r="G398" t="s">
        <v>41</v>
      </c>
      <c r="H398" t="s">
        <v>82</v>
      </c>
      <c r="I398" t="s">
        <v>43</v>
      </c>
      <c r="J398" t="s">
        <v>161</v>
      </c>
      <c r="K398" t="s">
        <v>44</v>
      </c>
      <c r="L398" t="s">
        <v>48</v>
      </c>
      <c r="M398" t="s">
        <v>48</v>
      </c>
      <c r="N398" t="s">
        <v>95</v>
      </c>
      <c r="P398" t="s">
        <v>148</v>
      </c>
      <c r="Q398">
        <v>17</v>
      </c>
      <c r="R398">
        <v>0</v>
      </c>
      <c r="S398">
        <v>7</v>
      </c>
      <c r="T398">
        <v>0</v>
      </c>
      <c r="U398">
        <v>4</v>
      </c>
      <c r="V398">
        <v>3</v>
      </c>
      <c r="W398">
        <v>45</v>
      </c>
      <c r="X398">
        <v>618</v>
      </c>
      <c r="Y398">
        <v>22266</v>
      </c>
      <c r="Z398">
        <v>7756</v>
      </c>
      <c r="AA398">
        <v>1</v>
      </c>
      <c r="AB398" s="29">
        <v>44773</v>
      </c>
      <c r="AC398" s="29">
        <v>32483</v>
      </c>
      <c r="AD398" s="29">
        <v>42683</v>
      </c>
      <c r="AE398" s="29"/>
      <c r="AF398">
        <v>6</v>
      </c>
      <c r="AG398" t="s">
        <v>149</v>
      </c>
      <c r="AI398">
        <v>28</v>
      </c>
      <c r="AJ398">
        <v>1</v>
      </c>
      <c r="AK398" t="s">
        <v>150</v>
      </c>
      <c r="AL398" t="s">
        <v>78</v>
      </c>
      <c r="AM398">
        <f t="shared" si="30"/>
        <v>4</v>
      </c>
      <c r="AN398">
        <f t="shared" si="31"/>
        <v>11</v>
      </c>
      <c r="AO398" t="str">
        <f t="shared" si="32"/>
        <v/>
      </c>
      <c r="AP398" t="str">
        <f t="shared" si="33"/>
        <v/>
      </c>
      <c r="AQ398">
        <f t="shared" si="34"/>
        <v>2016</v>
      </c>
    </row>
    <row r="399" spans="1:43" x14ac:dyDescent="0.35">
      <c r="A399">
        <v>714</v>
      </c>
      <c r="B399">
        <v>27</v>
      </c>
      <c r="C399" t="s">
        <v>148</v>
      </c>
      <c r="D399" t="s">
        <v>151</v>
      </c>
      <c r="E399" t="s">
        <v>158</v>
      </c>
      <c r="F399" t="s">
        <v>35</v>
      </c>
      <c r="G399" t="s">
        <v>44</v>
      </c>
      <c r="H399" t="s">
        <v>81</v>
      </c>
      <c r="I399" t="s">
        <v>44</v>
      </c>
      <c r="J399" t="s">
        <v>159</v>
      </c>
      <c r="K399" t="s">
        <v>44</v>
      </c>
      <c r="L399" t="s">
        <v>152</v>
      </c>
      <c r="M399" t="s">
        <v>49</v>
      </c>
      <c r="N399" t="s">
        <v>96</v>
      </c>
      <c r="O399" t="s">
        <v>156</v>
      </c>
      <c r="P399" t="s">
        <v>144</v>
      </c>
      <c r="Q399">
        <v>20</v>
      </c>
      <c r="R399">
        <v>1</v>
      </c>
      <c r="S399">
        <v>6</v>
      </c>
      <c r="T399">
        <v>0</v>
      </c>
      <c r="U399">
        <v>4</v>
      </c>
      <c r="V399">
        <v>3</v>
      </c>
      <c r="W399">
        <v>71</v>
      </c>
      <c r="X399">
        <v>1410</v>
      </c>
      <c r="Y399">
        <v>16673</v>
      </c>
      <c r="Z399">
        <v>4647</v>
      </c>
      <c r="AA399">
        <v>3</v>
      </c>
      <c r="AB399" s="29">
        <v>44773</v>
      </c>
      <c r="AC399" s="29">
        <v>35130</v>
      </c>
      <c r="AD399" s="29">
        <v>42703</v>
      </c>
      <c r="AE399" s="29"/>
      <c r="AF399">
        <v>6</v>
      </c>
      <c r="AG399" t="s">
        <v>157</v>
      </c>
      <c r="AI399">
        <v>21</v>
      </c>
      <c r="AJ399">
        <v>1</v>
      </c>
      <c r="AK399" t="s">
        <v>150</v>
      </c>
      <c r="AL399" t="s">
        <v>77</v>
      </c>
      <c r="AM399">
        <f t="shared" si="30"/>
        <v>4</v>
      </c>
      <c r="AN399">
        <f t="shared" si="31"/>
        <v>11</v>
      </c>
      <c r="AO399" t="str">
        <f t="shared" si="32"/>
        <v/>
      </c>
      <c r="AP399" t="str">
        <f t="shared" si="33"/>
        <v/>
      </c>
      <c r="AQ399">
        <f t="shared" si="34"/>
        <v>2016</v>
      </c>
    </row>
    <row r="400" spans="1:43" x14ac:dyDescent="0.35">
      <c r="A400">
        <v>1397</v>
      </c>
      <c r="B400">
        <v>39</v>
      </c>
      <c r="C400" t="s">
        <v>148</v>
      </c>
      <c r="D400" t="s">
        <v>164</v>
      </c>
      <c r="E400" t="s">
        <v>4</v>
      </c>
      <c r="F400" t="s">
        <v>36</v>
      </c>
      <c r="G400" t="s">
        <v>43</v>
      </c>
      <c r="H400" t="s">
        <v>82</v>
      </c>
      <c r="I400" t="s">
        <v>43</v>
      </c>
      <c r="J400" t="s">
        <v>161</v>
      </c>
      <c r="K400" t="s">
        <v>43</v>
      </c>
      <c r="L400" t="s">
        <v>152</v>
      </c>
      <c r="M400" t="s">
        <v>49</v>
      </c>
      <c r="N400" t="s">
        <v>160</v>
      </c>
      <c r="O400" t="s">
        <v>41</v>
      </c>
      <c r="P400" t="s">
        <v>148</v>
      </c>
      <c r="Q400">
        <v>21</v>
      </c>
      <c r="R400">
        <v>3</v>
      </c>
      <c r="S400">
        <v>13</v>
      </c>
      <c r="T400">
        <v>0</v>
      </c>
      <c r="U400">
        <v>5</v>
      </c>
      <c r="V400">
        <v>25</v>
      </c>
      <c r="W400">
        <v>71</v>
      </c>
      <c r="X400">
        <v>1485</v>
      </c>
      <c r="Y400">
        <v>3449</v>
      </c>
      <c r="Z400">
        <v>10920</v>
      </c>
      <c r="AA400">
        <v>2</v>
      </c>
      <c r="AB400" s="29">
        <v>44773</v>
      </c>
      <c r="AC400" s="29">
        <v>30712</v>
      </c>
      <c r="AD400" s="29">
        <v>42906</v>
      </c>
      <c r="AE400" s="29"/>
      <c r="AF400">
        <v>5</v>
      </c>
      <c r="AG400" t="s">
        <v>149</v>
      </c>
      <c r="AI400">
        <v>34</v>
      </c>
      <c r="AJ400">
        <v>1</v>
      </c>
      <c r="AK400" t="s">
        <v>162</v>
      </c>
      <c r="AL400" t="s">
        <v>77</v>
      </c>
      <c r="AM400">
        <f t="shared" si="30"/>
        <v>2</v>
      </c>
      <c r="AN400">
        <f t="shared" si="31"/>
        <v>6</v>
      </c>
      <c r="AO400" t="str">
        <f t="shared" si="32"/>
        <v/>
      </c>
      <c r="AP400" t="str">
        <f t="shared" si="33"/>
        <v/>
      </c>
      <c r="AQ400">
        <f t="shared" si="34"/>
        <v>2017</v>
      </c>
    </row>
    <row r="401" spans="1:43" x14ac:dyDescent="0.35">
      <c r="A401">
        <v>1401</v>
      </c>
      <c r="B401">
        <v>52</v>
      </c>
      <c r="C401" t="s">
        <v>148</v>
      </c>
      <c r="D401" t="s">
        <v>151</v>
      </c>
      <c r="E401" t="s">
        <v>4</v>
      </c>
      <c r="F401" t="s">
        <v>36</v>
      </c>
      <c r="G401" t="s">
        <v>44</v>
      </c>
      <c r="H401" t="s">
        <v>81</v>
      </c>
      <c r="I401" t="s">
        <v>44</v>
      </c>
      <c r="J401" t="s">
        <v>165</v>
      </c>
      <c r="K401" t="s">
        <v>43</v>
      </c>
      <c r="L401" t="s">
        <v>41</v>
      </c>
      <c r="M401" t="s">
        <v>48</v>
      </c>
      <c r="N401" t="s">
        <v>160</v>
      </c>
      <c r="O401" t="s">
        <v>41</v>
      </c>
      <c r="P401" t="s">
        <v>144</v>
      </c>
      <c r="Q401">
        <v>11</v>
      </c>
      <c r="R401">
        <v>2</v>
      </c>
      <c r="S401">
        <v>24</v>
      </c>
      <c r="T401">
        <v>0</v>
      </c>
      <c r="U401">
        <v>2</v>
      </c>
      <c r="V401">
        <v>28</v>
      </c>
      <c r="W401">
        <v>59</v>
      </c>
      <c r="X401">
        <v>322</v>
      </c>
      <c r="Y401">
        <v>9731</v>
      </c>
      <c r="Z401">
        <v>13247</v>
      </c>
      <c r="AA401">
        <v>3</v>
      </c>
      <c r="AB401" s="29">
        <v>44773</v>
      </c>
      <c r="AC401" s="29">
        <v>26022</v>
      </c>
      <c r="AD401" s="29">
        <v>43092</v>
      </c>
      <c r="AE401" s="29"/>
      <c r="AF401">
        <v>5</v>
      </c>
      <c r="AG401" t="s">
        <v>167</v>
      </c>
      <c r="AI401">
        <v>47</v>
      </c>
      <c r="AJ401">
        <v>2</v>
      </c>
      <c r="AK401" t="s">
        <v>162</v>
      </c>
      <c r="AL401" t="s">
        <v>77</v>
      </c>
      <c r="AM401">
        <f t="shared" si="30"/>
        <v>4</v>
      </c>
      <c r="AN401">
        <f t="shared" si="31"/>
        <v>12</v>
      </c>
      <c r="AO401" t="str">
        <f t="shared" si="32"/>
        <v/>
      </c>
      <c r="AP401" t="str">
        <f t="shared" si="33"/>
        <v/>
      </c>
      <c r="AQ401">
        <f t="shared" si="34"/>
        <v>2017</v>
      </c>
    </row>
    <row r="402" spans="1:43" x14ac:dyDescent="0.35">
      <c r="A402">
        <v>1471</v>
      </c>
      <c r="B402">
        <v>44</v>
      </c>
      <c r="C402" t="s">
        <v>148</v>
      </c>
      <c r="D402" t="s">
        <v>164</v>
      </c>
      <c r="E402" t="s">
        <v>4</v>
      </c>
      <c r="F402" t="s">
        <v>38</v>
      </c>
      <c r="G402" t="s">
        <v>43</v>
      </c>
      <c r="H402" t="s">
        <v>82</v>
      </c>
      <c r="I402" t="s">
        <v>42</v>
      </c>
      <c r="J402" t="s">
        <v>155</v>
      </c>
      <c r="K402" t="s">
        <v>43</v>
      </c>
      <c r="L402" t="s">
        <v>48</v>
      </c>
      <c r="M402" t="s">
        <v>49</v>
      </c>
      <c r="N402" t="s">
        <v>95</v>
      </c>
      <c r="P402" t="s">
        <v>148</v>
      </c>
      <c r="Q402">
        <v>14</v>
      </c>
      <c r="R402">
        <v>3</v>
      </c>
      <c r="S402">
        <v>7</v>
      </c>
      <c r="T402">
        <v>0</v>
      </c>
      <c r="U402">
        <v>3</v>
      </c>
      <c r="V402">
        <v>5</v>
      </c>
      <c r="W402">
        <v>90</v>
      </c>
      <c r="X402">
        <v>981</v>
      </c>
      <c r="Y402">
        <v>7973</v>
      </c>
      <c r="Z402">
        <v>3162</v>
      </c>
      <c r="AA402">
        <v>5</v>
      </c>
      <c r="AB402" s="29">
        <v>44773</v>
      </c>
      <c r="AC402" s="29">
        <v>28758</v>
      </c>
      <c r="AD402" s="29">
        <v>43132</v>
      </c>
      <c r="AE402" s="29"/>
      <c r="AF402">
        <v>4</v>
      </c>
      <c r="AG402" t="s">
        <v>153</v>
      </c>
      <c r="AI402">
        <v>40</v>
      </c>
      <c r="AJ402">
        <v>1</v>
      </c>
      <c r="AK402" t="s">
        <v>162</v>
      </c>
      <c r="AL402" t="s">
        <v>77</v>
      </c>
      <c r="AM402">
        <f t="shared" si="30"/>
        <v>1</v>
      </c>
      <c r="AN402">
        <f t="shared" si="31"/>
        <v>2</v>
      </c>
      <c r="AO402" t="str">
        <f t="shared" si="32"/>
        <v/>
      </c>
      <c r="AP402" t="str">
        <f t="shared" si="33"/>
        <v/>
      </c>
      <c r="AQ402">
        <f t="shared" si="34"/>
        <v>2018</v>
      </c>
    </row>
    <row r="403" spans="1:43" x14ac:dyDescent="0.35">
      <c r="A403">
        <v>359</v>
      </c>
      <c r="B403">
        <v>32</v>
      </c>
      <c r="C403" t="s">
        <v>148</v>
      </c>
      <c r="D403" t="s">
        <v>151</v>
      </c>
      <c r="E403" t="s">
        <v>4</v>
      </c>
      <c r="F403" t="s">
        <v>38</v>
      </c>
      <c r="G403" t="s">
        <v>42</v>
      </c>
      <c r="H403" t="s">
        <v>82</v>
      </c>
      <c r="I403" t="s">
        <v>44</v>
      </c>
      <c r="J403" t="s">
        <v>155</v>
      </c>
      <c r="K403" t="s">
        <v>42</v>
      </c>
      <c r="L403" t="s">
        <v>152</v>
      </c>
      <c r="M403" t="s">
        <v>47</v>
      </c>
      <c r="N403" t="s">
        <v>160</v>
      </c>
      <c r="P403" t="s">
        <v>148</v>
      </c>
      <c r="Q403">
        <v>20</v>
      </c>
      <c r="R403">
        <v>1</v>
      </c>
      <c r="S403">
        <v>5</v>
      </c>
      <c r="T403">
        <v>0</v>
      </c>
      <c r="U403">
        <v>3</v>
      </c>
      <c r="V403">
        <v>7</v>
      </c>
      <c r="W403">
        <v>100</v>
      </c>
      <c r="X403">
        <v>1311</v>
      </c>
      <c r="Y403">
        <v>26062</v>
      </c>
      <c r="Z403">
        <v>2794</v>
      </c>
      <c r="AA403">
        <v>3</v>
      </c>
      <c r="AB403" s="29">
        <v>44773</v>
      </c>
      <c r="AC403" s="29">
        <v>33131</v>
      </c>
      <c r="AD403" s="29">
        <v>43292</v>
      </c>
      <c r="AE403" s="29"/>
      <c r="AF403">
        <v>4</v>
      </c>
      <c r="AG403" t="s">
        <v>149</v>
      </c>
      <c r="AI403">
        <v>28</v>
      </c>
      <c r="AJ403">
        <v>2</v>
      </c>
      <c r="AK403" t="s">
        <v>162</v>
      </c>
      <c r="AL403" t="s">
        <v>77</v>
      </c>
      <c r="AM403">
        <f t="shared" si="30"/>
        <v>3</v>
      </c>
      <c r="AN403">
        <f t="shared" si="31"/>
        <v>7</v>
      </c>
      <c r="AO403" t="str">
        <f t="shared" si="32"/>
        <v/>
      </c>
      <c r="AP403" t="str">
        <f t="shared" si="33"/>
        <v/>
      </c>
      <c r="AQ403">
        <f t="shared" si="34"/>
        <v>2018</v>
      </c>
    </row>
    <row r="404" spans="1:43" x14ac:dyDescent="0.35">
      <c r="A404">
        <v>1949</v>
      </c>
      <c r="B404">
        <v>36</v>
      </c>
      <c r="C404" t="s">
        <v>148</v>
      </c>
      <c r="D404" t="s">
        <v>164</v>
      </c>
      <c r="E404" t="s">
        <v>4</v>
      </c>
      <c r="F404" t="s">
        <v>37</v>
      </c>
      <c r="G404" t="s">
        <v>41</v>
      </c>
      <c r="H404" t="s">
        <v>82</v>
      </c>
      <c r="I404" t="s">
        <v>44</v>
      </c>
      <c r="J404" t="s">
        <v>155</v>
      </c>
      <c r="K404" t="s">
        <v>42</v>
      </c>
      <c r="L404" t="s">
        <v>152</v>
      </c>
      <c r="M404" t="s">
        <v>49</v>
      </c>
      <c r="N404" t="s">
        <v>160</v>
      </c>
      <c r="P404" t="s">
        <v>148</v>
      </c>
      <c r="Q404">
        <v>22</v>
      </c>
      <c r="R404">
        <v>1</v>
      </c>
      <c r="S404">
        <v>5</v>
      </c>
      <c r="T404">
        <v>0</v>
      </c>
      <c r="U404">
        <v>2</v>
      </c>
      <c r="V404">
        <v>9</v>
      </c>
      <c r="W404">
        <v>66</v>
      </c>
      <c r="X404">
        <v>1351</v>
      </c>
      <c r="Y404">
        <v>9238</v>
      </c>
      <c r="Z404">
        <v>2810</v>
      </c>
      <c r="AA404">
        <v>3</v>
      </c>
      <c r="AB404" s="29">
        <v>44773</v>
      </c>
      <c r="AC404" s="29">
        <v>31840</v>
      </c>
      <c r="AD404" s="29">
        <v>43295</v>
      </c>
      <c r="AE404" s="29"/>
      <c r="AF404">
        <v>4</v>
      </c>
      <c r="AG404" t="s">
        <v>149</v>
      </c>
      <c r="AI404">
        <v>32</v>
      </c>
      <c r="AJ404">
        <v>1</v>
      </c>
      <c r="AK404" t="s">
        <v>162</v>
      </c>
      <c r="AL404" t="s">
        <v>77</v>
      </c>
      <c r="AM404">
        <f t="shared" si="30"/>
        <v>3</v>
      </c>
      <c r="AN404">
        <f t="shared" si="31"/>
        <v>7</v>
      </c>
      <c r="AO404" t="str">
        <f t="shared" si="32"/>
        <v/>
      </c>
      <c r="AP404" t="str">
        <f t="shared" si="33"/>
        <v/>
      </c>
      <c r="AQ404">
        <f t="shared" si="34"/>
        <v>2018</v>
      </c>
    </row>
    <row r="405" spans="1:43" x14ac:dyDescent="0.35">
      <c r="A405">
        <v>1775</v>
      </c>
      <c r="B405">
        <v>53</v>
      </c>
      <c r="C405" t="s">
        <v>148</v>
      </c>
      <c r="D405" t="s">
        <v>164</v>
      </c>
      <c r="E405" t="s">
        <v>4</v>
      </c>
      <c r="F405" t="s">
        <v>37</v>
      </c>
      <c r="G405" t="s">
        <v>41</v>
      </c>
      <c r="H405" t="s">
        <v>81</v>
      </c>
      <c r="I405" t="s">
        <v>42</v>
      </c>
      <c r="J405" t="s">
        <v>165</v>
      </c>
      <c r="K405" t="s">
        <v>43</v>
      </c>
      <c r="L405" t="s">
        <v>152</v>
      </c>
      <c r="M405" t="s">
        <v>48</v>
      </c>
      <c r="N405" t="s">
        <v>160</v>
      </c>
      <c r="O405" t="s">
        <v>43</v>
      </c>
      <c r="P405" t="s">
        <v>144</v>
      </c>
      <c r="Q405">
        <v>20</v>
      </c>
      <c r="R405">
        <v>4</v>
      </c>
      <c r="S405">
        <v>27</v>
      </c>
      <c r="T405">
        <v>0</v>
      </c>
      <c r="U405">
        <v>2</v>
      </c>
      <c r="V405">
        <v>1</v>
      </c>
      <c r="W405">
        <v>60</v>
      </c>
      <c r="X405">
        <v>661</v>
      </c>
      <c r="Y405">
        <v>22308</v>
      </c>
      <c r="Z405">
        <v>12965</v>
      </c>
      <c r="AA405">
        <v>2</v>
      </c>
      <c r="AB405" s="29">
        <v>44773</v>
      </c>
      <c r="AC405" s="29">
        <v>25488</v>
      </c>
      <c r="AD405" s="29">
        <v>44004</v>
      </c>
      <c r="AE405" s="29"/>
      <c r="AF405">
        <v>2</v>
      </c>
      <c r="AG405" t="s">
        <v>167</v>
      </c>
      <c r="AI405">
        <v>51</v>
      </c>
      <c r="AJ405">
        <v>1</v>
      </c>
      <c r="AK405" t="s">
        <v>170</v>
      </c>
      <c r="AL405" t="s">
        <v>78</v>
      </c>
      <c r="AM405">
        <f t="shared" si="30"/>
        <v>2</v>
      </c>
      <c r="AN405">
        <f t="shared" si="31"/>
        <v>6</v>
      </c>
      <c r="AO405" t="str">
        <f t="shared" si="32"/>
        <v/>
      </c>
      <c r="AP405" t="str">
        <f t="shared" si="33"/>
        <v/>
      </c>
      <c r="AQ405">
        <f t="shared" si="34"/>
        <v>2020</v>
      </c>
    </row>
    <row r="406" spans="1:43" x14ac:dyDescent="0.35">
      <c r="A406">
        <v>951</v>
      </c>
      <c r="B406">
        <v>32</v>
      </c>
      <c r="C406" t="s">
        <v>148</v>
      </c>
      <c r="D406" t="s">
        <v>164</v>
      </c>
      <c r="E406" t="s">
        <v>4</v>
      </c>
      <c r="F406" t="s">
        <v>38</v>
      </c>
      <c r="G406" t="s">
        <v>43</v>
      </c>
      <c r="H406" t="s">
        <v>81</v>
      </c>
      <c r="I406" t="s">
        <v>42</v>
      </c>
      <c r="J406" t="s">
        <v>155</v>
      </c>
      <c r="K406" t="s">
        <v>42</v>
      </c>
      <c r="L406" t="s">
        <v>152</v>
      </c>
      <c r="M406" t="s">
        <v>49</v>
      </c>
      <c r="N406" t="s">
        <v>160</v>
      </c>
      <c r="P406" t="s">
        <v>148</v>
      </c>
      <c r="Q406">
        <v>20</v>
      </c>
      <c r="R406">
        <v>6</v>
      </c>
      <c r="S406">
        <v>5</v>
      </c>
      <c r="T406">
        <v>0</v>
      </c>
      <c r="U406">
        <v>2</v>
      </c>
      <c r="V406">
        <v>1</v>
      </c>
      <c r="W406">
        <v>70</v>
      </c>
      <c r="X406">
        <v>1184</v>
      </c>
      <c r="Y406">
        <v>3974</v>
      </c>
      <c r="Z406">
        <v>2332</v>
      </c>
      <c r="AA406">
        <v>3</v>
      </c>
      <c r="AB406" s="29">
        <v>44773</v>
      </c>
      <c r="AC406" s="29">
        <v>33110</v>
      </c>
      <c r="AD406" s="29">
        <v>44010</v>
      </c>
      <c r="AE406" s="29"/>
      <c r="AF406">
        <v>2</v>
      </c>
      <c r="AG406" t="s">
        <v>149</v>
      </c>
      <c r="AI406">
        <v>30</v>
      </c>
      <c r="AJ406">
        <v>1</v>
      </c>
      <c r="AK406" t="s">
        <v>170</v>
      </c>
      <c r="AL406" t="s">
        <v>77</v>
      </c>
      <c r="AM406">
        <f t="shared" si="30"/>
        <v>2</v>
      </c>
      <c r="AN406">
        <f t="shared" si="31"/>
        <v>6</v>
      </c>
      <c r="AO406" t="str">
        <f t="shared" si="32"/>
        <v/>
      </c>
      <c r="AP406" t="str">
        <f t="shared" si="33"/>
        <v/>
      </c>
      <c r="AQ406">
        <f t="shared" si="34"/>
        <v>2020</v>
      </c>
    </row>
    <row r="407" spans="1:43" x14ac:dyDescent="0.35">
      <c r="A407">
        <v>1753</v>
      </c>
      <c r="B407">
        <v>29</v>
      </c>
      <c r="C407" t="s">
        <v>148</v>
      </c>
      <c r="D407" t="s">
        <v>151</v>
      </c>
      <c r="E407" t="s">
        <v>4</v>
      </c>
      <c r="F407" t="s">
        <v>38</v>
      </c>
      <c r="G407" t="s">
        <v>44</v>
      </c>
      <c r="H407" t="s">
        <v>82</v>
      </c>
      <c r="I407" t="s">
        <v>44</v>
      </c>
      <c r="J407" t="s">
        <v>161</v>
      </c>
      <c r="K407" t="s">
        <v>43</v>
      </c>
      <c r="L407" t="s">
        <v>48</v>
      </c>
      <c r="M407" t="s">
        <v>50</v>
      </c>
      <c r="N407" t="s">
        <v>95</v>
      </c>
      <c r="P407" t="s">
        <v>144</v>
      </c>
      <c r="Q407">
        <v>12</v>
      </c>
      <c r="R407">
        <v>8</v>
      </c>
      <c r="S407">
        <v>10</v>
      </c>
      <c r="T407">
        <v>0</v>
      </c>
      <c r="U407">
        <v>2</v>
      </c>
      <c r="V407">
        <v>1</v>
      </c>
      <c r="W407">
        <v>70</v>
      </c>
      <c r="X407">
        <v>461</v>
      </c>
      <c r="Y407">
        <v>23060</v>
      </c>
      <c r="Z407">
        <v>6294</v>
      </c>
      <c r="AA407">
        <v>5</v>
      </c>
      <c r="AB407" s="29">
        <v>44773</v>
      </c>
      <c r="AC407" s="29">
        <v>34435</v>
      </c>
      <c r="AD407" s="29">
        <v>44061</v>
      </c>
      <c r="AE407" s="29"/>
      <c r="AF407">
        <v>2</v>
      </c>
      <c r="AG407" t="s">
        <v>157</v>
      </c>
      <c r="AI407">
        <v>27</v>
      </c>
      <c r="AJ407">
        <v>2</v>
      </c>
      <c r="AK407" t="s">
        <v>170</v>
      </c>
      <c r="AL407" t="s">
        <v>77</v>
      </c>
      <c r="AM407">
        <f t="shared" si="30"/>
        <v>3</v>
      </c>
      <c r="AN407">
        <f t="shared" si="31"/>
        <v>8</v>
      </c>
      <c r="AO407" t="str">
        <f t="shared" si="32"/>
        <v/>
      </c>
      <c r="AP407" t="str">
        <f t="shared" si="33"/>
        <v/>
      </c>
      <c r="AQ407">
        <f t="shared" si="34"/>
        <v>2020</v>
      </c>
    </row>
    <row r="408" spans="1:43" x14ac:dyDescent="0.35">
      <c r="A408">
        <v>1937</v>
      </c>
      <c r="B408">
        <v>38</v>
      </c>
      <c r="C408" t="s">
        <v>148</v>
      </c>
      <c r="D408" t="s">
        <v>151</v>
      </c>
      <c r="E408" t="s">
        <v>4</v>
      </c>
      <c r="F408" t="s">
        <v>38</v>
      </c>
      <c r="G408" t="s">
        <v>44</v>
      </c>
      <c r="H408" t="s">
        <v>81</v>
      </c>
      <c r="I408" t="s">
        <v>42</v>
      </c>
      <c r="J408" t="s">
        <v>146</v>
      </c>
      <c r="K408" t="s">
        <v>42</v>
      </c>
      <c r="L408" t="s">
        <v>147</v>
      </c>
      <c r="M408" t="s">
        <v>49</v>
      </c>
      <c r="N408" t="s">
        <v>96</v>
      </c>
      <c r="O408" t="s">
        <v>41</v>
      </c>
      <c r="P408" t="s">
        <v>144</v>
      </c>
      <c r="Q408">
        <v>16</v>
      </c>
      <c r="R408">
        <v>1</v>
      </c>
      <c r="S408">
        <v>20</v>
      </c>
      <c r="T408">
        <v>0</v>
      </c>
      <c r="U408">
        <v>7</v>
      </c>
      <c r="V408">
        <v>8</v>
      </c>
      <c r="W408">
        <v>58</v>
      </c>
      <c r="X408">
        <v>1394</v>
      </c>
      <c r="Y408">
        <v>18115</v>
      </c>
      <c r="Z408">
        <v>2133</v>
      </c>
      <c r="AA408">
        <v>3</v>
      </c>
      <c r="AB408" s="29">
        <v>44773</v>
      </c>
      <c r="AC408" s="29">
        <v>31174</v>
      </c>
      <c r="AD408" s="29">
        <v>37784</v>
      </c>
      <c r="AE408" s="29"/>
      <c r="AF408">
        <v>19</v>
      </c>
      <c r="AG408" t="s">
        <v>149</v>
      </c>
      <c r="AI408">
        <v>19</v>
      </c>
      <c r="AJ408">
        <v>1</v>
      </c>
      <c r="AK408" t="s">
        <v>163</v>
      </c>
      <c r="AL408" t="s">
        <v>77</v>
      </c>
      <c r="AM408">
        <f t="shared" si="30"/>
        <v>2</v>
      </c>
      <c r="AN408">
        <f t="shared" si="31"/>
        <v>6</v>
      </c>
      <c r="AO408" t="str">
        <f t="shared" si="32"/>
        <v/>
      </c>
      <c r="AP408" t="str">
        <f t="shared" si="33"/>
        <v/>
      </c>
      <c r="AQ408">
        <f t="shared" si="34"/>
        <v>2003</v>
      </c>
    </row>
    <row r="409" spans="1:43" x14ac:dyDescent="0.35">
      <c r="A409">
        <v>999</v>
      </c>
      <c r="B409">
        <v>41</v>
      </c>
      <c r="C409" t="s">
        <v>148</v>
      </c>
      <c r="D409" t="s">
        <v>151</v>
      </c>
      <c r="E409" t="s">
        <v>4</v>
      </c>
      <c r="F409" t="s">
        <v>38</v>
      </c>
      <c r="G409" t="s">
        <v>41</v>
      </c>
      <c r="H409" t="s">
        <v>82</v>
      </c>
      <c r="I409" t="s">
        <v>43</v>
      </c>
      <c r="J409" t="s">
        <v>173</v>
      </c>
      <c r="K409" t="s">
        <v>43</v>
      </c>
      <c r="L409" t="s">
        <v>147</v>
      </c>
      <c r="M409" t="s">
        <v>50</v>
      </c>
      <c r="N409" t="s">
        <v>96</v>
      </c>
      <c r="O409" t="s">
        <v>41</v>
      </c>
      <c r="P409" t="s">
        <v>148</v>
      </c>
      <c r="Q409">
        <v>17</v>
      </c>
      <c r="R409">
        <v>2</v>
      </c>
      <c r="S409">
        <v>21</v>
      </c>
      <c r="T409">
        <v>0</v>
      </c>
      <c r="U409">
        <v>11</v>
      </c>
      <c r="V409">
        <v>9</v>
      </c>
      <c r="W409">
        <v>64</v>
      </c>
      <c r="X409">
        <v>840</v>
      </c>
      <c r="Y409">
        <v>3735</v>
      </c>
      <c r="Z409">
        <v>19419</v>
      </c>
      <c r="AA409">
        <v>2</v>
      </c>
      <c r="AB409" s="29">
        <v>44773</v>
      </c>
      <c r="AC409" s="29">
        <v>30157</v>
      </c>
      <c r="AD409" s="29">
        <v>38541</v>
      </c>
      <c r="AE409" s="29"/>
      <c r="AF409">
        <v>17</v>
      </c>
      <c r="AG409" t="s">
        <v>153</v>
      </c>
      <c r="AI409">
        <v>24</v>
      </c>
      <c r="AJ409">
        <v>1</v>
      </c>
      <c r="AK409" t="s">
        <v>163</v>
      </c>
      <c r="AL409" t="s">
        <v>77</v>
      </c>
      <c r="AM409">
        <f t="shared" si="30"/>
        <v>3</v>
      </c>
      <c r="AN409">
        <f t="shared" si="31"/>
        <v>7</v>
      </c>
      <c r="AO409" t="str">
        <f t="shared" si="32"/>
        <v/>
      </c>
      <c r="AP409" t="str">
        <f t="shared" si="33"/>
        <v/>
      </c>
      <c r="AQ409">
        <f t="shared" si="34"/>
        <v>2005</v>
      </c>
    </row>
    <row r="410" spans="1:43" x14ac:dyDescent="0.35">
      <c r="A410">
        <v>1774</v>
      </c>
      <c r="B410">
        <v>34</v>
      </c>
      <c r="C410" t="s">
        <v>148</v>
      </c>
      <c r="D410" t="s">
        <v>164</v>
      </c>
      <c r="E410" t="s">
        <v>158</v>
      </c>
      <c r="F410" t="s">
        <v>38</v>
      </c>
      <c r="G410" t="s">
        <v>44</v>
      </c>
      <c r="H410" t="s">
        <v>82</v>
      </c>
      <c r="I410" t="s">
        <v>43</v>
      </c>
      <c r="J410" t="s">
        <v>159</v>
      </c>
      <c r="K410" t="s">
        <v>43</v>
      </c>
      <c r="L410" t="s">
        <v>147</v>
      </c>
      <c r="M410" t="s">
        <v>49</v>
      </c>
      <c r="N410" t="s">
        <v>96</v>
      </c>
      <c r="O410" t="s">
        <v>41</v>
      </c>
      <c r="P410" t="s">
        <v>144</v>
      </c>
      <c r="Q410">
        <v>14</v>
      </c>
      <c r="R410">
        <v>1</v>
      </c>
      <c r="S410">
        <v>15</v>
      </c>
      <c r="T410">
        <v>0</v>
      </c>
      <c r="U410">
        <v>7</v>
      </c>
      <c r="V410">
        <v>10</v>
      </c>
      <c r="W410">
        <v>87</v>
      </c>
      <c r="X410">
        <v>1375</v>
      </c>
      <c r="Y410">
        <v>12313</v>
      </c>
      <c r="Z410">
        <v>4001</v>
      </c>
      <c r="AA410">
        <v>3</v>
      </c>
      <c r="AB410" s="29">
        <v>44773</v>
      </c>
      <c r="AC410" s="29">
        <v>32574</v>
      </c>
      <c r="AD410" s="29">
        <v>39308</v>
      </c>
      <c r="AE410" s="29"/>
      <c r="AF410">
        <v>15</v>
      </c>
      <c r="AG410" t="s">
        <v>149</v>
      </c>
      <c r="AI410">
        <v>19</v>
      </c>
      <c r="AJ410">
        <v>1</v>
      </c>
      <c r="AK410" t="s">
        <v>163</v>
      </c>
      <c r="AL410" t="s">
        <v>77</v>
      </c>
      <c r="AM410">
        <f t="shared" si="30"/>
        <v>3</v>
      </c>
      <c r="AN410">
        <f t="shared" si="31"/>
        <v>8</v>
      </c>
      <c r="AO410" t="str">
        <f t="shared" si="32"/>
        <v/>
      </c>
      <c r="AP410" t="str">
        <f t="shared" si="33"/>
        <v/>
      </c>
      <c r="AQ410">
        <f t="shared" si="34"/>
        <v>2007</v>
      </c>
    </row>
    <row r="411" spans="1:43" x14ac:dyDescent="0.35">
      <c r="A411">
        <v>1257</v>
      </c>
      <c r="B411">
        <v>36</v>
      </c>
      <c r="C411" t="s">
        <v>148</v>
      </c>
      <c r="D411" t="s">
        <v>151</v>
      </c>
      <c r="E411" t="s">
        <v>4</v>
      </c>
      <c r="F411" t="s">
        <v>38</v>
      </c>
      <c r="G411" t="s">
        <v>43</v>
      </c>
      <c r="H411" t="s">
        <v>82</v>
      </c>
      <c r="I411" t="s">
        <v>43</v>
      </c>
      <c r="J411" t="s">
        <v>146</v>
      </c>
      <c r="K411" t="s">
        <v>42</v>
      </c>
      <c r="L411" t="s">
        <v>147</v>
      </c>
      <c r="M411" t="s">
        <v>48</v>
      </c>
      <c r="N411" t="s">
        <v>160</v>
      </c>
      <c r="P411" t="s">
        <v>148</v>
      </c>
      <c r="Q411">
        <v>12</v>
      </c>
      <c r="R411">
        <v>1</v>
      </c>
      <c r="S411">
        <v>12</v>
      </c>
      <c r="T411">
        <v>0</v>
      </c>
      <c r="U411">
        <v>7</v>
      </c>
      <c r="V411">
        <v>3</v>
      </c>
      <c r="W411">
        <v>46</v>
      </c>
      <c r="X411">
        <v>469</v>
      </c>
      <c r="Y411">
        <v>9256</v>
      </c>
      <c r="Z411">
        <v>3692</v>
      </c>
      <c r="AA411">
        <v>2</v>
      </c>
      <c r="AB411" s="29">
        <v>44773</v>
      </c>
      <c r="AC411" s="29">
        <v>31766</v>
      </c>
      <c r="AD411" s="29">
        <v>41102</v>
      </c>
      <c r="AE411" s="29"/>
      <c r="AF411">
        <v>10</v>
      </c>
      <c r="AG411" t="s">
        <v>149</v>
      </c>
      <c r="AI411">
        <v>26</v>
      </c>
      <c r="AJ411">
        <v>1</v>
      </c>
      <c r="AK411" t="s">
        <v>154</v>
      </c>
      <c r="AL411" t="s">
        <v>77</v>
      </c>
      <c r="AM411">
        <f t="shared" si="30"/>
        <v>3</v>
      </c>
      <c r="AN411">
        <f t="shared" si="31"/>
        <v>7</v>
      </c>
      <c r="AO411" t="str">
        <f t="shared" si="32"/>
        <v/>
      </c>
      <c r="AP411" t="str">
        <f t="shared" si="33"/>
        <v/>
      </c>
      <c r="AQ411">
        <f t="shared" si="34"/>
        <v>2012</v>
      </c>
    </row>
    <row r="412" spans="1:43" x14ac:dyDescent="0.35">
      <c r="A412">
        <v>1642</v>
      </c>
      <c r="B412">
        <v>44</v>
      </c>
      <c r="C412" t="s">
        <v>148</v>
      </c>
      <c r="D412" t="s">
        <v>151</v>
      </c>
      <c r="E412" t="s">
        <v>168</v>
      </c>
      <c r="F412" t="s">
        <v>34</v>
      </c>
      <c r="G412" t="s">
        <v>41</v>
      </c>
      <c r="H412" t="s">
        <v>82</v>
      </c>
      <c r="I412" t="s">
        <v>43</v>
      </c>
      <c r="J412" t="s">
        <v>168</v>
      </c>
      <c r="K412" t="s">
        <v>44</v>
      </c>
      <c r="L412" t="s">
        <v>147</v>
      </c>
      <c r="M412" t="s">
        <v>49</v>
      </c>
      <c r="N412" t="s">
        <v>160</v>
      </c>
      <c r="P412" t="s">
        <v>144</v>
      </c>
      <c r="Q412">
        <v>11</v>
      </c>
      <c r="R412">
        <v>4</v>
      </c>
      <c r="S412">
        <v>14</v>
      </c>
      <c r="T412">
        <v>0</v>
      </c>
      <c r="U412">
        <v>2</v>
      </c>
      <c r="V412">
        <v>1</v>
      </c>
      <c r="W412">
        <v>37</v>
      </c>
      <c r="X412">
        <v>602</v>
      </c>
      <c r="Y412">
        <v>10503</v>
      </c>
      <c r="Z412">
        <v>5743</v>
      </c>
      <c r="AA412">
        <v>3</v>
      </c>
      <c r="AB412" s="29">
        <v>44773</v>
      </c>
      <c r="AC412" s="29">
        <v>28774</v>
      </c>
      <c r="AD412" s="29">
        <v>41150</v>
      </c>
      <c r="AE412" s="29"/>
      <c r="AF412">
        <v>10</v>
      </c>
      <c r="AG412" t="s">
        <v>153</v>
      </c>
      <c r="AI412">
        <v>34</v>
      </c>
      <c r="AJ412">
        <v>1</v>
      </c>
      <c r="AK412" t="s">
        <v>154</v>
      </c>
      <c r="AL412" t="s">
        <v>77</v>
      </c>
      <c r="AM412">
        <f t="shared" si="30"/>
        <v>3</v>
      </c>
      <c r="AN412">
        <f t="shared" si="31"/>
        <v>8</v>
      </c>
      <c r="AO412" t="str">
        <f t="shared" si="32"/>
        <v/>
      </c>
      <c r="AP412" t="str">
        <f t="shared" si="33"/>
        <v/>
      </c>
      <c r="AQ412">
        <f t="shared" si="34"/>
        <v>2012</v>
      </c>
    </row>
    <row r="413" spans="1:43" x14ac:dyDescent="0.35">
      <c r="A413">
        <v>2049</v>
      </c>
      <c r="B413">
        <v>35</v>
      </c>
      <c r="C413" t="s">
        <v>148</v>
      </c>
      <c r="D413" t="s">
        <v>151</v>
      </c>
      <c r="E413" t="s">
        <v>4</v>
      </c>
      <c r="F413" t="s">
        <v>37</v>
      </c>
      <c r="G413" t="s">
        <v>43</v>
      </c>
      <c r="H413" t="s">
        <v>82</v>
      </c>
      <c r="I413" t="s">
        <v>43</v>
      </c>
      <c r="J413" t="s">
        <v>161</v>
      </c>
      <c r="K413" t="s">
        <v>43</v>
      </c>
      <c r="L413" t="s">
        <v>147</v>
      </c>
      <c r="M413" t="s">
        <v>50</v>
      </c>
      <c r="N413" t="s">
        <v>160</v>
      </c>
      <c r="O413" t="s">
        <v>156</v>
      </c>
      <c r="P413" t="s">
        <v>144</v>
      </c>
      <c r="Q413">
        <v>14</v>
      </c>
      <c r="R413">
        <v>1</v>
      </c>
      <c r="S413">
        <v>10</v>
      </c>
      <c r="T413">
        <v>0</v>
      </c>
      <c r="U413">
        <v>2</v>
      </c>
      <c r="V413">
        <v>18</v>
      </c>
      <c r="W413">
        <v>80</v>
      </c>
      <c r="X413">
        <v>1199</v>
      </c>
      <c r="Y413">
        <v>24594</v>
      </c>
      <c r="Z413">
        <v>5689</v>
      </c>
      <c r="AA413">
        <v>2</v>
      </c>
      <c r="AB413" s="29">
        <v>44773</v>
      </c>
      <c r="AC413" s="29">
        <v>32123</v>
      </c>
      <c r="AD413" s="29">
        <v>41158</v>
      </c>
      <c r="AE413" s="29"/>
      <c r="AF413">
        <v>10</v>
      </c>
      <c r="AG413" t="s">
        <v>149</v>
      </c>
      <c r="AI413">
        <v>25</v>
      </c>
      <c r="AJ413">
        <v>1</v>
      </c>
      <c r="AK413" t="s">
        <v>154</v>
      </c>
      <c r="AL413" t="s">
        <v>77</v>
      </c>
      <c r="AM413">
        <f t="shared" si="30"/>
        <v>3</v>
      </c>
      <c r="AN413">
        <f t="shared" si="31"/>
        <v>9</v>
      </c>
      <c r="AO413" t="str">
        <f t="shared" si="32"/>
        <v/>
      </c>
      <c r="AP413" t="str">
        <f t="shared" si="33"/>
        <v/>
      </c>
      <c r="AQ413">
        <f t="shared" si="34"/>
        <v>2012</v>
      </c>
    </row>
    <row r="414" spans="1:43" x14ac:dyDescent="0.35">
      <c r="A414">
        <v>1220</v>
      </c>
      <c r="B414">
        <v>33</v>
      </c>
      <c r="C414" t="s">
        <v>148</v>
      </c>
      <c r="D414" t="s">
        <v>151</v>
      </c>
      <c r="E414" t="s">
        <v>158</v>
      </c>
      <c r="F414" t="s">
        <v>38</v>
      </c>
      <c r="G414" t="s">
        <v>42</v>
      </c>
      <c r="H414" t="s">
        <v>81</v>
      </c>
      <c r="I414" t="s">
        <v>43</v>
      </c>
      <c r="J414" t="s">
        <v>159</v>
      </c>
      <c r="K414" t="s">
        <v>43</v>
      </c>
      <c r="L414" t="s">
        <v>147</v>
      </c>
      <c r="M414" t="s">
        <v>48</v>
      </c>
      <c r="N414" t="s">
        <v>160</v>
      </c>
      <c r="O414" t="s">
        <v>41</v>
      </c>
      <c r="P414" t="s">
        <v>148</v>
      </c>
      <c r="Q414">
        <v>12</v>
      </c>
      <c r="R414">
        <v>1</v>
      </c>
      <c r="S414">
        <v>10</v>
      </c>
      <c r="T414">
        <v>0</v>
      </c>
      <c r="U414">
        <v>1</v>
      </c>
      <c r="V414">
        <v>25</v>
      </c>
      <c r="W414">
        <v>82</v>
      </c>
      <c r="X414">
        <v>1146</v>
      </c>
      <c r="Y414">
        <v>4905</v>
      </c>
      <c r="Z414">
        <v>4539</v>
      </c>
      <c r="AA414">
        <v>3</v>
      </c>
      <c r="AB414" s="29">
        <v>44773</v>
      </c>
      <c r="AC414" s="29">
        <v>33001</v>
      </c>
      <c r="AD414" s="29">
        <v>41292</v>
      </c>
      <c r="AE414" s="29"/>
      <c r="AF414">
        <v>10</v>
      </c>
      <c r="AG414" t="s">
        <v>149</v>
      </c>
      <c r="AI414">
        <v>23</v>
      </c>
      <c r="AJ414">
        <v>1</v>
      </c>
      <c r="AK414" t="s">
        <v>154</v>
      </c>
      <c r="AL414" t="s">
        <v>77</v>
      </c>
      <c r="AM414">
        <f t="shared" si="30"/>
        <v>1</v>
      </c>
      <c r="AN414">
        <f t="shared" si="31"/>
        <v>1</v>
      </c>
      <c r="AO414" t="str">
        <f t="shared" si="32"/>
        <v/>
      </c>
      <c r="AP414" t="str">
        <f t="shared" si="33"/>
        <v/>
      </c>
      <c r="AQ414">
        <f t="shared" si="34"/>
        <v>2013</v>
      </c>
    </row>
    <row r="415" spans="1:43" x14ac:dyDescent="0.35">
      <c r="A415">
        <v>789</v>
      </c>
      <c r="B415">
        <v>36</v>
      </c>
      <c r="C415" t="s">
        <v>148</v>
      </c>
      <c r="D415" t="s">
        <v>164</v>
      </c>
      <c r="E415" t="s">
        <v>158</v>
      </c>
      <c r="F415" t="s">
        <v>37</v>
      </c>
      <c r="G415" t="s">
        <v>41</v>
      </c>
      <c r="H415" t="s">
        <v>82</v>
      </c>
      <c r="I415" t="s">
        <v>42</v>
      </c>
      <c r="J415" t="s">
        <v>159</v>
      </c>
      <c r="K415" t="s">
        <v>41</v>
      </c>
      <c r="L415" t="s">
        <v>147</v>
      </c>
      <c r="M415" t="s">
        <v>49</v>
      </c>
      <c r="N415" t="s">
        <v>95</v>
      </c>
      <c r="P415" t="s">
        <v>148</v>
      </c>
      <c r="Q415">
        <v>15</v>
      </c>
      <c r="R415">
        <v>1</v>
      </c>
      <c r="S415">
        <v>10</v>
      </c>
      <c r="T415">
        <v>0</v>
      </c>
      <c r="U415">
        <v>9</v>
      </c>
      <c r="V415">
        <v>8</v>
      </c>
      <c r="W415">
        <v>76</v>
      </c>
      <c r="X415">
        <v>1434</v>
      </c>
      <c r="Y415">
        <v>14229</v>
      </c>
      <c r="Z415">
        <v>7587</v>
      </c>
      <c r="AA415">
        <v>1</v>
      </c>
      <c r="AB415" s="29">
        <v>44773</v>
      </c>
      <c r="AC415" s="29">
        <v>31710</v>
      </c>
      <c r="AD415" s="29">
        <v>41346</v>
      </c>
      <c r="AE415" s="29"/>
      <c r="AF415">
        <v>9</v>
      </c>
      <c r="AG415" t="s">
        <v>149</v>
      </c>
      <c r="AI415">
        <v>27</v>
      </c>
      <c r="AJ415">
        <v>1</v>
      </c>
      <c r="AK415" t="s">
        <v>150</v>
      </c>
      <c r="AL415" t="s">
        <v>77</v>
      </c>
      <c r="AM415">
        <f t="shared" si="30"/>
        <v>1</v>
      </c>
      <c r="AN415">
        <f t="shared" si="31"/>
        <v>3</v>
      </c>
      <c r="AO415" t="str">
        <f t="shared" si="32"/>
        <v/>
      </c>
      <c r="AP415" t="str">
        <f t="shared" si="33"/>
        <v/>
      </c>
      <c r="AQ415">
        <f t="shared" si="34"/>
        <v>2013</v>
      </c>
    </row>
    <row r="416" spans="1:43" x14ac:dyDescent="0.35">
      <c r="A416">
        <v>904</v>
      </c>
      <c r="B416">
        <v>37</v>
      </c>
      <c r="C416" t="s">
        <v>148</v>
      </c>
      <c r="D416" t="s">
        <v>164</v>
      </c>
      <c r="E416" t="s">
        <v>158</v>
      </c>
      <c r="F416" t="s">
        <v>36</v>
      </c>
      <c r="G416" t="s">
        <v>41</v>
      </c>
      <c r="H416" t="s">
        <v>82</v>
      </c>
      <c r="I416" t="s">
        <v>43</v>
      </c>
      <c r="J416" t="s">
        <v>159</v>
      </c>
      <c r="K416" t="s">
        <v>42</v>
      </c>
      <c r="L416" t="s">
        <v>147</v>
      </c>
      <c r="M416" t="s">
        <v>49</v>
      </c>
      <c r="N416" t="s">
        <v>95</v>
      </c>
      <c r="P416" t="s">
        <v>144</v>
      </c>
      <c r="Q416">
        <v>13</v>
      </c>
      <c r="R416">
        <v>1</v>
      </c>
      <c r="S416">
        <v>10</v>
      </c>
      <c r="T416">
        <v>0</v>
      </c>
      <c r="U416">
        <v>9</v>
      </c>
      <c r="V416">
        <v>19</v>
      </c>
      <c r="W416">
        <v>32</v>
      </c>
      <c r="X416">
        <v>1252</v>
      </c>
      <c r="Y416">
        <v>4814</v>
      </c>
      <c r="Z416">
        <v>7642</v>
      </c>
      <c r="AA416">
        <v>2</v>
      </c>
      <c r="AB416" s="29">
        <v>44773</v>
      </c>
      <c r="AC416" s="29">
        <v>31592</v>
      </c>
      <c r="AD416" s="29">
        <v>41347</v>
      </c>
      <c r="AE416" s="29"/>
      <c r="AF416">
        <v>9</v>
      </c>
      <c r="AG416" t="s">
        <v>149</v>
      </c>
      <c r="AI416">
        <v>28</v>
      </c>
      <c r="AJ416">
        <v>1</v>
      </c>
      <c r="AK416" t="s">
        <v>150</v>
      </c>
      <c r="AL416" t="s">
        <v>78</v>
      </c>
      <c r="AM416">
        <f t="shared" si="30"/>
        <v>1</v>
      </c>
      <c r="AN416">
        <f t="shared" si="31"/>
        <v>3</v>
      </c>
      <c r="AO416" t="str">
        <f t="shared" si="32"/>
        <v/>
      </c>
      <c r="AP416" t="str">
        <f t="shared" si="33"/>
        <v/>
      </c>
      <c r="AQ416">
        <f t="shared" si="34"/>
        <v>2013</v>
      </c>
    </row>
    <row r="417" spans="1:43" x14ac:dyDescent="0.35">
      <c r="A417">
        <v>306</v>
      </c>
      <c r="B417">
        <v>37</v>
      </c>
      <c r="C417" t="s">
        <v>148</v>
      </c>
      <c r="D417" t="s">
        <v>151</v>
      </c>
      <c r="E417" t="s">
        <v>4</v>
      </c>
      <c r="F417" t="s">
        <v>38</v>
      </c>
      <c r="G417" t="s">
        <v>42</v>
      </c>
      <c r="H417" t="s">
        <v>82</v>
      </c>
      <c r="I417" t="s">
        <v>43</v>
      </c>
      <c r="J417" t="s">
        <v>173</v>
      </c>
      <c r="K417" t="s">
        <v>44</v>
      </c>
      <c r="L417" t="s">
        <v>147</v>
      </c>
      <c r="M417" t="s">
        <v>49</v>
      </c>
      <c r="N417" t="s">
        <v>96</v>
      </c>
      <c r="O417" t="s">
        <v>43</v>
      </c>
      <c r="P417" t="s">
        <v>144</v>
      </c>
      <c r="Q417">
        <v>14</v>
      </c>
      <c r="R417">
        <v>1</v>
      </c>
      <c r="S417">
        <v>10</v>
      </c>
      <c r="T417">
        <v>0</v>
      </c>
      <c r="U417">
        <v>7</v>
      </c>
      <c r="V417">
        <v>11</v>
      </c>
      <c r="W417">
        <v>47</v>
      </c>
      <c r="X417">
        <v>663</v>
      </c>
      <c r="Y417">
        <v>10056</v>
      </c>
      <c r="Z417">
        <v>12185</v>
      </c>
      <c r="AA417">
        <v>1</v>
      </c>
      <c r="AB417" s="29">
        <v>44773</v>
      </c>
      <c r="AC417" s="29">
        <v>31540</v>
      </c>
      <c r="AD417" s="29">
        <v>41357</v>
      </c>
      <c r="AE417" s="29"/>
      <c r="AF417">
        <v>9</v>
      </c>
      <c r="AG417" t="s">
        <v>149</v>
      </c>
      <c r="AI417">
        <v>28</v>
      </c>
      <c r="AJ417">
        <v>1</v>
      </c>
      <c r="AK417" t="s">
        <v>150</v>
      </c>
      <c r="AL417" t="s">
        <v>77</v>
      </c>
      <c r="AM417">
        <f t="shared" si="30"/>
        <v>1</v>
      </c>
      <c r="AN417">
        <f t="shared" si="31"/>
        <v>3</v>
      </c>
      <c r="AO417" t="str">
        <f t="shared" si="32"/>
        <v/>
      </c>
      <c r="AP417" t="str">
        <f t="shared" si="33"/>
        <v/>
      </c>
      <c r="AQ417">
        <f t="shared" si="34"/>
        <v>2013</v>
      </c>
    </row>
    <row r="418" spans="1:43" x14ac:dyDescent="0.35">
      <c r="A418">
        <v>388</v>
      </c>
      <c r="B418">
        <v>29</v>
      </c>
      <c r="C418" t="s">
        <v>148</v>
      </c>
      <c r="D418" t="s">
        <v>151</v>
      </c>
      <c r="E418" t="s">
        <v>158</v>
      </c>
      <c r="F418" t="s">
        <v>36</v>
      </c>
      <c r="G418" t="s">
        <v>42</v>
      </c>
      <c r="H418" t="s">
        <v>82</v>
      </c>
      <c r="I418" t="s">
        <v>43</v>
      </c>
      <c r="J418" t="s">
        <v>159</v>
      </c>
      <c r="K418" t="s">
        <v>44</v>
      </c>
      <c r="L418" t="s">
        <v>147</v>
      </c>
      <c r="M418" t="s">
        <v>48</v>
      </c>
      <c r="N418" t="s">
        <v>95</v>
      </c>
      <c r="P418" t="s">
        <v>148</v>
      </c>
      <c r="Q418">
        <v>18</v>
      </c>
      <c r="R418">
        <v>1</v>
      </c>
      <c r="S418">
        <v>10</v>
      </c>
      <c r="T418">
        <v>0</v>
      </c>
      <c r="U418">
        <v>9</v>
      </c>
      <c r="V418">
        <v>2</v>
      </c>
      <c r="W418">
        <v>44</v>
      </c>
      <c r="X418">
        <v>442</v>
      </c>
      <c r="Y418">
        <v>20260</v>
      </c>
      <c r="Z418">
        <v>4554</v>
      </c>
      <c r="AA418">
        <v>3</v>
      </c>
      <c r="AB418" s="29">
        <v>44773</v>
      </c>
      <c r="AC418" s="29">
        <v>34401</v>
      </c>
      <c r="AD418" s="29">
        <v>41359</v>
      </c>
      <c r="AE418" s="29"/>
      <c r="AF418">
        <v>9</v>
      </c>
      <c r="AG418" t="s">
        <v>157</v>
      </c>
      <c r="AI418">
        <v>20</v>
      </c>
      <c r="AJ418">
        <v>1</v>
      </c>
      <c r="AK418" t="s">
        <v>150</v>
      </c>
      <c r="AL418" t="s">
        <v>77</v>
      </c>
      <c r="AM418">
        <f t="shared" si="30"/>
        <v>1</v>
      </c>
      <c r="AN418">
        <f t="shared" si="31"/>
        <v>3</v>
      </c>
      <c r="AO418" t="str">
        <f t="shared" si="32"/>
        <v/>
      </c>
      <c r="AP418" t="str">
        <f t="shared" si="33"/>
        <v/>
      </c>
      <c r="AQ418">
        <f t="shared" si="34"/>
        <v>2013</v>
      </c>
    </row>
    <row r="419" spans="1:43" x14ac:dyDescent="0.35">
      <c r="A419">
        <v>314</v>
      </c>
      <c r="B419">
        <v>35</v>
      </c>
      <c r="C419" t="s">
        <v>148</v>
      </c>
      <c r="D419" t="s">
        <v>151</v>
      </c>
      <c r="E419" t="s">
        <v>158</v>
      </c>
      <c r="F419" t="s">
        <v>38</v>
      </c>
      <c r="G419" t="s">
        <v>43</v>
      </c>
      <c r="H419" t="s">
        <v>81</v>
      </c>
      <c r="I419" t="s">
        <v>43</v>
      </c>
      <c r="J419" t="s">
        <v>159</v>
      </c>
      <c r="K419" t="s">
        <v>43</v>
      </c>
      <c r="L419" t="s">
        <v>147</v>
      </c>
      <c r="M419" t="s">
        <v>50</v>
      </c>
      <c r="N419" t="s">
        <v>95</v>
      </c>
      <c r="P419" t="s">
        <v>148</v>
      </c>
      <c r="Q419">
        <v>14</v>
      </c>
      <c r="R419">
        <v>1</v>
      </c>
      <c r="S419">
        <v>10</v>
      </c>
      <c r="T419">
        <v>0</v>
      </c>
      <c r="U419">
        <v>8</v>
      </c>
      <c r="V419">
        <v>1</v>
      </c>
      <c r="W419">
        <v>92</v>
      </c>
      <c r="X419">
        <v>944</v>
      </c>
      <c r="Y419">
        <v>9096</v>
      </c>
      <c r="Z419">
        <v>8789</v>
      </c>
      <c r="AA419">
        <v>3</v>
      </c>
      <c r="AB419" s="29">
        <v>44773</v>
      </c>
      <c r="AC419" s="29">
        <v>32186</v>
      </c>
      <c r="AD419" s="29">
        <v>41413</v>
      </c>
      <c r="AE419" s="29"/>
      <c r="AF419">
        <v>9</v>
      </c>
      <c r="AG419" t="s">
        <v>149</v>
      </c>
      <c r="AI419">
        <v>26</v>
      </c>
      <c r="AJ419">
        <v>1</v>
      </c>
      <c r="AK419" t="s">
        <v>150</v>
      </c>
      <c r="AL419" t="s">
        <v>77</v>
      </c>
      <c r="AM419">
        <f t="shared" si="30"/>
        <v>2</v>
      </c>
      <c r="AN419">
        <f t="shared" si="31"/>
        <v>5</v>
      </c>
      <c r="AO419" t="str">
        <f t="shared" si="32"/>
        <v/>
      </c>
      <c r="AP419" t="str">
        <f t="shared" si="33"/>
        <v/>
      </c>
      <c r="AQ419">
        <f t="shared" si="34"/>
        <v>2013</v>
      </c>
    </row>
    <row r="420" spans="1:43" x14ac:dyDescent="0.35">
      <c r="A420">
        <v>419</v>
      </c>
      <c r="B420">
        <v>36</v>
      </c>
      <c r="C420" t="s">
        <v>148</v>
      </c>
      <c r="D420" t="s">
        <v>164</v>
      </c>
      <c r="E420" t="s">
        <v>4</v>
      </c>
      <c r="F420" t="s">
        <v>37</v>
      </c>
      <c r="G420" t="s">
        <v>42</v>
      </c>
      <c r="H420" t="s">
        <v>81</v>
      </c>
      <c r="I420" t="s">
        <v>43</v>
      </c>
      <c r="J420" t="s">
        <v>155</v>
      </c>
      <c r="K420" t="s">
        <v>42</v>
      </c>
      <c r="L420" t="s">
        <v>147</v>
      </c>
      <c r="M420" t="s">
        <v>49</v>
      </c>
      <c r="N420" t="s">
        <v>160</v>
      </c>
      <c r="O420" t="s">
        <v>41</v>
      </c>
      <c r="P420" t="s">
        <v>148</v>
      </c>
      <c r="Q420">
        <v>15</v>
      </c>
      <c r="R420">
        <v>7</v>
      </c>
      <c r="S420">
        <v>11</v>
      </c>
      <c r="T420">
        <v>0</v>
      </c>
      <c r="U420">
        <v>8</v>
      </c>
      <c r="V420">
        <v>24</v>
      </c>
      <c r="W420">
        <v>47</v>
      </c>
      <c r="X420">
        <v>1105</v>
      </c>
      <c r="Y420">
        <v>6927</v>
      </c>
      <c r="Z420">
        <v>5674</v>
      </c>
      <c r="AA420">
        <v>3</v>
      </c>
      <c r="AB420" s="29">
        <v>44773</v>
      </c>
      <c r="AC420" s="29">
        <v>31936</v>
      </c>
      <c r="AD420" s="29">
        <v>41505</v>
      </c>
      <c r="AE420" s="29"/>
      <c r="AF420">
        <v>9</v>
      </c>
      <c r="AG420" t="s">
        <v>149</v>
      </c>
      <c r="AI420">
        <v>27</v>
      </c>
      <c r="AJ420">
        <v>1</v>
      </c>
      <c r="AK420" t="s">
        <v>150</v>
      </c>
      <c r="AL420" t="s">
        <v>77</v>
      </c>
      <c r="AM420">
        <f t="shared" si="30"/>
        <v>3</v>
      </c>
      <c r="AN420">
        <f t="shared" si="31"/>
        <v>8</v>
      </c>
      <c r="AO420" t="str">
        <f t="shared" si="32"/>
        <v/>
      </c>
      <c r="AP420" t="str">
        <f t="shared" si="33"/>
        <v/>
      </c>
      <c r="AQ420">
        <f t="shared" si="34"/>
        <v>2013</v>
      </c>
    </row>
    <row r="421" spans="1:43" x14ac:dyDescent="0.35">
      <c r="A421">
        <v>972</v>
      </c>
      <c r="B421">
        <v>45</v>
      </c>
      <c r="C421" t="s">
        <v>148</v>
      </c>
      <c r="D421" t="s">
        <v>164</v>
      </c>
      <c r="E421" t="s">
        <v>4</v>
      </c>
      <c r="F421" t="s">
        <v>36</v>
      </c>
      <c r="G421" t="s">
        <v>43</v>
      </c>
      <c r="H421" t="s">
        <v>82</v>
      </c>
      <c r="I421" t="s">
        <v>43</v>
      </c>
      <c r="J421" t="s">
        <v>155</v>
      </c>
      <c r="K421" t="s">
        <v>42</v>
      </c>
      <c r="L421" t="s">
        <v>147</v>
      </c>
      <c r="M421" t="s">
        <v>48</v>
      </c>
      <c r="N421" t="s">
        <v>160</v>
      </c>
      <c r="P421" t="s">
        <v>148</v>
      </c>
      <c r="Q421">
        <v>12</v>
      </c>
      <c r="R421">
        <v>1</v>
      </c>
      <c r="S421">
        <v>9</v>
      </c>
      <c r="T421">
        <v>0</v>
      </c>
      <c r="U421">
        <v>8</v>
      </c>
      <c r="V421">
        <v>4</v>
      </c>
      <c r="W421">
        <v>57</v>
      </c>
      <c r="X421">
        <v>805</v>
      </c>
      <c r="Y421">
        <v>23163</v>
      </c>
      <c r="Z421">
        <v>4447</v>
      </c>
      <c r="AA421">
        <v>5</v>
      </c>
      <c r="AB421" s="29">
        <v>44773</v>
      </c>
      <c r="AC421" s="29">
        <v>28341</v>
      </c>
      <c r="AD421" s="29">
        <v>41555</v>
      </c>
      <c r="AE421" s="29"/>
      <c r="AF421">
        <v>9</v>
      </c>
      <c r="AG421" t="s">
        <v>153</v>
      </c>
      <c r="AI421">
        <v>36</v>
      </c>
      <c r="AJ421">
        <v>1</v>
      </c>
      <c r="AK421" t="s">
        <v>150</v>
      </c>
      <c r="AL421" t="s">
        <v>77</v>
      </c>
      <c r="AM421">
        <f t="shared" si="30"/>
        <v>4</v>
      </c>
      <c r="AN421">
        <f t="shared" si="31"/>
        <v>10</v>
      </c>
      <c r="AO421" t="str">
        <f t="shared" si="32"/>
        <v/>
      </c>
      <c r="AP421" t="str">
        <f t="shared" si="33"/>
        <v/>
      </c>
      <c r="AQ421">
        <f t="shared" si="34"/>
        <v>2013</v>
      </c>
    </row>
    <row r="422" spans="1:43" x14ac:dyDescent="0.35">
      <c r="A422">
        <v>2065</v>
      </c>
      <c r="B422">
        <v>49</v>
      </c>
      <c r="C422" t="s">
        <v>148</v>
      </c>
      <c r="D422" t="s">
        <v>151</v>
      </c>
      <c r="E422" t="s">
        <v>158</v>
      </c>
      <c r="F422" t="s">
        <v>38</v>
      </c>
      <c r="G422" t="s">
        <v>44</v>
      </c>
      <c r="H422" t="s">
        <v>82</v>
      </c>
      <c r="I422" t="s">
        <v>42</v>
      </c>
      <c r="J422" t="s">
        <v>159</v>
      </c>
      <c r="K422" t="s">
        <v>42</v>
      </c>
      <c r="L422" t="s">
        <v>147</v>
      </c>
      <c r="M422" t="s">
        <v>48</v>
      </c>
      <c r="N422" t="s">
        <v>160</v>
      </c>
      <c r="P422" t="s">
        <v>148</v>
      </c>
      <c r="Q422">
        <v>14</v>
      </c>
      <c r="R422">
        <v>2</v>
      </c>
      <c r="S422">
        <v>17</v>
      </c>
      <c r="T422">
        <v>0</v>
      </c>
      <c r="U422">
        <v>8</v>
      </c>
      <c r="V422">
        <v>2</v>
      </c>
      <c r="W422">
        <v>63</v>
      </c>
      <c r="X422">
        <v>1023</v>
      </c>
      <c r="Y422">
        <v>13243</v>
      </c>
      <c r="Z422">
        <v>5390</v>
      </c>
      <c r="AA422">
        <v>3</v>
      </c>
      <c r="AB422" s="29">
        <v>44773</v>
      </c>
      <c r="AC422" s="29">
        <v>27044</v>
      </c>
      <c r="AD422" s="29">
        <v>41676</v>
      </c>
      <c r="AE422" s="29"/>
      <c r="AF422">
        <v>8</v>
      </c>
      <c r="AG422" t="s">
        <v>153</v>
      </c>
      <c r="AI422">
        <v>41</v>
      </c>
      <c r="AJ422">
        <v>1</v>
      </c>
      <c r="AK422" t="s">
        <v>150</v>
      </c>
      <c r="AL422" t="s">
        <v>77</v>
      </c>
      <c r="AM422">
        <f t="shared" si="30"/>
        <v>1</v>
      </c>
      <c r="AN422">
        <f t="shared" si="31"/>
        <v>2</v>
      </c>
      <c r="AO422" t="str">
        <f t="shared" si="32"/>
        <v/>
      </c>
      <c r="AP422" t="str">
        <f t="shared" si="33"/>
        <v/>
      </c>
      <c r="AQ422">
        <f t="shared" si="34"/>
        <v>2014</v>
      </c>
    </row>
    <row r="423" spans="1:43" x14ac:dyDescent="0.35">
      <c r="A423">
        <v>1745</v>
      </c>
      <c r="B423">
        <v>30</v>
      </c>
      <c r="C423" t="s">
        <v>148</v>
      </c>
      <c r="D423" t="s">
        <v>151</v>
      </c>
      <c r="E423" t="s">
        <v>4</v>
      </c>
      <c r="F423" t="s">
        <v>37</v>
      </c>
      <c r="G423" t="s">
        <v>44</v>
      </c>
      <c r="H423" t="s">
        <v>81</v>
      </c>
      <c r="I423" t="s">
        <v>42</v>
      </c>
      <c r="J423" t="s">
        <v>146</v>
      </c>
      <c r="K423" t="s">
        <v>41</v>
      </c>
      <c r="L423" t="s">
        <v>147</v>
      </c>
      <c r="M423" t="s">
        <v>49</v>
      </c>
      <c r="N423" t="s">
        <v>95</v>
      </c>
      <c r="P423" t="s">
        <v>148</v>
      </c>
      <c r="Q423">
        <v>16</v>
      </c>
      <c r="R423">
        <v>0</v>
      </c>
      <c r="S423">
        <v>10</v>
      </c>
      <c r="T423">
        <v>0</v>
      </c>
      <c r="U423">
        <v>7</v>
      </c>
      <c r="V423">
        <v>2</v>
      </c>
      <c r="W423">
        <v>78</v>
      </c>
      <c r="X423">
        <v>1312</v>
      </c>
      <c r="Y423">
        <v>26427</v>
      </c>
      <c r="Z423">
        <v>4968</v>
      </c>
      <c r="AA423">
        <v>2</v>
      </c>
      <c r="AB423" s="29">
        <v>44773</v>
      </c>
      <c r="AC423" s="29">
        <v>33976</v>
      </c>
      <c r="AD423" s="29">
        <v>41708</v>
      </c>
      <c r="AE423" s="29"/>
      <c r="AF423">
        <v>8</v>
      </c>
      <c r="AG423" t="s">
        <v>149</v>
      </c>
      <c r="AI423">
        <v>22</v>
      </c>
      <c r="AJ423">
        <v>1</v>
      </c>
      <c r="AK423" t="s">
        <v>150</v>
      </c>
      <c r="AL423" t="s">
        <v>77</v>
      </c>
      <c r="AM423">
        <f t="shared" si="30"/>
        <v>1</v>
      </c>
      <c r="AN423">
        <f t="shared" si="31"/>
        <v>3</v>
      </c>
      <c r="AO423" t="str">
        <f t="shared" si="32"/>
        <v/>
      </c>
      <c r="AP423" t="str">
        <f t="shared" si="33"/>
        <v/>
      </c>
      <c r="AQ423">
        <f t="shared" si="34"/>
        <v>2014</v>
      </c>
    </row>
    <row r="424" spans="1:43" x14ac:dyDescent="0.35">
      <c r="A424">
        <v>1002</v>
      </c>
      <c r="B424">
        <v>45</v>
      </c>
      <c r="C424" t="s">
        <v>148</v>
      </c>
      <c r="D424" t="s">
        <v>164</v>
      </c>
      <c r="E424" t="s">
        <v>4</v>
      </c>
      <c r="F424" t="s">
        <v>36</v>
      </c>
      <c r="G424" t="s">
        <v>44</v>
      </c>
      <c r="H424" t="s">
        <v>82</v>
      </c>
      <c r="I424" t="s">
        <v>43</v>
      </c>
      <c r="J424" t="s">
        <v>155</v>
      </c>
      <c r="K424" t="s">
        <v>41</v>
      </c>
      <c r="L424" t="s">
        <v>147</v>
      </c>
      <c r="M424" t="s">
        <v>49</v>
      </c>
      <c r="N424" t="s">
        <v>160</v>
      </c>
      <c r="O424" t="s">
        <v>41</v>
      </c>
      <c r="P424" t="s">
        <v>144</v>
      </c>
      <c r="Q424">
        <v>15</v>
      </c>
      <c r="R424">
        <v>1</v>
      </c>
      <c r="S424">
        <v>9</v>
      </c>
      <c r="T424">
        <v>0</v>
      </c>
      <c r="U424">
        <v>8</v>
      </c>
      <c r="V424">
        <v>23</v>
      </c>
      <c r="W424">
        <v>42</v>
      </c>
      <c r="X424">
        <v>248</v>
      </c>
      <c r="Y424">
        <v>14039</v>
      </c>
      <c r="Z424">
        <v>3633</v>
      </c>
      <c r="AA424">
        <v>2</v>
      </c>
      <c r="AB424" s="29">
        <v>44773</v>
      </c>
      <c r="AC424" s="29">
        <v>28523</v>
      </c>
      <c r="AD424" s="29">
        <v>41839</v>
      </c>
      <c r="AE424" s="29"/>
      <c r="AF424">
        <v>8</v>
      </c>
      <c r="AG424" t="s">
        <v>153</v>
      </c>
      <c r="AI424">
        <v>37</v>
      </c>
      <c r="AJ424">
        <v>1</v>
      </c>
      <c r="AK424" t="s">
        <v>150</v>
      </c>
      <c r="AL424" t="s">
        <v>77</v>
      </c>
      <c r="AM424">
        <f t="shared" si="30"/>
        <v>3</v>
      </c>
      <c r="AN424">
        <f t="shared" si="31"/>
        <v>7</v>
      </c>
      <c r="AO424" t="str">
        <f t="shared" si="32"/>
        <v/>
      </c>
      <c r="AP424" t="str">
        <f t="shared" si="33"/>
        <v/>
      </c>
      <c r="AQ424">
        <f t="shared" si="34"/>
        <v>2014</v>
      </c>
    </row>
    <row r="425" spans="1:43" x14ac:dyDescent="0.35">
      <c r="A425">
        <v>616</v>
      </c>
      <c r="B425">
        <v>41</v>
      </c>
      <c r="C425" t="s">
        <v>148</v>
      </c>
      <c r="D425" t="s">
        <v>164</v>
      </c>
      <c r="E425" t="s">
        <v>4</v>
      </c>
      <c r="F425" t="s">
        <v>37</v>
      </c>
      <c r="G425" t="s">
        <v>41</v>
      </c>
      <c r="H425" t="s">
        <v>81</v>
      </c>
      <c r="I425" t="s">
        <v>42</v>
      </c>
      <c r="J425" t="s">
        <v>161</v>
      </c>
      <c r="K425" t="s">
        <v>43</v>
      </c>
      <c r="L425" t="s">
        <v>147</v>
      </c>
      <c r="M425" t="s">
        <v>49</v>
      </c>
      <c r="N425" t="s">
        <v>95</v>
      </c>
      <c r="P425" t="s">
        <v>144</v>
      </c>
      <c r="Q425">
        <v>17</v>
      </c>
      <c r="R425">
        <v>2</v>
      </c>
      <c r="S425">
        <v>10</v>
      </c>
      <c r="T425">
        <v>0</v>
      </c>
      <c r="U425">
        <v>7</v>
      </c>
      <c r="V425">
        <v>2</v>
      </c>
      <c r="W425">
        <v>62</v>
      </c>
      <c r="X425">
        <v>509</v>
      </c>
      <c r="Y425">
        <v>2112</v>
      </c>
      <c r="Z425">
        <v>6811</v>
      </c>
      <c r="AA425">
        <v>3</v>
      </c>
      <c r="AB425" s="29">
        <v>44773</v>
      </c>
      <c r="AC425" s="29">
        <v>30152</v>
      </c>
      <c r="AD425" s="29">
        <v>41897</v>
      </c>
      <c r="AE425" s="29"/>
      <c r="AF425">
        <v>8</v>
      </c>
      <c r="AG425" t="s">
        <v>153</v>
      </c>
      <c r="AI425">
        <v>33</v>
      </c>
      <c r="AJ425">
        <v>2</v>
      </c>
      <c r="AK425" t="s">
        <v>150</v>
      </c>
      <c r="AL425" t="s">
        <v>78</v>
      </c>
      <c r="AM425">
        <f t="shared" si="30"/>
        <v>3</v>
      </c>
      <c r="AN425">
        <f t="shared" si="31"/>
        <v>9</v>
      </c>
      <c r="AO425" t="str">
        <f t="shared" si="32"/>
        <v/>
      </c>
      <c r="AP425" t="str">
        <f t="shared" si="33"/>
        <v/>
      </c>
      <c r="AQ425">
        <f t="shared" si="34"/>
        <v>2014</v>
      </c>
    </row>
    <row r="426" spans="1:43" x14ac:dyDescent="0.35">
      <c r="A426">
        <v>1126</v>
      </c>
      <c r="B426">
        <v>43</v>
      </c>
      <c r="C426" t="s">
        <v>148</v>
      </c>
      <c r="D426" t="s">
        <v>151</v>
      </c>
      <c r="E426" t="s">
        <v>4</v>
      </c>
      <c r="F426" t="s">
        <v>38</v>
      </c>
      <c r="G426" t="s">
        <v>43</v>
      </c>
      <c r="H426" t="s">
        <v>81</v>
      </c>
      <c r="I426" t="s">
        <v>43</v>
      </c>
      <c r="J426" t="s">
        <v>165</v>
      </c>
      <c r="K426" t="s">
        <v>41</v>
      </c>
      <c r="L426" t="s">
        <v>147</v>
      </c>
      <c r="M426" t="s">
        <v>49</v>
      </c>
      <c r="N426" t="s">
        <v>160</v>
      </c>
      <c r="O426" t="s">
        <v>41</v>
      </c>
      <c r="P426" t="s">
        <v>148</v>
      </c>
      <c r="Q426">
        <v>11</v>
      </c>
      <c r="R426">
        <v>8</v>
      </c>
      <c r="S426">
        <v>18</v>
      </c>
      <c r="T426">
        <v>0</v>
      </c>
      <c r="U426">
        <v>1</v>
      </c>
      <c r="V426">
        <v>27</v>
      </c>
      <c r="W426">
        <v>83</v>
      </c>
      <c r="X426">
        <v>1082</v>
      </c>
      <c r="Y426">
        <v>11535</v>
      </c>
      <c r="Z426">
        <v>10820</v>
      </c>
      <c r="AA426">
        <v>1</v>
      </c>
      <c r="AB426" s="29">
        <v>44773</v>
      </c>
      <c r="AC426" s="29">
        <v>29384</v>
      </c>
      <c r="AD426" s="29">
        <v>42028</v>
      </c>
      <c r="AE426" s="29"/>
      <c r="AF426">
        <v>8</v>
      </c>
      <c r="AG426" t="s">
        <v>153</v>
      </c>
      <c r="AI426">
        <v>35</v>
      </c>
      <c r="AJ426">
        <v>1</v>
      </c>
      <c r="AK426" t="s">
        <v>150</v>
      </c>
      <c r="AL426" t="s">
        <v>77</v>
      </c>
      <c r="AM426">
        <f t="shared" si="30"/>
        <v>1</v>
      </c>
      <c r="AN426">
        <f t="shared" si="31"/>
        <v>1</v>
      </c>
      <c r="AO426" t="str">
        <f t="shared" si="32"/>
        <v/>
      </c>
      <c r="AP426" t="str">
        <f t="shared" si="33"/>
        <v/>
      </c>
      <c r="AQ426">
        <f t="shared" si="34"/>
        <v>2015</v>
      </c>
    </row>
    <row r="427" spans="1:43" x14ac:dyDescent="0.35">
      <c r="A427">
        <v>1235</v>
      </c>
      <c r="B427">
        <v>32</v>
      </c>
      <c r="C427" t="s">
        <v>148</v>
      </c>
      <c r="D427" t="s">
        <v>151</v>
      </c>
      <c r="E427" t="s">
        <v>4</v>
      </c>
      <c r="F427" t="s">
        <v>36</v>
      </c>
      <c r="G427" t="s">
        <v>44</v>
      </c>
      <c r="H427" t="s">
        <v>81</v>
      </c>
      <c r="I427" t="s">
        <v>43</v>
      </c>
      <c r="J427" t="s">
        <v>146</v>
      </c>
      <c r="K427" t="s">
        <v>43</v>
      </c>
      <c r="L427" t="s">
        <v>147</v>
      </c>
      <c r="M427" t="s">
        <v>49</v>
      </c>
      <c r="N427" t="s">
        <v>95</v>
      </c>
      <c r="P427" t="s">
        <v>144</v>
      </c>
      <c r="Q427">
        <v>14</v>
      </c>
      <c r="R427">
        <v>4</v>
      </c>
      <c r="S427">
        <v>10</v>
      </c>
      <c r="T427">
        <v>0</v>
      </c>
      <c r="U427">
        <v>7</v>
      </c>
      <c r="V427">
        <v>2</v>
      </c>
      <c r="W427">
        <v>38</v>
      </c>
      <c r="X427">
        <v>1316</v>
      </c>
      <c r="Y427">
        <v>2338</v>
      </c>
      <c r="Z427">
        <v>4998</v>
      </c>
      <c r="AA427">
        <v>2</v>
      </c>
      <c r="AB427" s="29">
        <v>44773</v>
      </c>
      <c r="AC427" s="29">
        <v>33090</v>
      </c>
      <c r="AD427" s="29">
        <v>42040</v>
      </c>
      <c r="AE427" s="29"/>
      <c r="AF427">
        <v>7</v>
      </c>
      <c r="AG427" t="s">
        <v>149</v>
      </c>
      <c r="AI427">
        <v>25</v>
      </c>
      <c r="AJ427">
        <v>1</v>
      </c>
      <c r="AK427" t="s">
        <v>150</v>
      </c>
      <c r="AL427" t="s">
        <v>77</v>
      </c>
      <c r="AM427">
        <f t="shared" si="30"/>
        <v>1</v>
      </c>
      <c r="AN427">
        <f t="shared" si="31"/>
        <v>2</v>
      </c>
      <c r="AO427" t="str">
        <f t="shared" si="32"/>
        <v/>
      </c>
      <c r="AP427" t="str">
        <f t="shared" si="33"/>
        <v/>
      </c>
      <c r="AQ427">
        <f t="shared" si="34"/>
        <v>2015</v>
      </c>
    </row>
    <row r="428" spans="1:43" x14ac:dyDescent="0.35">
      <c r="A428">
        <v>141</v>
      </c>
      <c r="B428">
        <v>50</v>
      </c>
      <c r="C428" t="s">
        <v>148</v>
      </c>
      <c r="D428" t="s">
        <v>151</v>
      </c>
      <c r="E428" t="s">
        <v>4</v>
      </c>
      <c r="F428" t="s">
        <v>38</v>
      </c>
      <c r="G428" t="s">
        <v>41</v>
      </c>
      <c r="H428" t="s">
        <v>81</v>
      </c>
      <c r="I428" t="s">
        <v>43</v>
      </c>
      <c r="J428" t="s">
        <v>173</v>
      </c>
      <c r="K428" t="s">
        <v>42</v>
      </c>
      <c r="L428" t="s">
        <v>147</v>
      </c>
      <c r="M428" t="s">
        <v>48</v>
      </c>
      <c r="N428" t="s">
        <v>160</v>
      </c>
      <c r="P428" t="s">
        <v>144</v>
      </c>
      <c r="Q428">
        <v>19</v>
      </c>
      <c r="R428">
        <v>3</v>
      </c>
      <c r="S428">
        <v>28</v>
      </c>
      <c r="T428">
        <v>0</v>
      </c>
      <c r="U428">
        <v>7</v>
      </c>
      <c r="V428">
        <v>1</v>
      </c>
      <c r="W428">
        <v>73</v>
      </c>
      <c r="X428">
        <v>1115</v>
      </c>
      <c r="Y428">
        <v>9755</v>
      </c>
      <c r="Z428">
        <v>18172</v>
      </c>
      <c r="AA428">
        <v>1</v>
      </c>
      <c r="AB428" s="29">
        <v>44773</v>
      </c>
      <c r="AC428" s="29">
        <v>26782</v>
      </c>
      <c r="AD428" s="29">
        <v>42068</v>
      </c>
      <c r="AE428" s="29"/>
      <c r="AF428">
        <v>7</v>
      </c>
      <c r="AG428" t="s">
        <v>167</v>
      </c>
      <c r="AI428">
        <v>43</v>
      </c>
      <c r="AJ428">
        <v>2</v>
      </c>
      <c r="AK428" t="s">
        <v>150</v>
      </c>
      <c r="AL428" t="s">
        <v>77</v>
      </c>
      <c r="AM428">
        <f t="shared" si="30"/>
        <v>1</v>
      </c>
      <c r="AN428">
        <f t="shared" si="31"/>
        <v>3</v>
      </c>
      <c r="AO428" t="str">
        <f t="shared" si="32"/>
        <v/>
      </c>
      <c r="AP428" t="str">
        <f t="shared" si="33"/>
        <v/>
      </c>
      <c r="AQ428">
        <f t="shared" si="34"/>
        <v>2015</v>
      </c>
    </row>
    <row r="429" spans="1:43" x14ac:dyDescent="0.35">
      <c r="A429">
        <v>602</v>
      </c>
      <c r="B429">
        <v>39</v>
      </c>
      <c r="C429" t="s">
        <v>148</v>
      </c>
      <c r="D429" t="s">
        <v>151</v>
      </c>
      <c r="E429" t="s">
        <v>4</v>
      </c>
      <c r="F429" t="s">
        <v>35</v>
      </c>
      <c r="G429" t="s">
        <v>43</v>
      </c>
      <c r="H429" t="s">
        <v>81</v>
      </c>
      <c r="I429" t="s">
        <v>43</v>
      </c>
      <c r="J429" t="s">
        <v>155</v>
      </c>
      <c r="K429" t="s">
        <v>43</v>
      </c>
      <c r="L429" t="s">
        <v>147</v>
      </c>
      <c r="M429" t="s">
        <v>49</v>
      </c>
      <c r="N429" t="s">
        <v>160</v>
      </c>
      <c r="O429" t="s">
        <v>41</v>
      </c>
      <c r="P429" t="s">
        <v>148</v>
      </c>
      <c r="Q429">
        <v>11</v>
      </c>
      <c r="R429">
        <v>1</v>
      </c>
      <c r="S429">
        <v>8</v>
      </c>
      <c r="T429">
        <v>0</v>
      </c>
      <c r="U429">
        <v>7</v>
      </c>
      <c r="V429">
        <v>8</v>
      </c>
      <c r="W429">
        <v>48</v>
      </c>
      <c r="X429">
        <v>443</v>
      </c>
      <c r="Y429">
        <v>17872</v>
      </c>
      <c r="Z429">
        <v>3755</v>
      </c>
      <c r="AA429">
        <v>3</v>
      </c>
      <c r="AB429" s="29">
        <v>44773</v>
      </c>
      <c r="AC429" s="29">
        <v>30539</v>
      </c>
      <c r="AD429" s="29">
        <v>42097</v>
      </c>
      <c r="AE429" s="29"/>
      <c r="AF429">
        <v>7</v>
      </c>
      <c r="AG429" t="s">
        <v>149</v>
      </c>
      <c r="AI429">
        <v>32</v>
      </c>
      <c r="AJ429">
        <v>1</v>
      </c>
      <c r="AK429" t="s">
        <v>150</v>
      </c>
      <c r="AL429" t="s">
        <v>77</v>
      </c>
      <c r="AM429">
        <f t="shared" si="30"/>
        <v>2</v>
      </c>
      <c r="AN429">
        <f t="shared" si="31"/>
        <v>4</v>
      </c>
      <c r="AO429" t="str">
        <f t="shared" si="32"/>
        <v/>
      </c>
      <c r="AP429" t="str">
        <f t="shared" si="33"/>
        <v/>
      </c>
      <c r="AQ429">
        <f t="shared" si="34"/>
        <v>2015</v>
      </c>
    </row>
    <row r="430" spans="1:43" x14ac:dyDescent="0.35">
      <c r="A430">
        <v>195</v>
      </c>
      <c r="B430">
        <v>32</v>
      </c>
      <c r="C430" t="s">
        <v>148</v>
      </c>
      <c r="D430" t="s">
        <v>151</v>
      </c>
      <c r="E430" t="s">
        <v>158</v>
      </c>
      <c r="F430" t="s">
        <v>36</v>
      </c>
      <c r="G430" t="s">
        <v>44</v>
      </c>
      <c r="H430" t="s">
        <v>82</v>
      </c>
      <c r="I430" t="s">
        <v>41</v>
      </c>
      <c r="J430" t="s">
        <v>159</v>
      </c>
      <c r="K430" t="s">
        <v>44</v>
      </c>
      <c r="L430" t="s">
        <v>147</v>
      </c>
      <c r="M430" t="s">
        <v>50</v>
      </c>
      <c r="N430" t="s">
        <v>96</v>
      </c>
      <c r="O430" t="s">
        <v>43</v>
      </c>
      <c r="P430" t="s">
        <v>148</v>
      </c>
      <c r="Q430">
        <v>17</v>
      </c>
      <c r="R430">
        <v>0</v>
      </c>
      <c r="S430">
        <v>9</v>
      </c>
      <c r="T430">
        <v>0</v>
      </c>
      <c r="U430">
        <v>7</v>
      </c>
      <c r="V430">
        <v>9</v>
      </c>
      <c r="W430">
        <v>35</v>
      </c>
      <c r="X430">
        <v>689</v>
      </c>
      <c r="Y430">
        <v>22812</v>
      </c>
      <c r="Z430">
        <v>4668</v>
      </c>
      <c r="AA430">
        <v>2</v>
      </c>
      <c r="AB430" s="29">
        <v>44773</v>
      </c>
      <c r="AC430" s="29">
        <v>33391</v>
      </c>
      <c r="AD430" s="29">
        <v>42106</v>
      </c>
      <c r="AE430" s="29"/>
      <c r="AF430">
        <v>7</v>
      </c>
      <c r="AG430" t="s">
        <v>149</v>
      </c>
      <c r="AI430">
        <v>25</v>
      </c>
      <c r="AJ430">
        <v>1</v>
      </c>
      <c r="AK430" t="s">
        <v>150</v>
      </c>
      <c r="AL430" t="s">
        <v>77</v>
      </c>
      <c r="AM430">
        <f t="shared" si="30"/>
        <v>2</v>
      </c>
      <c r="AN430">
        <f t="shared" si="31"/>
        <v>4</v>
      </c>
      <c r="AO430" t="str">
        <f t="shared" si="32"/>
        <v/>
      </c>
      <c r="AP430" t="str">
        <f t="shared" si="33"/>
        <v/>
      </c>
      <c r="AQ430">
        <f t="shared" si="34"/>
        <v>2015</v>
      </c>
    </row>
    <row r="431" spans="1:43" x14ac:dyDescent="0.35">
      <c r="A431">
        <v>1449</v>
      </c>
      <c r="B431">
        <v>40</v>
      </c>
      <c r="C431" t="s">
        <v>148</v>
      </c>
      <c r="D431" t="s">
        <v>164</v>
      </c>
      <c r="E431" t="s">
        <v>4</v>
      </c>
      <c r="F431" t="s">
        <v>37</v>
      </c>
      <c r="G431" t="s">
        <v>43</v>
      </c>
      <c r="H431" t="s">
        <v>82</v>
      </c>
      <c r="I431" t="s">
        <v>43</v>
      </c>
      <c r="J431" t="s">
        <v>155</v>
      </c>
      <c r="K431" t="s">
        <v>43</v>
      </c>
      <c r="L431" t="s">
        <v>147</v>
      </c>
      <c r="M431" t="s">
        <v>50</v>
      </c>
      <c r="N431" t="s">
        <v>96</v>
      </c>
      <c r="O431" t="s">
        <v>156</v>
      </c>
      <c r="P431" t="s">
        <v>148</v>
      </c>
      <c r="Q431">
        <v>11</v>
      </c>
      <c r="R431">
        <v>3</v>
      </c>
      <c r="S431">
        <v>11</v>
      </c>
      <c r="T431">
        <v>0</v>
      </c>
      <c r="U431">
        <v>7</v>
      </c>
      <c r="V431">
        <v>9</v>
      </c>
      <c r="W431">
        <v>81</v>
      </c>
      <c r="X431">
        <v>663</v>
      </c>
      <c r="Y431">
        <v>23099</v>
      </c>
      <c r="Z431">
        <v>3975</v>
      </c>
      <c r="AA431">
        <v>2</v>
      </c>
      <c r="AB431" s="29">
        <v>44773</v>
      </c>
      <c r="AC431" s="29">
        <v>30423</v>
      </c>
      <c r="AD431" s="29">
        <v>42170</v>
      </c>
      <c r="AE431" s="29"/>
      <c r="AF431">
        <v>7</v>
      </c>
      <c r="AG431" t="s">
        <v>153</v>
      </c>
      <c r="AI431">
        <v>33</v>
      </c>
      <c r="AJ431">
        <v>1</v>
      </c>
      <c r="AK431" t="s">
        <v>150</v>
      </c>
      <c r="AL431" t="s">
        <v>77</v>
      </c>
      <c r="AM431">
        <f t="shared" si="30"/>
        <v>2</v>
      </c>
      <c r="AN431">
        <f t="shared" si="31"/>
        <v>6</v>
      </c>
      <c r="AO431" t="str">
        <f t="shared" si="32"/>
        <v/>
      </c>
      <c r="AP431" t="str">
        <f t="shared" si="33"/>
        <v/>
      </c>
      <c r="AQ431">
        <f t="shared" si="34"/>
        <v>2015</v>
      </c>
    </row>
    <row r="432" spans="1:43" x14ac:dyDescent="0.35">
      <c r="A432">
        <v>990</v>
      </c>
      <c r="B432">
        <v>36</v>
      </c>
      <c r="C432" t="s">
        <v>148</v>
      </c>
      <c r="D432" t="s">
        <v>164</v>
      </c>
      <c r="E432" t="s">
        <v>158</v>
      </c>
      <c r="F432" t="s">
        <v>37</v>
      </c>
      <c r="G432" t="s">
        <v>41</v>
      </c>
      <c r="H432" t="s">
        <v>82</v>
      </c>
      <c r="I432" t="s">
        <v>43</v>
      </c>
      <c r="J432" t="s">
        <v>159</v>
      </c>
      <c r="K432" t="s">
        <v>44</v>
      </c>
      <c r="L432" t="s">
        <v>147</v>
      </c>
      <c r="M432" t="s">
        <v>49</v>
      </c>
      <c r="N432" t="s">
        <v>96</v>
      </c>
      <c r="O432" t="s">
        <v>156</v>
      </c>
      <c r="P432" t="s">
        <v>148</v>
      </c>
      <c r="Q432">
        <v>13</v>
      </c>
      <c r="R432">
        <v>4</v>
      </c>
      <c r="S432">
        <v>12</v>
      </c>
      <c r="T432">
        <v>0</v>
      </c>
      <c r="U432">
        <v>7</v>
      </c>
      <c r="V432">
        <v>8</v>
      </c>
      <c r="W432">
        <v>84</v>
      </c>
      <c r="X432">
        <v>1229</v>
      </c>
      <c r="Y432">
        <v>25952</v>
      </c>
      <c r="Z432">
        <v>5079</v>
      </c>
      <c r="AA432">
        <v>3</v>
      </c>
      <c r="AB432" s="29">
        <v>44773</v>
      </c>
      <c r="AC432" s="29">
        <v>31640</v>
      </c>
      <c r="AD432" s="29">
        <v>42215</v>
      </c>
      <c r="AE432" s="29"/>
      <c r="AF432">
        <v>7</v>
      </c>
      <c r="AG432" t="s">
        <v>149</v>
      </c>
      <c r="AI432">
        <v>29</v>
      </c>
      <c r="AJ432">
        <v>1</v>
      </c>
      <c r="AK432" t="s">
        <v>150</v>
      </c>
      <c r="AL432" t="s">
        <v>77</v>
      </c>
      <c r="AM432">
        <f t="shared" si="30"/>
        <v>3</v>
      </c>
      <c r="AN432">
        <f t="shared" si="31"/>
        <v>7</v>
      </c>
      <c r="AO432" t="str">
        <f t="shared" si="32"/>
        <v/>
      </c>
      <c r="AP432" t="str">
        <f t="shared" si="33"/>
        <v/>
      </c>
      <c r="AQ432">
        <f t="shared" si="34"/>
        <v>2015</v>
      </c>
    </row>
    <row r="433" spans="1:43" x14ac:dyDescent="0.35">
      <c r="A433">
        <v>956</v>
      </c>
      <c r="B433">
        <v>26</v>
      </c>
      <c r="C433" t="s">
        <v>148</v>
      </c>
      <c r="D433" t="s">
        <v>151</v>
      </c>
      <c r="E433" t="s">
        <v>158</v>
      </c>
      <c r="F433" t="s">
        <v>38</v>
      </c>
      <c r="G433" t="s">
        <v>43</v>
      </c>
      <c r="H433" t="s">
        <v>82</v>
      </c>
      <c r="I433" t="s">
        <v>42</v>
      </c>
      <c r="J433" t="s">
        <v>159</v>
      </c>
      <c r="K433" t="s">
        <v>41</v>
      </c>
      <c r="L433" t="s">
        <v>147</v>
      </c>
      <c r="M433" t="s">
        <v>49</v>
      </c>
      <c r="N433" t="s">
        <v>95</v>
      </c>
      <c r="P433" t="s">
        <v>148</v>
      </c>
      <c r="Q433">
        <v>12</v>
      </c>
      <c r="R433">
        <v>1</v>
      </c>
      <c r="S433">
        <v>7</v>
      </c>
      <c r="T433">
        <v>0</v>
      </c>
      <c r="U433">
        <v>7</v>
      </c>
      <c r="V433">
        <v>1</v>
      </c>
      <c r="W433">
        <v>52</v>
      </c>
      <c r="X433">
        <v>1283</v>
      </c>
      <c r="Y433">
        <v>11148</v>
      </c>
      <c r="Z433">
        <v>4294</v>
      </c>
      <c r="AA433">
        <v>2</v>
      </c>
      <c r="AB433" s="29">
        <v>44773</v>
      </c>
      <c r="AC433" s="29">
        <v>35502</v>
      </c>
      <c r="AD433" s="29">
        <v>42275</v>
      </c>
      <c r="AE433" s="29"/>
      <c r="AF433">
        <v>7</v>
      </c>
      <c r="AG433" t="s">
        <v>157</v>
      </c>
      <c r="AI433">
        <v>19</v>
      </c>
      <c r="AJ433">
        <v>1</v>
      </c>
      <c r="AK433" t="s">
        <v>150</v>
      </c>
      <c r="AL433" t="s">
        <v>77</v>
      </c>
      <c r="AM433">
        <f t="shared" si="30"/>
        <v>3</v>
      </c>
      <c r="AN433">
        <f t="shared" si="31"/>
        <v>9</v>
      </c>
      <c r="AO433" t="str">
        <f t="shared" si="32"/>
        <v/>
      </c>
      <c r="AP433" t="str">
        <f t="shared" si="33"/>
        <v/>
      </c>
      <c r="AQ433">
        <f t="shared" si="34"/>
        <v>2015</v>
      </c>
    </row>
    <row r="434" spans="1:43" x14ac:dyDescent="0.35">
      <c r="A434">
        <v>160</v>
      </c>
      <c r="B434">
        <v>33</v>
      </c>
      <c r="C434" t="s">
        <v>148</v>
      </c>
      <c r="D434" t="s">
        <v>164</v>
      </c>
      <c r="E434" t="s">
        <v>158</v>
      </c>
      <c r="F434" t="s">
        <v>36</v>
      </c>
      <c r="G434" t="s">
        <v>43</v>
      </c>
      <c r="H434" t="s">
        <v>82</v>
      </c>
      <c r="I434" t="s">
        <v>43</v>
      </c>
      <c r="J434" t="s">
        <v>159</v>
      </c>
      <c r="K434" t="s">
        <v>42</v>
      </c>
      <c r="L434" t="s">
        <v>147</v>
      </c>
      <c r="M434" t="s">
        <v>50</v>
      </c>
      <c r="N434" t="s">
        <v>160</v>
      </c>
      <c r="O434" t="s">
        <v>41</v>
      </c>
      <c r="P434" t="s">
        <v>148</v>
      </c>
      <c r="Q434">
        <v>13</v>
      </c>
      <c r="R434">
        <v>0</v>
      </c>
      <c r="S434">
        <v>8</v>
      </c>
      <c r="T434">
        <v>0</v>
      </c>
      <c r="U434">
        <v>7</v>
      </c>
      <c r="V434">
        <v>22</v>
      </c>
      <c r="W434">
        <v>95</v>
      </c>
      <c r="X434">
        <v>750</v>
      </c>
      <c r="Y434">
        <v>15480</v>
      </c>
      <c r="Z434">
        <v>6146</v>
      </c>
      <c r="AA434">
        <v>2</v>
      </c>
      <c r="AB434" s="29">
        <v>44773</v>
      </c>
      <c r="AC434" s="29">
        <v>33021</v>
      </c>
      <c r="AD434" s="29">
        <v>42277</v>
      </c>
      <c r="AE434" s="29"/>
      <c r="AF434">
        <v>7</v>
      </c>
      <c r="AG434" t="s">
        <v>149</v>
      </c>
      <c r="AI434">
        <v>26</v>
      </c>
      <c r="AJ434">
        <v>2</v>
      </c>
      <c r="AK434" t="s">
        <v>150</v>
      </c>
      <c r="AL434" t="s">
        <v>77</v>
      </c>
      <c r="AM434">
        <f t="shared" si="30"/>
        <v>3</v>
      </c>
      <c r="AN434">
        <f t="shared" si="31"/>
        <v>9</v>
      </c>
      <c r="AO434" t="str">
        <f t="shared" si="32"/>
        <v/>
      </c>
      <c r="AP434" t="str">
        <f t="shared" si="33"/>
        <v/>
      </c>
      <c r="AQ434">
        <f t="shared" si="34"/>
        <v>2015</v>
      </c>
    </row>
    <row r="435" spans="1:43" x14ac:dyDescent="0.35">
      <c r="A435">
        <v>1764</v>
      </c>
      <c r="B435">
        <v>32</v>
      </c>
      <c r="C435" t="s">
        <v>148</v>
      </c>
      <c r="D435" t="s">
        <v>164</v>
      </c>
      <c r="E435" t="s">
        <v>4</v>
      </c>
      <c r="F435" t="s">
        <v>37</v>
      </c>
      <c r="G435" t="s">
        <v>42</v>
      </c>
      <c r="H435" t="s">
        <v>82</v>
      </c>
      <c r="I435" t="s">
        <v>43</v>
      </c>
      <c r="J435" t="s">
        <v>146</v>
      </c>
      <c r="K435" t="s">
        <v>42</v>
      </c>
      <c r="L435" t="s">
        <v>147</v>
      </c>
      <c r="M435" t="s">
        <v>49</v>
      </c>
      <c r="N435" t="s">
        <v>95</v>
      </c>
      <c r="P435" t="s">
        <v>148</v>
      </c>
      <c r="Q435">
        <v>14</v>
      </c>
      <c r="R435">
        <v>2</v>
      </c>
      <c r="S435">
        <v>12</v>
      </c>
      <c r="T435">
        <v>0</v>
      </c>
      <c r="U435">
        <v>7</v>
      </c>
      <c r="V435">
        <v>5</v>
      </c>
      <c r="W435">
        <v>65</v>
      </c>
      <c r="X435">
        <v>953</v>
      </c>
      <c r="Y435">
        <v>17674</v>
      </c>
      <c r="Z435">
        <v>2718</v>
      </c>
      <c r="AA435">
        <v>3</v>
      </c>
      <c r="AB435" s="29">
        <v>44773</v>
      </c>
      <c r="AC435" s="29">
        <v>33252</v>
      </c>
      <c r="AD435" s="29">
        <v>42291</v>
      </c>
      <c r="AE435" s="29"/>
      <c r="AF435">
        <v>7</v>
      </c>
      <c r="AG435" t="s">
        <v>149</v>
      </c>
      <c r="AI435">
        <v>25</v>
      </c>
      <c r="AJ435">
        <v>1</v>
      </c>
      <c r="AK435" t="s">
        <v>150</v>
      </c>
      <c r="AL435" t="s">
        <v>77</v>
      </c>
      <c r="AM435">
        <f t="shared" si="30"/>
        <v>4</v>
      </c>
      <c r="AN435">
        <f t="shared" si="31"/>
        <v>10</v>
      </c>
      <c r="AO435" t="str">
        <f t="shared" si="32"/>
        <v/>
      </c>
      <c r="AP435" t="str">
        <f t="shared" si="33"/>
        <v/>
      </c>
      <c r="AQ435">
        <f t="shared" si="34"/>
        <v>2015</v>
      </c>
    </row>
    <row r="436" spans="1:43" x14ac:dyDescent="0.35">
      <c r="A436">
        <v>1653</v>
      </c>
      <c r="B436">
        <v>25</v>
      </c>
      <c r="C436" t="s">
        <v>148</v>
      </c>
      <c r="D436" t="s">
        <v>151</v>
      </c>
      <c r="E436" t="s">
        <v>4</v>
      </c>
      <c r="F436" t="s">
        <v>35</v>
      </c>
      <c r="G436" t="s">
        <v>44</v>
      </c>
      <c r="H436" t="s">
        <v>82</v>
      </c>
      <c r="I436" t="s">
        <v>44</v>
      </c>
      <c r="J436" t="s">
        <v>165</v>
      </c>
      <c r="K436" t="s">
        <v>43</v>
      </c>
      <c r="L436" t="s">
        <v>147</v>
      </c>
      <c r="M436" t="s">
        <v>49</v>
      </c>
      <c r="N436" t="s">
        <v>96</v>
      </c>
      <c r="O436" t="s">
        <v>156</v>
      </c>
      <c r="P436" t="s">
        <v>148</v>
      </c>
      <c r="Q436">
        <v>17</v>
      </c>
      <c r="R436">
        <v>1</v>
      </c>
      <c r="S436">
        <v>7</v>
      </c>
      <c r="T436">
        <v>0</v>
      </c>
      <c r="U436">
        <v>2</v>
      </c>
      <c r="V436">
        <v>2</v>
      </c>
      <c r="W436">
        <v>77</v>
      </c>
      <c r="X436">
        <v>772</v>
      </c>
      <c r="Y436">
        <v>4973</v>
      </c>
      <c r="Z436">
        <v>5206</v>
      </c>
      <c r="AA436">
        <v>6</v>
      </c>
      <c r="AB436" s="29">
        <v>44773</v>
      </c>
      <c r="AC436" s="29">
        <v>35990</v>
      </c>
      <c r="AD436" s="29">
        <v>42467</v>
      </c>
      <c r="AE436" s="29"/>
      <c r="AF436">
        <v>6</v>
      </c>
      <c r="AG436" t="s">
        <v>157</v>
      </c>
      <c r="AI436">
        <v>19</v>
      </c>
      <c r="AJ436">
        <v>1</v>
      </c>
      <c r="AK436" t="s">
        <v>150</v>
      </c>
      <c r="AL436" t="s">
        <v>77</v>
      </c>
      <c r="AM436">
        <f t="shared" si="30"/>
        <v>2</v>
      </c>
      <c r="AN436">
        <f t="shared" si="31"/>
        <v>4</v>
      </c>
      <c r="AO436" t="str">
        <f t="shared" si="32"/>
        <v/>
      </c>
      <c r="AP436" t="str">
        <f t="shared" si="33"/>
        <v/>
      </c>
      <c r="AQ436">
        <f t="shared" si="34"/>
        <v>2016</v>
      </c>
    </row>
    <row r="437" spans="1:43" x14ac:dyDescent="0.35">
      <c r="A437">
        <v>446</v>
      </c>
      <c r="B437">
        <v>33</v>
      </c>
      <c r="C437" t="s">
        <v>148</v>
      </c>
      <c r="D437" t="s">
        <v>151</v>
      </c>
      <c r="E437" t="s">
        <v>158</v>
      </c>
      <c r="F437" t="s">
        <v>38</v>
      </c>
      <c r="G437" t="s">
        <v>42</v>
      </c>
      <c r="H437" t="s">
        <v>82</v>
      </c>
      <c r="I437" t="s">
        <v>42</v>
      </c>
      <c r="J437" t="s">
        <v>159</v>
      </c>
      <c r="K437" t="s">
        <v>44</v>
      </c>
      <c r="L437" t="s">
        <v>147</v>
      </c>
      <c r="M437" t="s">
        <v>48</v>
      </c>
      <c r="N437" t="s">
        <v>95</v>
      </c>
      <c r="P437" t="s">
        <v>148</v>
      </c>
      <c r="Q437">
        <v>14</v>
      </c>
      <c r="R437">
        <v>3</v>
      </c>
      <c r="S437">
        <v>9</v>
      </c>
      <c r="T437">
        <v>0</v>
      </c>
      <c r="U437">
        <v>1</v>
      </c>
      <c r="V437">
        <v>10</v>
      </c>
      <c r="W437">
        <v>46</v>
      </c>
      <c r="X437">
        <v>508</v>
      </c>
      <c r="Y437">
        <v>4317</v>
      </c>
      <c r="Z437">
        <v>4682</v>
      </c>
      <c r="AA437">
        <v>6</v>
      </c>
      <c r="AB437" s="29">
        <v>44773</v>
      </c>
      <c r="AC437" s="29">
        <v>32894</v>
      </c>
      <c r="AD437" s="29">
        <v>42524</v>
      </c>
      <c r="AE437" s="29"/>
      <c r="AF437">
        <v>6</v>
      </c>
      <c r="AG437" t="s">
        <v>149</v>
      </c>
      <c r="AI437">
        <v>27</v>
      </c>
      <c r="AJ437">
        <v>1</v>
      </c>
      <c r="AK437" t="s">
        <v>150</v>
      </c>
      <c r="AL437" t="s">
        <v>77</v>
      </c>
      <c r="AM437">
        <f t="shared" si="30"/>
        <v>2</v>
      </c>
      <c r="AN437">
        <f t="shared" si="31"/>
        <v>6</v>
      </c>
      <c r="AO437" t="str">
        <f t="shared" si="32"/>
        <v/>
      </c>
      <c r="AP437" t="str">
        <f t="shared" si="33"/>
        <v/>
      </c>
      <c r="AQ437">
        <f t="shared" si="34"/>
        <v>2016</v>
      </c>
    </row>
    <row r="438" spans="1:43" x14ac:dyDescent="0.35">
      <c r="A438">
        <v>293</v>
      </c>
      <c r="B438">
        <v>27</v>
      </c>
      <c r="C438" t="s">
        <v>148</v>
      </c>
      <c r="D438" t="s">
        <v>151</v>
      </c>
      <c r="E438" t="s">
        <v>158</v>
      </c>
      <c r="F438" t="s">
        <v>38</v>
      </c>
      <c r="G438" t="s">
        <v>44</v>
      </c>
      <c r="H438" t="s">
        <v>81</v>
      </c>
      <c r="I438" t="s">
        <v>43</v>
      </c>
      <c r="J438" t="s">
        <v>159</v>
      </c>
      <c r="K438" t="s">
        <v>43</v>
      </c>
      <c r="L438" t="s">
        <v>147</v>
      </c>
      <c r="M438" t="s">
        <v>49</v>
      </c>
      <c r="N438" t="s">
        <v>95</v>
      </c>
      <c r="P438" t="s">
        <v>148</v>
      </c>
      <c r="Q438">
        <v>14</v>
      </c>
      <c r="R438">
        <v>1</v>
      </c>
      <c r="S438">
        <v>7</v>
      </c>
      <c r="T438">
        <v>0</v>
      </c>
      <c r="U438">
        <v>3</v>
      </c>
      <c r="V438">
        <v>20</v>
      </c>
      <c r="W438">
        <v>90</v>
      </c>
      <c r="X438">
        <v>1242</v>
      </c>
      <c r="Y438">
        <v>12916</v>
      </c>
      <c r="Z438">
        <v>9981</v>
      </c>
      <c r="AA438">
        <v>2</v>
      </c>
      <c r="AB438" s="29">
        <v>44773</v>
      </c>
      <c r="AC438" s="29">
        <v>35219</v>
      </c>
      <c r="AD438" s="29">
        <v>42534</v>
      </c>
      <c r="AE438" s="29"/>
      <c r="AF438">
        <v>6</v>
      </c>
      <c r="AG438" t="s">
        <v>157</v>
      </c>
      <c r="AI438">
        <v>21</v>
      </c>
      <c r="AJ438">
        <v>1</v>
      </c>
      <c r="AK438" t="s">
        <v>150</v>
      </c>
      <c r="AL438" t="s">
        <v>77</v>
      </c>
      <c r="AM438">
        <f t="shared" si="30"/>
        <v>2</v>
      </c>
      <c r="AN438">
        <f t="shared" si="31"/>
        <v>6</v>
      </c>
      <c r="AO438" t="str">
        <f t="shared" si="32"/>
        <v/>
      </c>
      <c r="AP438" t="str">
        <f t="shared" si="33"/>
        <v/>
      </c>
      <c r="AQ438">
        <f t="shared" si="34"/>
        <v>2016</v>
      </c>
    </row>
    <row r="439" spans="1:43" x14ac:dyDescent="0.35">
      <c r="A439">
        <v>1927</v>
      </c>
      <c r="B439">
        <v>28</v>
      </c>
      <c r="C439" t="s">
        <v>148</v>
      </c>
      <c r="D439" t="s">
        <v>151</v>
      </c>
      <c r="E439" t="s">
        <v>158</v>
      </c>
      <c r="F439" t="s">
        <v>36</v>
      </c>
      <c r="G439" t="s">
        <v>43</v>
      </c>
      <c r="H439" t="s">
        <v>82</v>
      </c>
      <c r="I439" t="s">
        <v>42</v>
      </c>
      <c r="J439" t="s">
        <v>159</v>
      </c>
      <c r="K439" t="s">
        <v>44</v>
      </c>
      <c r="L439" t="s">
        <v>147</v>
      </c>
      <c r="M439" t="s">
        <v>49</v>
      </c>
      <c r="N439" t="s">
        <v>160</v>
      </c>
      <c r="O439" t="s">
        <v>41</v>
      </c>
      <c r="P439" t="s">
        <v>144</v>
      </c>
      <c r="Q439">
        <v>12</v>
      </c>
      <c r="R439">
        <v>1</v>
      </c>
      <c r="S439">
        <v>7</v>
      </c>
      <c r="T439">
        <v>0</v>
      </c>
      <c r="U439">
        <v>6</v>
      </c>
      <c r="V439">
        <v>1</v>
      </c>
      <c r="W439">
        <v>42</v>
      </c>
      <c r="X439">
        <v>783</v>
      </c>
      <c r="Y439">
        <v>19255</v>
      </c>
      <c r="Z439">
        <v>6834</v>
      </c>
      <c r="AA439">
        <v>2</v>
      </c>
      <c r="AB439" s="29">
        <v>44773</v>
      </c>
      <c r="AC439" s="29">
        <v>34765</v>
      </c>
      <c r="AD439" s="29">
        <v>42540</v>
      </c>
      <c r="AE439" s="29"/>
      <c r="AF439">
        <v>6</v>
      </c>
      <c r="AG439" t="s">
        <v>157</v>
      </c>
      <c r="AI439">
        <v>22</v>
      </c>
      <c r="AJ439">
        <v>2</v>
      </c>
      <c r="AK439" t="s">
        <v>150</v>
      </c>
      <c r="AL439" t="s">
        <v>77</v>
      </c>
      <c r="AM439">
        <f t="shared" si="30"/>
        <v>2</v>
      </c>
      <c r="AN439">
        <f t="shared" si="31"/>
        <v>6</v>
      </c>
      <c r="AO439" t="str">
        <f t="shared" si="32"/>
        <v/>
      </c>
      <c r="AP439" t="str">
        <f t="shared" si="33"/>
        <v/>
      </c>
      <c r="AQ439">
        <f t="shared" si="34"/>
        <v>2016</v>
      </c>
    </row>
    <row r="440" spans="1:43" x14ac:dyDescent="0.35">
      <c r="A440">
        <v>1760</v>
      </c>
      <c r="B440">
        <v>38</v>
      </c>
      <c r="C440" t="s">
        <v>148</v>
      </c>
      <c r="D440" t="s">
        <v>151</v>
      </c>
      <c r="E440" t="s">
        <v>4</v>
      </c>
      <c r="F440" t="s">
        <v>36</v>
      </c>
      <c r="G440" t="s">
        <v>43</v>
      </c>
      <c r="H440" t="s">
        <v>81</v>
      </c>
      <c r="I440" t="s">
        <v>42</v>
      </c>
      <c r="J440" t="s">
        <v>155</v>
      </c>
      <c r="K440" t="s">
        <v>42</v>
      </c>
      <c r="L440" t="s">
        <v>147</v>
      </c>
      <c r="M440" t="s">
        <v>48</v>
      </c>
      <c r="N440" t="s">
        <v>160</v>
      </c>
      <c r="O440" t="s">
        <v>41</v>
      </c>
      <c r="P440" t="s">
        <v>148</v>
      </c>
      <c r="Q440">
        <v>14</v>
      </c>
      <c r="R440">
        <v>4</v>
      </c>
      <c r="S440">
        <v>9</v>
      </c>
      <c r="T440">
        <v>0</v>
      </c>
      <c r="U440">
        <v>5</v>
      </c>
      <c r="V440">
        <v>2</v>
      </c>
      <c r="W440">
        <v>75</v>
      </c>
      <c r="X440">
        <v>594</v>
      </c>
      <c r="Y440">
        <v>15963</v>
      </c>
      <c r="Z440">
        <v>2468</v>
      </c>
      <c r="AA440">
        <v>4</v>
      </c>
      <c r="AB440" s="29">
        <v>44773</v>
      </c>
      <c r="AC440" s="29">
        <v>31015</v>
      </c>
      <c r="AD440" s="29">
        <v>42667</v>
      </c>
      <c r="AE440" s="29"/>
      <c r="AF440">
        <v>6</v>
      </c>
      <c r="AG440" t="s">
        <v>149</v>
      </c>
      <c r="AI440">
        <v>32</v>
      </c>
      <c r="AJ440">
        <v>2</v>
      </c>
      <c r="AK440" t="s">
        <v>150</v>
      </c>
      <c r="AL440" t="s">
        <v>77</v>
      </c>
      <c r="AM440">
        <f t="shared" si="30"/>
        <v>4</v>
      </c>
      <c r="AN440">
        <f t="shared" si="31"/>
        <v>10</v>
      </c>
      <c r="AO440" t="str">
        <f t="shared" si="32"/>
        <v/>
      </c>
      <c r="AP440" t="str">
        <f t="shared" si="33"/>
        <v/>
      </c>
      <c r="AQ440">
        <f t="shared" si="34"/>
        <v>2016</v>
      </c>
    </row>
    <row r="441" spans="1:43" x14ac:dyDescent="0.35">
      <c r="A441">
        <v>85</v>
      </c>
      <c r="B441">
        <v>36</v>
      </c>
      <c r="C441" t="s">
        <v>148</v>
      </c>
      <c r="D441" t="s">
        <v>151</v>
      </c>
      <c r="E441" t="s">
        <v>4</v>
      </c>
      <c r="F441" t="s">
        <v>38</v>
      </c>
      <c r="G441" t="s">
        <v>42</v>
      </c>
      <c r="H441" t="s">
        <v>82</v>
      </c>
      <c r="I441" t="s">
        <v>42</v>
      </c>
      <c r="J441" t="s">
        <v>165</v>
      </c>
      <c r="K441" t="s">
        <v>42</v>
      </c>
      <c r="L441" t="s">
        <v>147</v>
      </c>
      <c r="M441" t="s">
        <v>49</v>
      </c>
      <c r="N441" t="s">
        <v>95</v>
      </c>
      <c r="P441" t="s">
        <v>148</v>
      </c>
      <c r="Q441">
        <v>13</v>
      </c>
      <c r="R441">
        <v>1</v>
      </c>
      <c r="S441">
        <v>6</v>
      </c>
      <c r="T441">
        <v>0</v>
      </c>
      <c r="U441">
        <v>3</v>
      </c>
      <c r="V441">
        <v>11</v>
      </c>
      <c r="W441">
        <v>95</v>
      </c>
      <c r="X441">
        <v>1195</v>
      </c>
      <c r="Y441">
        <v>22656</v>
      </c>
      <c r="Z441">
        <v>6499</v>
      </c>
      <c r="AA441">
        <v>3</v>
      </c>
      <c r="AB441" s="29">
        <v>44773</v>
      </c>
      <c r="AC441" s="29">
        <v>31962</v>
      </c>
      <c r="AD441" s="29">
        <v>42800</v>
      </c>
      <c r="AE441" s="29"/>
      <c r="AF441">
        <v>5</v>
      </c>
      <c r="AG441" t="s">
        <v>149</v>
      </c>
      <c r="AI441">
        <v>31</v>
      </c>
      <c r="AJ441">
        <v>2</v>
      </c>
      <c r="AK441" t="s">
        <v>162</v>
      </c>
      <c r="AL441" t="s">
        <v>77</v>
      </c>
      <c r="AM441">
        <f t="shared" si="30"/>
        <v>1</v>
      </c>
      <c r="AN441">
        <f t="shared" si="31"/>
        <v>3</v>
      </c>
      <c r="AO441" t="str">
        <f t="shared" si="32"/>
        <v/>
      </c>
      <c r="AP441" t="str">
        <f t="shared" si="33"/>
        <v/>
      </c>
      <c r="AQ441">
        <f t="shared" si="34"/>
        <v>2017</v>
      </c>
    </row>
    <row r="442" spans="1:43" x14ac:dyDescent="0.35">
      <c r="A442">
        <v>551</v>
      </c>
      <c r="B442">
        <v>42</v>
      </c>
      <c r="C442" t="s">
        <v>148</v>
      </c>
      <c r="D442" t="s">
        <v>151</v>
      </c>
      <c r="E442" t="s">
        <v>4</v>
      </c>
      <c r="F442" t="s">
        <v>37</v>
      </c>
      <c r="G442" t="s">
        <v>44</v>
      </c>
      <c r="H442" t="s">
        <v>81</v>
      </c>
      <c r="I442" t="s">
        <v>42</v>
      </c>
      <c r="J442" t="s">
        <v>161</v>
      </c>
      <c r="K442" t="s">
        <v>44</v>
      </c>
      <c r="L442" t="s">
        <v>147</v>
      </c>
      <c r="M442" t="s">
        <v>50</v>
      </c>
      <c r="N442" t="s">
        <v>160</v>
      </c>
      <c r="O442" t="s">
        <v>43</v>
      </c>
      <c r="P442" t="s">
        <v>148</v>
      </c>
      <c r="Q442">
        <v>11</v>
      </c>
      <c r="R442">
        <v>0</v>
      </c>
      <c r="S442">
        <v>7</v>
      </c>
      <c r="T442">
        <v>0</v>
      </c>
      <c r="U442">
        <v>4</v>
      </c>
      <c r="V442">
        <v>28</v>
      </c>
      <c r="W442">
        <v>88</v>
      </c>
      <c r="X442">
        <v>1368</v>
      </c>
      <c r="Y442">
        <v>4386</v>
      </c>
      <c r="Z442">
        <v>4523</v>
      </c>
      <c r="AA442">
        <v>4</v>
      </c>
      <c r="AB442" s="29">
        <v>44773</v>
      </c>
      <c r="AC442" s="29">
        <v>29650</v>
      </c>
      <c r="AD442" s="29">
        <v>42879</v>
      </c>
      <c r="AE442" s="29"/>
      <c r="AF442">
        <v>5</v>
      </c>
      <c r="AG442" t="s">
        <v>153</v>
      </c>
      <c r="AI442">
        <v>37</v>
      </c>
      <c r="AJ442">
        <v>1</v>
      </c>
      <c r="AK442" t="s">
        <v>162</v>
      </c>
      <c r="AL442" t="s">
        <v>77</v>
      </c>
      <c r="AM442">
        <f t="shared" si="30"/>
        <v>2</v>
      </c>
      <c r="AN442">
        <f t="shared" si="31"/>
        <v>5</v>
      </c>
      <c r="AO442" t="str">
        <f t="shared" si="32"/>
        <v/>
      </c>
      <c r="AP442" t="str">
        <f t="shared" si="33"/>
        <v/>
      </c>
      <c r="AQ442">
        <f t="shared" si="34"/>
        <v>2017</v>
      </c>
    </row>
    <row r="443" spans="1:43" x14ac:dyDescent="0.35">
      <c r="A443">
        <v>2061</v>
      </c>
      <c r="B443">
        <v>36</v>
      </c>
      <c r="C443" t="s">
        <v>148</v>
      </c>
      <c r="D443" t="s">
        <v>151</v>
      </c>
      <c r="E443" t="s">
        <v>4</v>
      </c>
      <c r="F443" t="s">
        <v>36</v>
      </c>
      <c r="G443" t="s">
        <v>43</v>
      </c>
      <c r="H443" t="s">
        <v>82</v>
      </c>
      <c r="I443" t="s">
        <v>44</v>
      </c>
      <c r="J443" t="s">
        <v>155</v>
      </c>
      <c r="K443" t="s">
        <v>44</v>
      </c>
      <c r="L443" t="s">
        <v>147</v>
      </c>
      <c r="M443" t="s">
        <v>49</v>
      </c>
      <c r="N443" t="s">
        <v>160</v>
      </c>
      <c r="O443" t="s">
        <v>41</v>
      </c>
      <c r="P443" t="s">
        <v>148</v>
      </c>
      <c r="Q443">
        <v>17</v>
      </c>
      <c r="R443">
        <v>4</v>
      </c>
      <c r="S443">
        <v>17</v>
      </c>
      <c r="T443">
        <v>0</v>
      </c>
      <c r="U443">
        <v>3</v>
      </c>
      <c r="V443">
        <v>23</v>
      </c>
      <c r="W443">
        <v>41</v>
      </c>
      <c r="X443">
        <v>884</v>
      </c>
      <c r="Y443">
        <v>12290</v>
      </c>
      <c r="Z443">
        <v>2571</v>
      </c>
      <c r="AA443">
        <v>3</v>
      </c>
      <c r="AB443" s="29">
        <v>44773</v>
      </c>
      <c r="AC443" s="29">
        <v>31638</v>
      </c>
      <c r="AD443" s="29">
        <v>42978</v>
      </c>
      <c r="AE443" s="29"/>
      <c r="AF443">
        <v>5</v>
      </c>
      <c r="AG443" t="s">
        <v>149</v>
      </c>
      <c r="AI443">
        <v>31</v>
      </c>
      <c r="AJ443">
        <v>1</v>
      </c>
      <c r="AK443" t="s">
        <v>162</v>
      </c>
      <c r="AL443" t="s">
        <v>77</v>
      </c>
      <c r="AM443">
        <f t="shared" si="30"/>
        <v>3</v>
      </c>
      <c r="AN443">
        <f t="shared" si="31"/>
        <v>8</v>
      </c>
      <c r="AO443" t="str">
        <f t="shared" si="32"/>
        <v/>
      </c>
      <c r="AP443" t="str">
        <f t="shared" si="33"/>
        <v/>
      </c>
      <c r="AQ443">
        <f t="shared" si="34"/>
        <v>2017</v>
      </c>
    </row>
    <row r="444" spans="1:43" x14ac:dyDescent="0.35">
      <c r="A444">
        <v>547</v>
      </c>
      <c r="B444">
        <v>42</v>
      </c>
      <c r="C444" t="s">
        <v>148</v>
      </c>
      <c r="D444" t="s">
        <v>151</v>
      </c>
      <c r="E444" t="s">
        <v>4</v>
      </c>
      <c r="F444" t="s">
        <v>36</v>
      </c>
      <c r="G444" t="s">
        <v>41</v>
      </c>
      <c r="H444" t="s">
        <v>81</v>
      </c>
      <c r="I444" t="s">
        <v>43</v>
      </c>
      <c r="J444" t="s">
        <v>146</v>
      </c>
      <c r="K444" t="s">
        <v>43</v>
      </c>
      <c r="L444" t="s">
        <v>147</v>
      </c>
      <c r="M444" t="s">
        <v>49</v>
      </c>
      <c r="N444" t="s">
        <v>96</v>
      </c>
      <c r="O444" t="s">
        <v>41</v>
      </c>
      <c r="P444" t="s">
        <v>148</v>
      </c>
      <c r="Q444">
        <v>11</v>
      </c>
      <c r="R444">
        <v>2</v>
      </c>
      <c r="S444">
        <v>19</v>
      </c>
      <c r="T444">
        <v>0</v>
      </c>
      <c r="U444">
        <v>2</v>
      </c>
      <c r="V444">
        <v>29</v>
      </c>
      <c r="W444">
        <v>92</v>
      </c>
      <c r="X444">
        <v>532</v>
      </c>
      <c r="Y444">
        <v>12932</v>
      </c>
      <c r="Z444">
        <v>4556</v>
      </c>
      <c r="AA444">
        <v>3</v>
      </c>
      <c r="AB444" s="29">
        <v>44773</v>
      </c>
      <c r="AC444" s="29">
        <v>29678</v>
      </c>
      <c r="AD444" s="29">
        <v>43008</v>
      </c>
      <c r="AE444" s="29"/>
      <c r="AF444">
        <v>5</v>
      </c>
      <c r="AG444" t="s">
        <v>153</v>
      </c>
      <c r="AI444">
        <v>37</v>
      </c>
      <c r="AJ444">
        <v>1</v>
      </c>
      <c r="AK444" t="s">
        <v>162</v>
      </c>
      <c r="AL444" t="s">
        <v>77</v>
      </c>
      <c r="AM444">
        <f t="shared" si="30"/>
        <v>3</v>
      </c>
      <c r="AN444">
        <f t="shared" si="31"/>
        <v>9</v>
      </c>
      <c r="AO444" t="str">
        <f t="shared" si="32"/>
        <v/>
      </c>
      <c r="AP444" t="str">
        <f t="shared" si="33"/>
        <v/>
      </c>
      <c r="AQ444">
        <f t="shared" si="34"/>
        <v>2017</v>
      </c>
    </row>
    <row r="445" spans="1:43" x14ac:dyDescent="0.35">
      <c r="A445">
        <v>129</v>
      </c>
      <c r="B445">
        <v>28</v>
      </c>
      <c r="C445" t="s">
        <v>148</v>
      </c>
      <c r="D445" t="s">
        <v>164</v>
      </c>
      <c r="E445" t="s">
        <v>158</v>
      </c>
      <c r="F445" t="s">
        <v>38</v>
      </c>
      <c r="G445" t="s">
        <v>42</v>
      </c>
      <c r="H445" t="s">
        <v>82</v>
      </c>
      <c r="I445" t="s">
        <v>43</v>
      </c>
      <c r="J445" t="s">
        <v>159</v>
      </c>
      <c r="K445" t="s">
        <v>43</v>
      </c>
      <c r="L445" t="s">
        <v>147</v>
      </c>
      <c r="M445" t="s">
        <v>50</v>
      </c>
      <c r="N445" t="s">
        <v>160</v>
      </c>
      <c r="P445" t="s">
        <v>148</v>
      </c>
      <c r="Q445">
        <v>15</v>
      </c>
      <c r="R445">
        <v>1</v>
      </c>
      <c r="S445">
        <v>5</v>
      </c>
      <c r="T445">
        <v>0</v>
      </c>
      <c r="U445">
        <v>4</v>
      </c>
      <c r="V445">
        <v>4</v>
      </c>
      <c r="W445">
        <v>43</v>
      </c>
      <c r="X445">
        <v>120</v>
      </c>
      <c r="Y445">
        <v>8863</v>
      </c>
      <c r="Z445">
        <v>4221</v>
      </c>
      <c r="AA445">
        <v>3</v>
      </c>
      <c r="AB445" s="29">
        <v>44773</v>
      </c>
      <c r="AC445" s="29">
        <v>34705</v>
      </c>
      <c r="AD445" s="29">
        <v>43013</v>
      </c>
      <c r="AE445" s="29"/>
      <c r="AF445">
        <v>5</v>
      </c>
      <c r="AG445" t="s">
        <v>157</v>
      </c>
      <c r="AI445">
        <v>23</v>
      </c>
      <c r="AJ445">
        <v>1</v>
      </c>
      <c r="AK445" t="s">
        <v>162</v>
      </c>
      <c r="AL445" t="s">
        <v>77</v>
      </c>
      <c r="AM445">
        <f t="shared" si="30"/>
        <v>4</v>
      </c>
      <c r="AN445">
        <f t="shared" si="31"/>
        <v>10</v>
      </c>
      <c r="AO445" t="str">
        <f t="shared" si="32"/>
        <v/>
      </c>
      <c r="AP445" t="str">
        <f t="shared" si="33"/>
        <v/>
      </c>
      <c r="AQ445">
        <f t="shared" si="34"/>
        <v>2017</v>
      </c>
    </row>
    <row r="446" spans="1:43" x14ac:dyDescent="0.35">
      <c r="A446">
        <v>1613</v>
      </c>
      <c r="B446">
        <v>31</v>
      </c>
      <c r="C446" t="s">
        <v>148</v>
      </c>
      <c r="D446" t="s">
        <v>151</v>
      </c>
      <c r="E446" t="s">
        <v>158</v>
      </c>
      <c r="F446" t="s">
        <v>37</v>
      </c>
      <c r="G446" t="s">
        <v>44</v>
      </c>
      <c r="H446" t="s">
        <v>82</v>
      </c>
      <c r="I446" t="s">
        <v>43</v>
      </c>
      <c r="J446" t="s">
        <v>159</v>
      </c>
      <c r="K446" t="s">
        <v>41</v>
      </c>
      <c r="L446" t="s">
        <v>147</v>
      </c>
      <c r="M446" t="s">
        <v>49</v>
      </c>
      <c r="N446" t="s">
        <v>95</v>
      </c>
      <c r="P446" t="s">
        <v>148</v>
      </c>
      <c r="Q446">
        <v>13</v>
      </c>
      <c r="R446">
        <v>7</v>
      </c>
      <c r="S446">
        <v>10</v>
      </c>
      <c r="T446">
        <v>0</v>
      </c>
      <c r="U446">
        <v>3</v>
      </c>
      <c r="V446">
        <v>2</v>
      </c>
      <c r="W446">
        <v>54</v>
      </c>
      <c r="X446">
        <v>715</v>
      </c>
      <c r="Y446">
        <v>21602</v>
      </c>
      <c r="Z446">
        <v>5332</v>
      </c>
      <c r="AA446">
        <v>3</v>
      </c>
      <c r="AB446" s="29">
        <v>44773</v>
      </c>
      <c r="AC446" s="29">
        <v>33663</v>
      </c>
      <c r="AD446" s="29">
        <v>43033</v>
      </c>
      <c r="AE446" s="29"/>
      <c r="AF446">
        <v>5</v>
      </c>
      <c r="AG446" t="s">
        <v>149</v>
      </c>
      <c r="AI446">
        <v>26</v>
      </c>
      <c r="AJ446">
        <v>1</v>
      </c>
      <c r="AK446" t="s">
        <v>162</v>
      </c>
      <c r="AL446" t="s">
        <v>77</v>
      </c>
      <c r="AM446">
        <f t="shared" si="30"/>
        <v>4</v>
      </c>
      <c r="AN446">
        <f t="shared" si="31"/>
        <v>10</v>
      </c>
      <c r="AO446" t="str">
        <f t="shared" si="32"/>
        <v/>
      </c>
      <c r="AP446" t="str">
        <f t="shared" si="33"/>
        <v/>
      </c>
      <c r="AQ446">
        <f t="shared" si="34"/>
        <v>2017</v>
      </c>
    </row>
    <row r="447" spans="1:43" x14ac:dyDescent="0.35">
      <c r="A447">
        <v>1132</v>
      </c>
      <c r="B447">
        <v>39</v>
      </c>
      <c r="C447" t="s">
        <v>148</v>
      </c>
      <c r="D447" t="s">
        <v>164</v>
      </c>
      <c r="E447" t="s">
        <v>4</v>
      </c>
      <c r="F447" t="s">
        <v>38</v>
      </c>
      <c r="G447" t="s">
        <v>43</v>
      </c>
      <c r="H447" t="s">
        <v>82</v>
      </c>
      <c r="I447" t="s">
        <v>43</v>
      </c>
      <c r="J447" t="s">
        <v>155</v>
      </c>
      <c r="K447" t="s">
        <v>42</v>
      </c>
      <c r="L447" t="s">
        <v>147</v>
      </c>
      <c r="M447" t="s">
        <v>48</v>
      </c>
      <c r="N447" t="s">
        <v>95</v>
      </c>
      <c r="P447" t="s">
        <v>148</v>
      </c>
      <c r="Q447">
        <v>15</v>
      </c>
      <c r="R447">
        <v>9</v>
      </c>
      <c r="S447">
        <v>9</v>
      </c>
      <c r="T447">
        <v>0</v>
      </c>
      <c r="U447">
        <v>3</v>
      </c>
      <c r="V447">
        <v>9</v>
      </c>
      <c r="W447">
        <v>70</v>
      </c>
      <c r="X447">
        <v>439</v>
      </c>
      <c r="Y447">
        <v>8770</v>
      </c>
      <c r="Z447">
        <v>6782</v>
      </c>
      <c r="AA447">
        <v>2</v>
      </c>
      <c r="AB447" s="29">
        <v>44773</v>
      </c>
      <c r="AC447" s="29">
        <v>30593</v>
      </c>
      <c r="AD447" s="29">
        <v>43114</v>
      </c>
      <c r="AE447" s="29"/>
      <c r="AF447">
        <v>5</v>
      </c>
      <c r="AG447" t="s">
        <v>149</v>
      </c>
      <c r="AI447">
        <v>34</v>
      </c>
      <c r="AJ447">
        <v>1</v>
      </c>
      <c r="AK447" t="s">
        <v>162</v>
      </c>
      <c r="AL447" t="s">
        <v>77</v>
      </c>
      <c r="AM447">
        <f t="shared" si="30"/>
        <v>1</v>
      </c>
      <c r="AN447">
        <f t="shared" si="31"/>
        <v>1</v>
      </c>
      <c r="AO447" t="str">
        <f t="shared" si="32"/>
        <v/>
      </c>
      <c r="AP447" t="str">
        <f t="shared" si="33"/>
        <v/>
      </c>
      <c r="AQ447">
        <f t="shared" si="34"/>
        <v>2018</v>
      </c>
    </row>
    <row r="448" spans="1:43" x14ac:dyDescent="0.35">
      <c r="A448">
        <v>380</v>
      </c>
      <c r="B448">
        <v>37</v>
      </c>
      <c r="C448" t="s">
        <v>148</v>
      </c>
      <c r="D448" t="s">
        <v>164</v>
      </c>
      <c r="E448" t="s">
        <v>4</v>
      </c>
      <c r="F448" t="s">
        <v>37</v>
      </c>
      <c r="G448" t="s">
        <v>41</v>
      </c>
      <c r="H448" t="s">
        <v>81</v>
      </c>
      <c r="I448" t="s">
        <v>43</v>
      </c>
      <c r="J448" t="s">
        <v>173</v>
      </c>
      <c r="K448" t="s">
        <v>44</v>
      </c>
      <c r="L448" t="s">
        <v>147</v>
      </c>
      <c r="M448" t="s">
        <v>49</v>
      </c>
      <c r="N448" t="s">
        <v>96</v>
      </c>
      <c r="O448" t="s">
        <v>156</v>
      </c>
      <c r="P448" t="s">
        <v>144</v>
      </c>
      <c r="Q448">
        <v>18</v>
      </c>
      <c r="R448">
        <v>2</v>
      </c>
      <c r="S448">
        <v>15</v>
      </c>
      <c r="T448">
        <v>0</v>
      </c>
      <c r="U448">
        <v>2</v>
      </c>
      <c r="V448">
        <v>1</v>
      </c>
      <c r="W448">
        <v>80</v>
      </c>
      <c r="X448">
        <v>728</v>
      </c>
      <c r="Y448">
        <v>11677</v>
      </c>
      <c r="Z448">
        <v>13603</v>
      </c>
      <c r="AA448">
        <v>2</v>
      </c>
      <c r="AB448" s="29">
        <v>44773</v>
      </c>
      <c r="AC448" s="29">
        <v>31432</v>
      </c>
      <c r="AD448" s="29">
        <v>43160</v>
      </c>
      <c r="AE448" s="29"/>
      <c r="AF448">
        <v>4</v>
      </c>
      <c r="AG448" t="s">
        <v>149</v>
      </c>
      <c r="AI448">
        <v>33</v>
      </c>
      <c r="AJ448">
        <v>1</v>
      </c>
      <c r="AK448" t="s">
        <v>162</v>
      </c>
      <c r="AL448" t="s">
        <v>77</v>
      </c>
      <c r="AM448">
        <f t="shared" si="30"/>
        <v>1</v>
      </c>
      <c r="AN448">
        <f t="shared" si="31"/>
        <v>3</v>
      </c>
      <c r="AO448" t="str">
        <f t="shared" si="32"/>
        <v/>
      </c>
      <c r="AP448" t="str">
        <f t="shared" si="33"/>
        <v/>
      </c>
      <c r="AQ448">
        <f t="shared" si="34"/>
        <v>2018</v>
      </c>
    </row>
    <row r="449" spans="1:43" x14ac:dyDescent="0.35">
      <c r="A449">
        <v>861</v>
      </c>
      <c r="B449">
        <v>30</v>
      </c>
      <c r="C449" t="s">
        <v>148</v>
      </c>
      <c r="D449" t="s">
        <v>151</v>
      </c>
      <c r="E449" t="s">
        <v>4</v>
      </c>
      <c r="F449" t="s">
        <v>37</v>
      </c>
      <c r="G449" t="s">
        <v>42</v>
      </c>
      <c r="H449" t="s">
        <v>82</v>
      </c>
      <c r="I449" t="s">
        <v>42</v>
      </c>
      <c r="J449" t="s">
        <v>146</v>
      </c>
      <c r="K449" t="s">
        <v>44</v>
      </c>
      <c r="L449" t="s">
        <v>147</v>
      </c>
      <c r="M449" t="s">
        <v>48</v>
      </c>
      <c r="N449" t="s">
        <v>96</v>
      </c>
      <c r="O449" t="s">
        <v>41</v>
      </c>
      <c r="P449" t="s">
        <v>148</v>
      </c>
      <c r="Q449">
        <v>12</v>
      </c>
      <c r="R449">
        <v>9</v>
      </c>
      <c r="S449">
        <v>10</v>
      </c>
      <c r="T449">
        <v>0</v>
      </c>
      <c r="U449">
        <v>3</v>
      </c>
      <c r="V449">
        <v>5</v>
      </c>
      <c r="W449">
        <v>75</v>
      </c>
      <c r="X449">
        <v>1012</v>
      </c>
      <c r="Y449">
        <v>2373</v>
      </c>
      <c r="Z449">
        <v>3761</v>
      </c>
      <c r="AA449">
        <v>3</v>
      </c>
      <c r="AB449" s="29">
        <v>44773</v>
      </c>
      <c r="AC449" s="29">
        <v>34089</v>
      </c>
      <c r="AD449" s="29">
        <v>43172</v>
      </c>
      <c r="AE449" s="29"/>
      <c r="AF449">
        <v>4</v>
      </c>
      <c r="AG449" t="s">
        <v>149</v>
      </c>
      <c r="AI449">
        <v>26</v>
      </c>
      <c r="AJ449">
        <v>1</v>
      </c>
      <c r="AK449" t="s">
        <v>162</v>
      </c>
      <c r="AL449" t="s">
        <v>77</v>
      </c>
      <c r="AM449">
        <f t="shared" si="30"/>
        <v>1</v>
      </c>
      <c r="AN449">
        <f t="shared" si="31"/>
        <v>3</v>
      </c>
      <c r="AO449" t="str">
        <f t="shared" si="32"/>
        <v/>
      </c>
      <c r="AP449" t="str">
        <f t="shared" si="33"/>
        <v/>
      </c>
      <c r="AQ449">
        <f t="shared" si="34"/>
        <v>2018</v>
      </c>
    </row>
    <row r="450" spans="1:43" x14ac:dyDescent="0.35">
      <c r="A450">
        <v>1137</v>
      </c>
      <c r="B450">
        <v>35</v>
      </c>
      <c r="C450" t="s">
        <v>148</v>
      </c>
      <c r="D450" t="s">
        <v>151</v>
      </c>
      <c r="E450" t="s">
        <v>158</v>
      </c>
      <c r="F450" t="s">
        <v>36</v>
      </c>
      <c r="G450" t="s">
        <v>44</v>
      </c>
      <c r="H450" t="s">
        <v>82</v>
      </c>
      <c r="I450" t="s">
        <v>43</v>
      </c>
      <c r="J450" t="s">
        <v>159</v>
      </c>
      <c r="K450" t="s">
        <v>44</v>
      </c>
      <c r="L450" t="s">
        <v>147</v>
      </c>
      <c r="M450" t="s">
        <v>49</v>
      </c>
      <c r="N450" t="s">
        <v>96</v>
      </c>
      <c r="O450" t="s">
        <v>41</v>
      </c>
      <c r="P450" t="s">
        <v>148</v>
      </c>
      <c r="Q450">
        <v>11</v>
      </c>
      <c r="R450">
        <v>1</v>
      </c>
      <c r="S450">
        <v>5</v>
      </c>
      <c r="T450">
        <v>0</v>
      </c>
      <c r="U450">
        <v>2</v>
      </c>
      <c r="V450">
        <v>11</v>
      </c>
      <c r="W450">
        <v>54</v>
      </c>
      <c r="X450">
        <v>1182</v>
      </c>
      <c r="Y450">
        <v>18500</v>
      </c>
      <c r="Z450">
        <v>4968</v>
      </c>
      <c r="AA450">
        <v>3</v>
      </c>
      <c r="AB450" s="29">
        <v>44773</v>
      </c>
      <c r="AC450" s="29">
        <v>32276</v>
      </c>
      <c r="AD450" s="29">
        <v>43186</v>
      </c>
      <c r="AE450" s="29"/>
      <c r="AF450">
        <v>4</v>
      </c>
      <c r="AG450" t="s">
        <v>149</v>
      </c>
      <c r="AI450">
        <v>31</v>
      </c>
      <c r="AJ450">
        <v>2</v>
      </c>
      <c r="AK450" t="s">
        <v>162</v>
      </c>
      <c r="AL450" t="s">
        <v>78</v>
      </c>
      <c r="AM450">
        <f t="shared" ref="AM450:AM513" si="35">ROUNDUP(MONTH(AD450)/3,0)</f>
        <v>1</v>
      </c>
      <c r="AN450">
        <f t="shared" ref="AN450:AN513" si="36">MONTH(AD450)</f>
        <v>3</v>
      </c>
      <c r="AO450" t="str">
        <f t="shared" ref="AO450:AO513" si="37">IF(C450="Yes",ROUNDUP(MONTH(AE450)/3,0),"")</f>
        <v/>
      </c>
      <c r="AP450" t="str">
        <f t="shared" ref="AP450:AP513" si="38">IF(C450="Yes",MONTH(AE450),"")</f>
        <v/>
      </c>
      <c r="AQ450">
        <f t="shared" ref="AQ450:AQ513" si="39">YEAR(AD450)</f>
        <v>2018</v>
      </c>
    </row>
    <row r="451" spans="1:43" x14ac:dyDescent="0.35">
      <c r="A451">
        <v>1071</v>
      </c>
      <c r="B451">
        <v>56</v>
      </c>
      <c r="C451" t="s">
        <v>148</v>
      </c>
      <c r="D451" t="s">
        <v>151</v>
      </c>
      <c r="E451" t="s">
        <v>4</v>
      </c>
      <c r="F451" t="s">
        <v>38</v>
      </c>
      <c r="G451" t="s">
        <v>41</v>
      </c>
      <c r="H451" t="s">
        <v>81</v>
      </c>
      <c r="I451" t="s">
        <v>43</v>
      </c>
      <c r="J451" t="s">
        <v>146</v>
      </c>
      <c r="K451" t="s">
        <v>43</v>
      </c>
      <c r="L451" t="s">
        <v>147</v>
      </c>
      <c r="M451" t="s">
        <v>49</v>
      </c>
      <c r="N451" t="s">
        <v>160</v>
      </c>
      <c r="O451" t="s">
        <v>41</v>
      </c>
      <c r="P451" t="s">
        <v>148</v>
      </c>
      <c r="Q451">
        <v>19</v>
      </c>
      <c r="R451">
        <v>2</v>
      </c>
      <c r="S451">
        <v>18</v>
      </c>
      <c r="T451">
        <v>0</v>
      </c>
      <c r="U451">
        <v>3</v>
      </c>
      <c r="V451">
        <v>9</v>
      </c>
      <c r="W451">
        <v>63</v>
      </c>
      <c r="X451">
        <v>1240</v>
      </c>
      <c r="Y451">
        <v>12154</v>
      </c>
      <c r="Z451">
        <v>2942</v>
      </c>
      <c r="AA451">
        <v>4</v>
      </c>
      <c r="AB451" s="29">
        <v>44773</v>
      </c>
      <c r="AC451" s="29">
        <v>24382</v>
      </c>
      <c r="AD451" s="29">
        <v>43187</v>
      </c>
      <c r="AE451" s="29"/>
      <c r="AF451">
        <v>4</v>
      </c>
      <c r="AG451" t="s">
        <v>167</v>
      </c>
      <c r="AI451">
        <v>52</v>
      </c>
      <c r="AJ451">
        <v>1</v>
      </c>
      <c r="AK451" t="s">
        <v>162</v>
      </c>
      <c r="AL451" t="s">
        <v>78</v>
      </c>
      <c r="AM451">
        <f t="shared" si="35"/>
        <v>1</v>
      </c>
      <c r="AN451">
        <f t="shared" si="36"/>
        <v>3</v>
      </c>
      <c r="AO451" t="str">
        <f t="shared" si="37"/>
        <v/>
      </c>
      <c r="AP451" t="str">
        <f t="shared" si="38"/>
        <v/>
      </c>
      <c r="AQ451">
        <f t="shared" si="39"/>
        <v>2018</v>
      </c>
    </row>
    <row r="452" spans="1:43" x14ac:dyDescent="0.35">
      <c r="A452">
        <v>1850</v>
      </c>
      <c r="B452">
        <v>27</v>
      </c>
      <c r="C452" t="s">
        <v>148</v>
      </c>
      <c r="D452" t="s">
        <v>151</v>
      </c>
      <c r="E452" t="s">
        <v>4</v>
      </c>
      <c r="F452" t="s">
        <v>36</v>
      </c>
      <c r="G452" t="s">
        <v>44</v>
      </c>
      <c r="H452" t="s">
        <v>81</v>
      </c>
      <c r="I452" t="s">
        <v>43</v>
      </c>
      <c r="J452" t="s">
        <v>155</v>
      </c>
      <c r="K452" t="s">
        <v>44</v>
      </c>
      <c r="L452" t="s">
        <v>147</v>
      </c>
      <c r="M452" t="s">
        <v>48</v>
      </c>
      <c r="N452" t="s">
        <v>95</v>
      </c>
      <c r="P452" t="s">
        <v>144</v>
      </c>
      <c r="Q452">
        <v>14</v>
      </c>
      <c r="R452">
        <v>0</v>
      </c>
      <c r="S452">
        <v>6</v>
      </c>
      <c r="T452">
        <v>0</v>
      </c>
      <c r="U452">
        <v>2</v>
      </c>
      <c r="V452">
        <v>5</v>
      </c>
      <c r="W452">
        <v>53</v>
      </c>
      <c r="X452">
        <v>1297</v>
      </c>
      <c r="Y452">
        <v>19826</v>
      </c>
      <c r="Z452">
        <v>2379</v>
      </c>
      <c r="AA452">
        <v>3</v>
      </c>
      <c r="AB452" s="29">
        <v>44773</v>
      </c>
      <c r="AC452" s="29">
        <v>35015</v>
      </c>
      <c r="AD452" s="29">
        <v>43202</v>
      </c>
      <c r="AE452" s="29"/>
      <c r="AF452">
        <v>4</v>
      </c>
      <c r="AG452" t="s">
        <v>157</v>
      </c>
      <c r="AI452">
        <v>23</v>
      </c>
      <c r="AJ452">
        <v>1</v>
      </c>
      <c r="AK452" t="s">
        <v>162</v>
      </c>
      <c r="AL452" t="s">
        <v>77</v>
      </c>
      <c r="AM452">
        <f t="shared" si="35"/>
        <v>2</v>
      </c>
      <c r="AN452">
        <f t="shared" si="36"/>
        <v>4</v>
      </c>
      <c r="AO452" t="str">
        <f t="shared" si="37"/>
        <v/>
      </c>
      <c r="AP452" t="str">
        <f t="shared" si="38"/>
        <v/>
      </c>
      <c r="AQ452">
        <f t="shared" si="39"/>
        <v>2018</v>
      </c>
    </row>
    <row r="453" spans="1:43" x14ac:dyDescent="0.35">
      <c r="A453">
        <v>270</v>
      </c>
      <c r="B453">
        <v>42</v>
      </c>
      <c r="C453" t="s">
        <v>148</v>
      </c>
      <c r="D453" t="s">
        <v>164</v>
      </c>
      <c r="E453" t="s">
        <v>4</v>
      </c>
      <c r="F453" t="s">
        <v>36</v>
      </c>
      <c r="G453" t="s">
        <v>43</v>
      </c>
      <c r="H453" t="s">
        <v>81</v>
      </c>
      <c r="I453" t="s">
        <v>43</v>
      </c>
      <c r="J453" t="s">
        <v>165</v>
      </c>
      <c r="K453" t="s">
        <v>43</v>
      </c>
      <c r="L453" t="s">
        <v>147</v>
      </c>
      <c r="M453" t="s">
        <v>49</v>
      </c>
      <c r="N453" t="s">
        <v>96</v>
      </c>
      <c r="O453" t="s">
        <v>41</v>
      </c>
      <c r="P453" t="s">
        <v>148</v>
      </c>
      <c r="Q453">
        <v>16</v>
      </c>
      <c r="R453">
        <v>2</v>
      </c>
      <c r="S453">
        <v>11</v>
      </c>
      <c r="T453">
        <v>0</v>
      </c>
      <c r="U453">
        <v>2</v>
      </c>
      <c r="V453">
        <v>21</v>
      </c>
      <c r="W453">
        <v>36</v>
      </c>
      <c r="X453">
        <v>926</v>
      </c>
      <c r="Y453">
        <v>16439</v>
      </c>
      <c r="Z453">
        <v>5265</v>
      </c>
      <c r="AA453">
        <v>5</v>
      </c>
      <c r="AB453" s="29">
        <v>44773</v>
      </c>
      <c r="AC453" s="29">
        <v>29682</v>
      </c>
      <c r="AD453" s="29">
        <v>43289</v>
      </c>
      <c r="AE453" s="29"/>
      <c r="AF453">
        <v>4</v>
      </c>
      <c r="AG453" t="s">
        <v>153</v>
      </c>
      <c r="AI453">
        <v>38</v>
      </c>
      <c r="AJ453">
        <v>1</v>
      </c>
      <c r="AK453" t="s">
        <v>162</v>
      </c>
      <c r="AL453" t="s">
        <v>77</v>
      </c>
      <c r="AM453">
        <f t="shared" si="35"/>
        <v>3</v>
      </c>
      <c r="AN453">
        <f t="shared" si="36"/>
        <v>7</v>
      </c>
      <c r="AO453" t="str">
        <f t="shared" si="37"/>
        <v/>
      </c>
      <c r="AP453" t="str">
        <f t="shared" si="38"/>
        <v/>
      </c>
      <c r="AQ453">
        <f t="shared" si="39"/>
        <v>2018</v>
      </c>
    </row>
    <row r="454" spans="1:43" x14ac:dyDescent="0.35">
      <c r="A454">
        <v>1922</v>
      </c>
      <c r="B454">
        <v>45</v>
      </c>
      <c r="C454" t="s">
        <v>148</v>
      </c>
      <c r="D454" t="s">
        <v>151</v>
      </c>
      <c r="E454" t="s">
        <v>4</v>
      </c>
      <c r="F454" t="s">
        <v>37</v>
      </c>
      <c r="G454" t="s">
        <v>42</v>
      </c>
      <c r="H454" t="s">
        <v>82</v>
      </c>
      <c r="I454" t="s">
        <v>43</v>
      </c>
      <c r="J454" t="s">
        <v>161</v>
      </c>
      <c r="K454" t="s">
        <v>43</v>
      </c>
      <c r="L454" t="s">
        <v>147</v>
      </c>
      <c r="M454" t="s">
        <v>49</v>
      </c>
      <c r="N454" t="s">
        <v>95</v>
      </c>
      <c r="P454" t="s">
        <v>148</v>
      </c>
      <c r="Q454">
        <v>12</v>
      </c>
      <c r="R454">
        <v>4</v>
      </c>
      <c r="S454">
        <v>12</v>
      </c>
      <c r="T454">
        <v>0</v>
      </c>
      <c r="U454">
        <v>3</v>
      </c>
      <c r="V454">
        <v>1</v>
      </c>
      <c r="W454">
        <v>44</v>
      </c>
      <c r="X454">
        <v>1297</v>
      </c>
      <c r="Y454">
        <v>14511</v>
      </c>
      <c r="Z454">
        <v>5399</v>
      </c>
      <c r="AA454">
        <v>3</v>
      </c>
      <c r="AB454" s="29">
        <v>44773</v>
      </c>
      <c r="AC454" s="29">
        <v>28646</v>
      </c>
      <c r="AD454" s="29">
        <v>43371</v>
      </c>
      <c r="AE454" s="29"/>
      <c r="AF454">
        <v>4</v>
      </c>
      <c r="AG454" t="s">
        <v>153</v>
      </c>
      <c r="AI454">
        <v>41</v>
      </c>
      <c r="AJ454">
        <v>1</v>
      </c>
      <c r="AK454" t="s">
        <v>162</v>
      </c>
      <c r="AL454" t="s">
        <v>77</v>
      </c>
      <c r="AM454">
        <f t="shared" si="35"/>
        <v>3</v>
      </c>
      <c r="AN454">
        <f t="shared" si="36"/>
        <v>9</v>
      </c>
      <c r="AO454" t="str">
        <f t="shared" si="37"/>
        <v/>
      </c>
      <c r="AP454" t="str">
        <f t="shared" si="38"/>
        <v/>
      </c>
      <c r="AQ454">
        <f t="shared" si="39"/>
        <v>2018</v>
      </c>
    </row>
    <row r="455" spans="1:43" x14ac:dyDescent="0.35">
      <c r="A455">
        <v>2025</v>
      </c>
      <c r="B455">
        <v>36</v>
      </c>
      <c r="C455" t="s">
        <v>148</v>
      </c>
      <c r="D455" t="s">
        <v>151</v>
      </c>
      <c r="E455" t="s">
        <v>4</v>
      </c>
      <c r="F455" t="s">
        <v>36</v>
      </c>
      <c r="G455" t="s">
        <v>44</v>
      </c>
      <c r="H455" t="s">
        <v>81</v>
      </c>
      <c r="I455" t="s">
        <v>43</v>
      </c>
      <c r="J455" t="s">
        <v>165</v>
      </c>
      <c r="K455" t="s">
        <v>42</v>
      </c>
      <c r="L455" t="s">
        <v>147</v>
      </c>
      <c r="M455" t="s">
        <v>49</v>
      </c>
      <c r="N455" t="s">
        <v>96</v>
      </c>
      <c r="O455" t="s">
        <v>43</v>
      </c>
      <c r="P455" t="s">
        <v>148</v>
      </c>
      <c r="Q455">
        <v>13</v>
      </c>
      <c r="R455">
        <v>7</v>
      </c>
      <c r="S455">
        <v>18</v>
      </c>
      <c r="T455">
        <v>0</v>
      </c>
      <c r="U455">
        <v>2</v>
      </c>
      <c r="V455">
        <v>4</v>
      </c>
      <c r="W455">
        <v>97</v>
      </c>
      <c r="X455">
        <v>688</v>
      </c>
      <c r="Y455">
        <v>9192</v>
      </c>
      <c r="Z455">
        <v>5131</v>
      </c>
      <c r="AA455">
        <v>3</v>
      </c>
      <c r="AB455" s="29">
        <v>44773</v>
      </c>
      <c r="AC455" s="29">
        <v>31884</v>
      </c>
      <c r="AD455" s="29">
        <v>43440</v>
      </c>
      <c r="AE455" s="29"/>
      <c r="AF455">
        <v>4</v>
      </c>
      <c r="AG455" t="s">
        <v>149</v>
      </c>
      <c r="AI455">
        <v>32</v>
      </c>
      <c r="AJ455">
        <v>1</v>
      </c>
      <c r="AK455" t="s">
        <v>162</v>
      </c>
      <c r="AL455" t="s">
        <v>77</v>
      </c>
      <c r="AM455">
        <f t="shared" si="35"/>
        <v>4</v>
      </c>
      <c r="AN455">
        <f t="shared" si="36"/>
        <v>12</v>
      </c>
      <c r="AO455" t="str">
        <f t="shared" si="37"/>
        <v/>
      </c>
      <c r="AP455" t="str">
        <f t="shared" si="38"/>
        <v/>
      </c>
      <c r="AQ455">
        <f t="shared" si="39"/>
        <v>2018</v>
      </c>
    </row>
    <row r="456" spans="1:43" x14ac:dyDescent="0.35">
      <c r="A456">
        <v>1011</v>
      </c>
      <c r="B456">
        <v>31</v>
      </c>
      <c r="C456" t="s">
        <v>148</v>
      </c>
      <c r="D456" t="s">
        <v>151</v>
      </c>
      <c r="E456" t="s">
        <v>4</v>
      </c>
      <c r="F456" t="s">
        <v>35</v>
      </c>
      <c r="G456" t="s">
        <v>43</v>
      </c>
      <c r="H456" t="s">
        <v>81</v>
      </c>
      <c r="I456" t="s">
        <v>43</v>
      </c>
      <c r="J456" t="s">
        <v>165</v>
      </c>
      <c r="K456" t="s">
        <v>41</v>
      </c>
      <c r="L456" t="s">
        <v>147</v>
      </c>
      <c r="M456" t="s">
        <v>49</v>
      </c>
      <c r="N456" t="s">
        <v>160</v>
      </c>
      <c r="O456" t="s">
        <v>41</v>
      </c>
      <c r="P456" t="s">
        <v>148</v>
      </c>
      <c r="Q456">
        <v>12</v>
      </c>
      <c r="R456">
        <v>1</v>
      </c>
      <c r="S456">
        <v>4</v>
      </c>
      <c r="T456">
        <v>0</v>
      </c>
      <c r="U456">
        <v>3</v>
      </c>
      <c r="V456">
        <v>1</v>
      </c>
      <c r="W456">
        <v>96</v>
      </c>
      <c r="X456">
        <v>853</v>
      </c>
      <c r="Y456">
        <v>11275</v>
      </c>
      <c r="Z456">
        <v>4148</v>
      </c>
      <c r="AA456">
        <v>1</v>
      </c>
      <c r="AB456" s="29">
        <v>44773</v>
      </c>
      <c r="AC456" s="29">
        <v>33759</v>
      </c>
      <c r="AD456" s="29">
        <v>43464</v>
      </c>
      <c r="AE456" s="29"/>
      <c r="AF456">
        <v>4</v>
      </c>
      <c r="AG456" t="s">
        <v>149</v>
      </c>
      <c r="AI456">
        <v>27</v>
      </c>
      <c r="AJ456">
        <v>1</v>
      </c>
      <c r="AK456" t="s">
        <v>162</v>
      </c>
      <c r="AL456" t="s">
        <v>78</v>
      </c>
      <c r="AM456">
        <f t="shared" si="35"/>
        <v>4</v>
      </c>
      <c r="AN456">
        <f t="shared" si="36"/>
        <v>12</v>
      </c>
      <c r="AO456" t="str">
        <f t="shared" si="37"/>
        <v/>
      </c>
      <c r="AP456" t="str">
        <f t="shared" si="38"/>
        <v/>
      </c>
      <c r="AQ456">
        <f t="shared" si="39"/>
        <v>2018</v>
      </c>
    </row>
    <row r="457" spans="1:43" x14ac:dyDescent="0.35">
      <c r="A457">
        <v>1382</v>
      </c>
      <c r="B457">
        <v>38</v>
      </c>
      <c r="C457" t="s">
        <v>148</v>
      </c>
      <c r="D457" t="s">
        <v>151</v>
      </c>
      <c r="E457" t="s">
        <v>4</v>
      </c>
      <c r="F457" t="s">
        <v>38</v>
      </c>
      <c r="G457" t="s">
        <v>44</v>
      </c>
      <c r="H457" t="s">
        <v>82</v>
      </c>
      <c r="I457" t="s">
        <v>44</v>
      </c>
      <c r="J457" t="s">
        <v>146</v>
      </c>
      <c r="K457" t="s">
        <v>43</v>
      </c>
      <c r="L457" t="s">
        <v>147</v>
      </c>
      <c r="M457" t="s">
        <v>49</v>
      </c>
      <c r="N457" t="s">
        <v>96</v>
      </c>
      <c r="O457" t="s">
        <v>43</v>
      </c>
      <c r="P457" t="s">
        <v>148</v>
      </c>
      <c r="Q457">
        <v>11</v>
      </c>
      <c r="R457">
        <v>1</v>
      </c>
      <c r="S457">
        <v>4</v>
      </c>
      <c r="T457">
        <v>0</v>
      </c>
      <c r="U457">
        <v>3</v>
      </c>
      <c r="V457">
        <v>7</v>
      </c>
      <c r="W457">
        <v>57</v>
      </c>
      <c r="X457">
        <v>693</v>
      </c>
      <c r="Y457">
        <v>15748</v>
      </c>
      <c r="Z457">
        <v>2610</v>
      </c>
      <c r="AA457">
        <v>2</v>
      </c>
      <c r="AB457" s="29">
        <v>44773</v>
      </c>
      <c r="AC457" s="29">
        <v>31153</v>
      </c>
      <c r="AD457" s="29">
        <v>43474</v>
      </c>
      <c r="AE457" s="29"/>
      <c r="AF457">
        <v>4</v>
      </c>
      <c r="AG457" t="s">
        <v>149</v>
      </c>
      <c r="AI457">
        <v>34</v>
      </c>
      <c r="AJ457">
        <v>1</v>
      </c>
      <c r="AK457" t="s">
        <v>162</v>
      </c>
      <c r="AL457" t="s">
        <v>77</v>
      </c>
      <c r="AM457">
        <f t="shared" si="35"/>
        <v>1</v>
      </c>
      <c r="AN457">
        <f t="shared" si="36"/>
        <v>1</v>
      </c>
      <c r="AO457" t="str">
        <f t="shared" si="37"/>
        <v/>
      </c>
      <c r="AP457" t="str">
        <f t="shared" si="38"/>
        <v/>
      </c>
      <c r="AQ457">
        <f t="shared" si="39"/>
        <v>2019</v>
      </c>
    </row>
    <row r="458" spans="1:43" x14ac:dyDescent="0.35">
      <c r="A458">
        <v>469</v>
      </c>
      <c r="B458">
        <v>29</v>
      </c>
      <c r="C458" t="s">
        <v>148</v>
      </c>
      <c r="D458" t="s">
        <v>164</v>
      </c>
      <c r="E458" t="s">
        <v>158</v>
      </c>
      <c r="F458" t="s">
        <v>38</v>
      </c>
      <c r="G458" t="s">
        <v>44</v>
      </c>
      <c r="H458" t="s">
        <v>82</v>
      </c>
      <c r="I458" t="s">
        <v>43</v>
      </c>
      <c r="J458" t="s">
        <v>159</v>
      </c>
      <c r="K458" t="s">
        <v>43</v>
      </c>
      <c r="L458" t="s">
        <v>147</v>
      </c>
      <c r="M458" t="s">
        <v>48</v>
      </c>
      <c r="N458" t="s">
        <v>160</v>
      </c>
      <c r="O458" t="s">
        <v>41</v>
      </c>
      <c r="P458" t="s">
        <v>148</v>
      </c>
      <c r="Q458">
        <v>14</v>
      </c>
      <c r="R458">
        <v>1</v>
      </c>
      <c r="S458">
        <v>4</v>
      </c>
      <c r="T458">
        <v>0</v>
      </c>
      <c r="U458">
        <v>2</v>
      </c>
      <c r="V458">
        <v>2</v>
      </c>
      <c r="W458">
        <v>61</v>
      </c>
      <c r="X458">
        <v>746</v>
      </c>
      <c r="Y458">
        <v>16928</v>
      </c>
      <c r="Z458">
        <v>4649</v>
      </c>
      <c r="AA458">
        <v>3</v>
      </c>
      <c r="AB458" s="29">
        <v>44773</v>
      </c>
      <c r="AC458" s="29">
        <v>34351</v>
      </c>
      <c r="AD458" s="29">
        <v>43514</v>
      </c>
      <c r="AE458" s="29"/>
      <c r="AF458">
        <v>3</v>
      </c>
      <c r="AG458" t="s">
        <v>157</v>
      </c>
      <c r="AI458">
        <v>26</v>
      </c>
      <c r="AJ458">
        <v>1</v>
      </c>
      <c r="AK458" t="s">
        <v>170</v>
      </c>
      <c r="AL458" t="s">
        <v>78</v>
      </c>
      <c r="AM458">
        <f t="shared" si="35"/>
        <v>1</v>
      </c>
      <c r="AN458">
        <f t="shared" si="36"/>
        <v>2</v>
      </c>
      <c r="AO458" t="str">
        <f t="shared" si="37"/>
        <v/>
      </c>
      <c r="AP458" t="str">
        <f t="shared" si="38"/>
        <v/>
      </c>
      <c r="AQ458">
        <f t="shared" si="39"/>
        <v>2019</v>
      </c>
    </row>
    <row r="459" spans="1:43" x14ac:dyDescent="0.35">
      <c r="A459">
        <v>450</v>
      </c>
      <c r="B459">
        <v>54</v>
      </c>
      <c r="C459" t="s">
        <v>148</v>
      </c>
      <c r="D459" t="s">
        <v>151</v>
      </c>
      <c r="E459" t="s">
        <v>4</v>
      </c>
      <c r="F459" t="s">
        <v>37</v>
      </c>
      <c r="G459" t="s">
        <v>44</v>
      </c>
      <c r="H459" t="s">
        <v>81</v>
      </c>
      <c r="I459" t="s">
        <v>43</v>
      </c>
      <c r="J459" t="s">
        <v>146</v>
      </c>
      <c r="K459" t="s">
        <v>43</v>
      </c>
      <c r="L459" t="s">
        <v>147</v>
      </c>
      <c r="M459" t="s">
        <v>48</v>
      </c>
      <c r="N459" t="s">
        <v>95</v>
      </c>
      <c r="P459" t="s">
        <v>148</v>
      </c>
      <c r="Q459">
        <v>12</v>
      </c>
      <c r="R459">
        <v>3</v>
      </c>
      <c r="S459">
        <v>20</v>
      </c>
      <c r="T459">
        <v>0</v>
      </c>
      <c r="U459">
        <v>3</v>
      </c>
      <c r="V459">
        <v>20</v>
      </c>
      <c r="W459">
        <v>31</v>
      </c>
      <c r="X459">
        <v>928</v>
      </c>
      <c r="Y459">
        <v>16885</v>
      </c>
      <c r="Z459">
        <v>4869</v>
      </c>
      <c r="AA459">
        <v>4</v>
      </c>
      <c r="AB459" s="29">
        <v>44773</v>
      </c>
      <c r="AC459" s="29">
        <v>25391</v>
      </c>
      <c r="AD459" s="29">
        <v>43543</v>
      </c>
      <c r="AE459" s="29"/>
      <c r="AF459">
        <v>3</v>
      </c>
      <c r="AG459" t="s">
        <v>167</v>
      </c>
      <c r="AI459">
        <v>51</v>
      </c>
      <c r="AJ459">
        <v>1</v>
      </c>
      <c r="AK459" t="s">
        <v>170</v>
      </c>
      <c r="AL459" t="s">
        <v>77</v>
      </c>
      <c r="AM459">
        <f t="shared" si="35"/>
        <v>1</v>
      </c>
      <c r="AN459">
        <f t="shared" si="36"/>
        <v>3</v>
      </c>
      <c r="AO459" t="str">
        <f t="shared" si="37"/>
        <v/>
      </c>
      <c r="AP459" t="str">
        <f t="shared" si="38"/>
        <v/>
      </c>
      <c r="AQ459">
        <f t="shared" si="39"/>
        <v>2019</v>
      </c>
    </row>
    <row r="460" spans="1:43" x14ac:dyDescent="0.35">
      <c r="A460">
        <v>1231</v>
      </c>
      <c r="B460">
        <v>42</v>
      </c>
      <c r="C460" t="s">
        <v>148</v>
      </c>
      <c r="D460" t="s">
        <v>164</v>
      </c>
      <c r="E460" t="s">
        <v>168</v>
      </c>
      <c r="F460" t="s">
        <v>34</v>
      </c>
      <c r="G460" t="s">
        <v>44</v>
      </c>
      <c r="H460" t="s">
        <v>82</v>
      </c>
      <c r="I460" t="s">
        <v>44</v>
      </c>
      <c r="J460" t="s">
        <v>168</v>
      </c>
      <c r="K460" t="s">
        <v>41</v>
      </c>
      <c r="L460" t="s">
        <v>147</v>
      </c>
      <c r="M460" t="s">
        <v>50</v>
      </c>
      <c r="N460" t="s">
        <v>160</v>
      </c>
      <c r="O460" t="s">
        <v>41</v>
      </c>
      <c r="P460" t="s">
        <v>148</v>
      </c>
      <c r="Q460">
        <v>16</v>
      </c>
      <c r="R460">
        <v>7</v>
      </c>
      <c r="S460">
        <v>10</v>
      </c>
      <c r="T460">
        <v>0</v>
      </c>
      <c r="U460">
        <v>3</v>
      </c>
      <c r="V460">
        <v>2</v>
      </c>
      <c r="W460">
        <v>79</v>
      </c>
      <c r="X460">
        <v>179</v>
      </c>
      <c r="Y460">
        <v>12858</v>
      </c>
      <c r="Z460">
        <v>6272</v>
      </c>
      <c r="AA460">
        <v>3</v>
      </c>
      <c r="AB460" s="29">
        <v>44773</v>
      </c>
      <c r="AC460" s="29">
        <v>29593</v>
      </c>
      <c r="AD460" s="29">
        <v>43601</v>
      </c>
      <c r="AE460" s="29"/>
      <c r="AF460">
        <v>3</v>
      </c>
      <c r="AG460" t="s">
        <v>153</v>
      </c>
      <c r="AI460">
        <v>39</v>
      </c>
      <c r="AJ460">
        <v>1</v>
      </c>
      <c r="AK460" t="s">
        <v>170</v>
      </c>
      <c r="AL460" t="s">
        <v>77</v>
      </c>
      <c r="AM460">
        <f t="shared" si="35"/>
        <v>2</v>
      </c>
      <c r="AN460">
        <f t="shared" si="36"/>
        <v>5</v>
      </c>
      <c r="AO460" t="str">
        <f t="shared" si="37"/>
        <v/>
      </c>
      <c r="AP460" t="str">
        <f t="shared" si="38"/>
        <v/>
      </c>
      <c r="AQ460">
        <f t="shared" si="39"/>
        <v>2019</v>
      </c>
    </row>
    <row r="461" spans="1:43" x14ac:dyDescent="0.35">
      <c r="A461">
        <v>1477</v>
      </c>
      <c r="B461">
        <v>33</v>
      </c>
      <c r="C461" t="s">
        <v>148</v>
      </c>
      <c r="D461" t="s">
        <v>151</v>
      </c>
      <c r="E461" t="s">
        <v>158</v>
      </c>
      <c r="F461" t="s">
        <v>38</v>
      </c>
      <c r="G461" t="s">
        <v>44</v>
      </c>
      <c r="H461" t="s">
        <v>82</v>
      </c>
      <c r="I461" t="s">
        <v>43</v>
      </c>
      <c r="J461" t="s">
        <v>159</v>
      </c>
      <c r="K461" t="s">
        <v>41</v>
      </c>
      <c r="L461" t="s">
        <v>147</v>
      </c>
      <c r="M461" t="s">
        <v>49</v>
      </c>
      <c r="N461" t="s">
        <v>160</v>
      </c>
      <c r="O461" t="s">
        <v>156</v>
      </c>
      <c r="P461" t="s">
        <v>148</v>
      </c>
      <c r="Q461">
        <v>14</v>
      </c>
      <c r="R461">
        <v>0</v>
      </c>
      <c r="S461">
        <v>5</v>
      </c>
      <c r="T461">
        <v>0</v>
      </c>
      <c r="U461">
        <v>3</v>
      </c>
      <c r="V461">
        <v>7</v>
      </c>
      <c r="W461">
        <v>54</v>
      </c>
      <c r="X461">
        <v>430</v>
      </c>
      <c r="Y461">
        <v>17456</v>
      </c>
      <c r="Z461">
        <v>4373</v>
      </c>
      <c r="AA461">
        <v>2</v>
      </c>
      <c r="AB461" s="29">
        <v>44773</v>
      </c>
      <c r="AC461" s="29">
        <v>32878</v>
      </c>
      <c r="AD461" s="29">
        <v>43603</v>
      </c>
      <c r="AE461" s="29"/>
      <c r="AF461">
        <v>3</v>
      </c>
      <c r="AG461" t="s">
        <v>149</v>
      </c>
      <c r="AI461">
        <v>30</v>
      </c>
      <c r="AJ461">
        <v>1</v>
      </c>
      <c r="AK461" t="s">
        <v>170</v>
      </c>
      <c r="AL461" t="s">
        <v>77</v>
      </c>
      <c r="AM461">
        <f t="shared" si="35"/>
        <v>2</v>
      </c>
      <c r="AN461">
        <f t="shared" si="36"/>
        <v>5</v>
      </c>
      <c r="AO461" t="str">
        <f t="shared" si="37"/>
        <v/>
      </c>
      <c r="AP461" t="str">
        <f t="shared" si="38"/>
        <v/>
      </c>
      <c r="AQ461">
        <f t="shared" si="39"/>
        <v>2019</v>
      </c>
    </row>
    <row r="462" spans="1:43" x14ac:dyDescent="0.35">
      <c r="A462">
        <v>1286</v>
      </c>
      <c r="B462">
        <v>28</v>
      </c>
      <c r="C462" t="s">
        <v>148</v>
      </c>
      <c r="D462" t="s">
        <v>151</v>
      </c>
      <c r="E462" t="s">
        <v>4</v>
      </c>
      <c r="F462" t="s">
        <v>37</v>
      </c>
      <c r="G462" t="s">
        <v>44</v>
      </c>
      <c r="H462" t="s">
        <v>82</v>
      </c>
      <c r="I462" t="s">
        <v>43</v>
      </c>
      <c r="J462" t="s">
        <v>155</v>
      </c>
      <c r="K462" t="s">
        <v>43</v>
      </c>
      <c r="L462" t="s">
        <v>147</v>
      </c>
      <c r="M462" t="s">
        <v>48</v>
      </c>
      <c r="N462" t="s">
        <v>95</v>
      </c>
      <c r="P462" t="s">
        <v>144</v>
      </c>
      <c r="Q462">
        <v>11</v>
      </c>
      <c r="R462">
        <v>0</v>
      </c>
      <c r="S462">
        <v>5</v>
      </c>
      <c r="T462">
        <v>0</v>
      </c>
      <c r="U462">
        <v>2</v>
      </c>
      <c r="V462">
        <v>1</v>
      </c>
      <c r="W462">
        <v>44</v>
      </c>
      <c r="X462">
        <v>791</v>
      </c>
      <c r="Y462">
        <v>6842</v>
      </c>
      <c r="Z462">
        <v>2154</v>
      </c>
      <c r="AA462">
        <v>2</v>
      </c>
      <c r="AB462" s="29">
        <v>44773</v>
      </c>
      <c r="AC462" s="29">
        <v>34622</v>
      </c>
      <c r="AD462" s="29">
        <v>43657</v>
      </c>
      <c r="AE462" s="29"/>
      <c r="AF462">
        <v>3</v>
      </c>
      <c r="AG462" t="s">
        <v>157</v>
      </c>
      <c r="AI462">
        <v>25</v>
      </c>
      <c r="AJ462">
        <v>1</v>
      </c>
      <c r="AK462" t="s">
        <v>170</v>
      </c>
      <c r="AL462" t="s">
        <v>77</v>
      </c>
      <c r="AM462">
        <f t="shared" si="35"/>
        <v>3</v>
      </c>
      <c r="AN462">
        <f t="shared" si="36"/>
        <v>7</v>
      </c>
      <c r="AO462" t="str">
        <f t="shared" si="37"/>
        <v/>
      </c>
      <c r="AP462" t="str">
        <f t="shared" si="38"/>
        <v/>
      </c>
      <c r="AQ462">
        <f t="shared" si="39"/>
        <v>2019</v>
      </c>
    </row>
    <row r="463" spans="1:43" x14ac:dyDescent="0.35">
      <c r="A463">
        <v>341</v>
      </c>
      <c r="B463">
        <v>45</v>
      </c>
      <c r="C463" t="s">
        <v>148</v>
      </c>
      <c r="D463" t="s">
        <v>151</v>
      </c>
      <c r="E463" t="s">
        <v>4</v>
      </c>
      <c r="F463" t="s">
        <v>37</v>
      </c>
      <c r="G463" t="s">
        <v>41</v>
      </c>
      <c r="H463" t="s">
        <v>82</v>
      </c>
      <c r="I463" t="s">
        <v>44</v>
      </c>
      <c r="J463" t="s">
        <v>165</v>
      </c>
      <c r="K463" t="s">
        <v>43</v>
      </c>
      <c r="L463" t="s">
        <v>147</v>
      </c>
      <c r="M463" t="s">
        <v>49</v>
      </c>
      <c r="N463" t="s">
        <v>160</v>
      </c>
      <c r="O463" t="s">
        <v>41</v>
      </c>
      <c r="P463" t="s">
        <v>148</v>
      </c>
      <c r="Q463">
        <v>17</v>
      </c>
      <c r="R463">
        <v>4</v>
      </c>
      <c r="S463">
        <v>9</v>
      </c>
      <c r="T463">
        <v>0</v>
      </c>
      <c r="U463">
        <v>2</v>
      </c>
      <c r="V463">
        <v>7</v>
      </c>
      <c r="W463">
        <v>77</v>
      </c>
      <c r="X463">
        <v>1199</v>
      </c>
      <c r="Y463">
        <v>5118</v>
      </c>
      <c r="Z463">
        <v>6434</v>
      </c>
      <c r="AA463">
        <v>1</v>
      </c>
      <c r="AB463" s="29">
        <v>44773</v>
      </c>
      <c r="AC463" s="29">
        <v>28567</v>
      </c>
      <c r="AD463" s="29">
        <v>43713</v>
      </c>
      <c r="AE463" s="29"/>
      <c r="AF463">
        <v>3</v>
      </c>
      <c r="AG463" t="s">
        <v>153</v>
      </c>
      <c r="AI463">
        <v>42</v>
      </c>
      <c r="AJ463">
        <v>2</v>
      </c>
      <c r="AK463" t="s">
        <v>170</v>
      </c>
      <c r="AL463" t="s">
        <v>77</v>
      </c>
      <c r="AM463">
        <f t="shared" si="35"/>
        <v>3</v>
      </c>
      <c r="AN463">
        <f t="shared" si="36"/>
        <v>9</v>
      </c>
      <c r="AO463" t="str">
        <f t="shared" si="37"/>
        <v/>
      </c>
      <c r="AP463" t="str">
        <f t="shared" si="38"/>
        <v/>
      </c>
      <c r="AQ463">
        <f t="shared" si="39"/>
        <v>2019</v>
      </c>
    </row>
    <row r="464" spans="1:43" x14ac:dyDescent="0.35">
      <c r="A464">
        <v>882</v>
      </c>
      <c r="B464">
        <v>32</v>
      </c>
      <c r="C464" t="s">
        <v>148</v>
      </c>
      <c r="D464" t="s">
        <v>164</v>
      </c>
      <c r="E464" t="s">
        <v>4</v>
      </c>
      <c r="F464" t="s">
        <v>38</v>
      </c>
      <c r="G464" t="s">
        <v>44</v>
      </c>
      <c r="H464" t="s">
        <v>82</v>
      </c>
      <c r="I464" t="s">
        <v>43</v>
      </c>
      <c r="J464" t="s">
        <v>155</v>
      </c>
      <c r="K464" t="s">
        <v>44</v>
      </c>
      <c r="L464" t="s">
        <v>147</v>
      </c>
      <c r="M464" t="s">
        <v>49</v>
      </c>
      <c r="N464" t="s">
        <v>96</v>
      </c>
      <c r="O464" t="s">
        <v>41</v>
      </c>
      <c r="P464" t="s">
        <v>148</v>
      </c>
      <c r="Q464">
        <v>12</v>
      </c>
      <c r="R464">
        <v>0</v>
      </c>
      <c r="S464">
        <v>4</v>
      </c>
      <c r="T464">
        <v>0</v>
      </c>
      <c r="U464">
        <v>2</v>
      </c>
      <c r="V464">
        <v>1</v>
      </c>
      <c r="W464">
        <v>61</v>
      </c>
      <c r="X464">
        <v>300</v>
      </c>
      <c r="Y464">
        <v>9148</v>
      </c>
      <c r="Z464">
        <v>2314</v>
      </c>
      <c r="AA464">
        <v>2</v>
      </c>
      <c r="AB464" s="29">
        <v>44773</v>
      </c>
      <c r="AC464" s="29">
        <v>33148</v>
      </c>
      <c r="AD464" s="29">
        <v>43749</v>
      </c>
      <c r="AE464" s="29"/>
      <c r="AF464">
        <v>3</v>
      </c>
      <c r="AG464" t="s">
        <v>149</v>
      </c>
      <c r="AI464">
        <v>29</v>
      </c>
      <c r="AJ464">
        <v>1</v>
      </c>
      <c r="AK464" t="s">
        <v>170</v>
      </c>
      <c r="AL464" t="s">
        <v>78</v>
      </c>
      <c r="AM464">
        <f t="shared" si="35"/>
        <v>4</v>
      </c>
      <c r="AN464">
        <f t="shared" si="36"/>
        <v>10</v>
      </c>
      <c r="AO464" t="str">
        <f t="shared" si="37"/>
        <v/>
      </c>
      <c r="AP464" t="str">
        <f t="shared" si="38"/>
        <v/>
      </c>
      <c r="AQ464">
        <f t="shared" si="39"/>
        <v>2019</v>
      </c>
    </row>
    <row r="465" spans="1:43" x14ac:dyDescent="0.35">
      <c r="A465">
        <v>287</v>
      </c>
      <c r="B465">
        <v>40</v>
      </c>
      <c r="C465" t="s">
        <v>148</v>
      </c>
      <c r="D465" t="s">
        <v>164</v>
      </c>
      <c r="E465" t="s">
        <v>4</v>
      </c>
      <c r="F465" t="s">
        <v>34</v>
      </c>
      <c r="G465" t="s">
        <v>44</v>
      </c>
      <c r="H465" t="s">
        <v>82</v>
      </c>
      <c r="I465" t="s">
        <v>42</v>
      </c>
      <c r="J465" t="s">
        <v>161</v>
      </c>
      <c r="K465" t="s">
        <v>44</v>
      </c>
      <c r="L465" t="s">
        <v>147</v>
      </c>
      <c r="M465" t="s">
        <v>47</v>
      </c>
      <c r="N465" t="s">
        <v>160</v>
      </c>
      <c r="O465" t="s">
        <v>41</v>
      </c>
      <c r="P465" t="s">
        <v>148</v>
      </c>
      <c r="Q465">
        <v>14</v>
      </c>
      <c r="R465">
        <v>9</v>
      </c>
      <c r="S465">
        <v>5</v>
      </c>
      <c r="T465">
        <v>0</v>
      </c>
      <c r="U465">
        <v>2</v>
      </c>
      <c r="V465">
        <v>9</v>
      </c>
      <c r="W465">
        <v>63</v>
      </c>
      <c r="X465">
        <v>1151</v>
      </c>
      <c r="Y465">
        <v>14242</v>
      </c>
      <c r="Z465">
        <v>4876</v>
      </c>
      <c r="AA465">
        <v>5</v>
      </c>
      <c r="AB465" s="29">
        <v>44773</v>
      </c>
      <c r="AC465" s="29">
        <v>30168</v>
      </c>
      <c r="AD465" s="29">
        <v>43784</v>
      </c>
      <c r="AE465" s="29"/>
      <c r="AF465">
        <v>3</v>
      </c>
      <c r="AG465" t="s">
        <v>153</v>
      </c>
      <c r="AI465">
        <v>37</v>
      </c>
      <c r="AJ465">
        <v>1</v>
      </c>
      <c r="AK465" t="s">
        <v>170</v>
      </c>
      <c r="AL465" t="s">
        <v>77</v>
      </c>
      <c r="AM465">
        <f t="shared" si="35"/>
        <v>4</v>
      </c>
      <c r="AN465">
        <f t="shared" si="36"/>
        <v>11</v>
      </c>
      <c r="AO465" t="str">
        <f t="shared" si="37"/>
        <v/>
      </c>
      <c r="AP465" t="str">
        <f t="shared" si="38"/>
        <v/>
      </c>
      <c r="AQ465">
        <f t="shared" si="39"/>
        <v>2019</v>
      </c>
    </row>
    <row r="466" spans="1:43" x14ac:dyDescent="0.35">
      <c r="A466">
        <v>1513</v>
      </c>
      <c r="B466">
        <v>29</v>
      </c>
      <c r="C466" t="s">
        <v>148</v>
      </c>
      <c r="D466" t="s">
        <v>151</v>
      </c>
      <c r="E466" t="s">
        <v>4</v>
      </c>
      <c r="F466" t="s">
        <v>35</v>
      </c>
      <c r="G466" t="s">
        <v>44</v>
      </c>
      <c r="H466" t="s">
        <v>81</v>
      </c>
      <c r="I466" t="s">
        <v>43</v>
      </c>
      <c r="J466" t="s">
        <v>155</v>
      </c>
      <c r="K466" t="s">
        <v>42</v>
      </c>
      <c r="L466" t="s">
        <v>147</v>
      </c>
      <c r="M466" t="s">
        <v>49</v>
      </c>
      <c r="N466" t="s">
        <v>160</v>
      </c>
      <c r="O466" t="s">
        <v>43</v>
      </c>
      <c r="P466" t="s">
        <v>148</v>
      </c>
      <c r="Q466">
        <v>13</v>
      </c>
      <c r="R466">
        <v>0</v>
      </c>
      <c r="S466">
        <v>4</v>
      </c>
      <c r="T466">
        <v>0</v>
      </c>
      <c r="U466">
        <v>2</v>
      </c>
      <c r="V466">
        <v>2</v>
      </c>
      <c r="W466">
        <v>97</v>
      </c>
      <c r="X466">
        <v>410</v>
      </c>
      <c r="Y466">
        <v>4668</v>
      </c>
      <c r="Z466">
        <v>3180</v>
      </c>
      <c r="AA466">
        <v>3</v>
      </c>
      <c r="AB466" s="29">
        <v>44773</v>
      </c>
      <c r="AC466" s="29">
        <v>34345</v>
      </c>
      <c r="AD466" s="29">
        <v>43794</v>
      </c>
      <c r="AE466" s="29"/>
      <c r="AF466">
        <v>3</v>
      </c>
      <c r="AG466" t="s">
        <v>157</v>
      </c>
      <c r="AI466">
        <v>26</v>
      </c>
      <c r="AJ466">
        <v>1</v>
      </c>
      <c r="AK466" t="s">
        <v>170</v>
      </c>
      <c r="AL466" t="s">
        <v>77</v>
      </c>
      <c r="AM466">
        <f t="shared" si="35"/>
        <v>4</v>
      </c>
      <c r="AN466">
        <f t="shared" si="36"/>
        <v>11</v>
      </c>
      <c r="AO466" t="str">
        <f t="shared" si="37"/>
        <v/>
      </c>
      <c r="AP466" t="str">
        <f t="shared" si="38"/>
        <v/>
      </c>
      <c r="AQ466">
        <f t="shared" si="39"/>
        <v>2019</v>
      </c>
    </row>
    <row r="467" spans="1:43" x14ac:dyDescent="0.35">
      <c r="A467">
        <v>1114</v>
      </c>
      <c r="B467">
        <v>33</v>
      </c>
      <c r="C467" t="s">
        <v>148</v>
      </c>
      <c r="D467" t="s">
        <v>151</v>
      </c>
      <c r="E467" t="s">
        <v>158</v>
      </c>
      <c r="F467" t="s">
        <v>38</v>
      </c>
      <c r="G467" t="s">
        <v>44</v>
      </c>
      <c r="H467" t="s">
        <v>81</v>
      </c>
      <c r="I467" t="s">
        <v>43</v>
      </c>
      <c r="J467" t="s">
        <v>159</v>
      </c>
      <c r="K467" t="s">
        <v>42</v>
      </c>
      <c r="L467" t="s">
        <v>147</v>
      </c>
      <c r="M467" t="s">
        <v>49</v>
      </c>
      <c r="N467" t="s">
        <v>160</v>
      </c>
      <c r="O467" t="s">
        <v>41</v>
      </c>
      <c r="P467" t="s">
        <v>148</v>
      </c>
      <c r="Q467">
        <v>17</v>
      </c>
      <c r="R467">
        <v>0</v>
      </c>
      <c r="S467">
        <v>4</v>
      </c>
      <c r="T467">
        <v>0</v>
      </c>
      <c r="U467">
        <v>2</v>
      </c>
      <c r="V467">
        <v>7</v>
      </c>
      <c r="W467">
        <v>30</v>
      </c>
      <c r="X467">
        <v>970</v>
      </c>
      <c r="Y467">
        <v>13401</v>
      </c>
      <c r="Z467">
        <v>4302</v>
      </c>
      <c r="AA467">
        <v>3</v>
      </c>
      <c r="AB467" s="29">
        <v>44773</v>
      </c>
      <c r="AC467" s="29">
        <v>32829</v>
      </c>
      <c r="AD467" s="29">
        <v>43818</v>
      </c>
      <c r="AE467" s="29"/>
      <c r="AF467">
        <v>3</v>
      </c>
      <c r="AG467" t="s">
        <v>149</v>
      </c>
      <c r="AI467">
        <v>30</v>
      </c>
      <c r="AJ467">
        <v>1</v>
      </c>
      <c r="AK467" t="s">
        <v>170</v>
      </c>
      <c r="AL467" t="s">
        <v>77</v>
      </c>
      <c r="AM467">
        <f t="shared" si="35"/>
        <v>4</v>
      </c>
      <c r="AN467">
        <f t="shared" si="36"/>
        <v>12</v>
      </c>
      <c r="AO467" t="str">
        <f t="shared" si="37"/>
        <v/>
      </c>
      <c r="AP467" t="str">
        <f t="shared" si="38"/>
        <v/>
      </c>
      <c r="AQ467">
        <f t="shared" si="39"/>
        <v>2019</v>
      </c>
    </row>
    <row r="468" spans="1:43" x14ac:dyDescent="0.35">
      <c r="A468">
        <v>974</v>
      </c>
      <c r="B468">
        <v>29</v>
      </c>
      <c r="C468" t="s">
        <v>148</v>
      </c>
      <c r="D468" t="s">
        <v>151</v>
      </c>
      <c r="E468" t="s">
        <v>158</v>
      </c>
      <c r="F468" t="s">
        <v>38</v>
      </c>
      <c r="G468" t="s">
        <v>43</v>
      </c>
      <c r="H468" t="s">
        <v>81</v>
      </c>
      <c r="I468" t="s">
        <v>43</v>
      </c>
      <c r="J468" t="s">
        <v>166</v>
      </c>
      <c r="K468" t="s">
        <v>44</v>
      </c>
      <c r="L468" t="s">
        <v>147</v>
      </c>
      <c r="M468" t="s">
        <v>49</v>
      </c>
      <c r="N468" t="s">
        <v>160</v>
      </c>
      <c r="O468" t="s">
        <v>41</v>
      </c>
      <c r="P468" t="s">
        <v>148</v>
      </c>
      <c r="Q468">
        <v>15</v>
      </c>
      <c r="R468">
        <v>1</v>
      </c>
      <c r="S468">
        <v>3</v>
      </c>
      <c r="T468">
        <v>0</v>
      </c>
      <c r="U468">
        <v>2</v>
      </c>
      <c r="V468">
        <v>20</v>
      </c>
      <c r="W468">
        <v>84</v>
      </c>
      <c r="X468">
        <v>1404</v>
      </c>
      <c r="Y468">
        <v>18203</v>
      </c>
      <c r="Z468">
        <v>2157</v>
      </c>
      <c r="AA468">
        <v>5</v>
      </c>
      <c r="AB468" s="29">
        <v>44773</v>
      </c>
      <c r="AC468" s="29">
        <v>34445</v>
      </c>
      <c r="AD468" s="29">
        <v>43826</v>
      </c>
      <c r="AE468" s="29"/>
      <c r="AF468">
        <v>3</v>
      </c>
      <c r="AG468" t="s">
        <v>157</v>
      </c>
      <c r="AI468">
        <v>26</v>
      </c>
      <c r="AJ468">
        <v>1</v>
      </c>
      <c r="AK468" t="s">
        <v>170</v>
      </c>
      <c r="AL468" t="s">
        <v>77</v>
      </c>
      <c r="AM468">
        <f t="shared" si="35"/>
        <v>4</v>
      </c>
      <c r="AN468">
        <f t="shared" si="36"/>
        <v>12</v>
      </c>
      <c r="AO468" t="str">
        <f t="shared" si="37"/>
        <v/>
      </c>
      <c r="AP468" t="str">
        <f t="shared" si="38"/>
        <v/>
      </c>
      <c r="AQ468">
        <f t="shared" si="39"/>
        <v>2019</v>
      </c>
    </row>
    <row r="469" spans="1:43" x14ac:dyDescent="0.35">
      <c r="A469">
        <v>1140</v>
      </c>
      <c r="B469">
        <v>34</v>
      </c>
      <c r="C469" t="s">
        <v>148</v>
      </c>
      <c r="D469" t="s">
        <v>151</v>
      </c>
      <c r="E469" t="s">
        <v>4</v>
      </c>
      <c r="F469" t="s">
        <v>36</v>
      </c>
      <c r="G469" t="s">
        <v>44</v>
      </c>
      <c r="H469" t="s">
        <v>82</v>
      </c>
      <c r="I469" t="s">
        <v>43</v>
      </c>
      <c r="J469" t="s">
        <v>165</v>
      </c>
      <c r="K469" t="s">
        <v>43</v>
      </c>
      <c r="L469" t="s">
        <v>147</v>
      </c>
      <c r="M469" t="s">
        <v>48</v>
      </c>
      <c r="N469" t="s">
        <v>95</v>
      </c>
      <c r="P469" t="s">
        <v>148</v>
      </c>
      <c r="Q469">
        <v>11</v>
      </c>
      <c r="R469">
        <v>2</v>
      </c>
      <c r="S469">
        <v>5</v>
      </c>
      <c r="T469">
        <v>0</v>
      </c>
      <c r="U469">
        <v>2</v>
      </c>
      <c r="V469">
        <v>2</v>
      </c>
      <c r="W469">
        <v>95</v>
      </c>
      <c r="X469">
        <v>1003</v>
      </c>
      <c r="Y469">
        <v>15834</v>
      </c>
      <c r="Z469">
        <v>4033</v>
      </c>
      <c r="AA469">
        <v>3</v>
      </c>
      <c r="AB469" s="29">
        <v>44773</v>
      </c>
      <c r="AC469" s="29">
        <v>32569</v>
      </c>
      <c r="AD469" s="29">
        <v>43833</v>
      </c>
      <c r="AE469" s="29"/>
      <c r="AF469">
        <v>3</v>
      </c>
      <c r="AG469" t="s">
        <v>149</v>
      </c>
      <c r="AI469">
        <v>31</v>
      </c>
      <c r="AJ469">
        <v>1</v>
      </c>
      <c r="AK469" t="s">
        <v>170</v>
      </c>
      <c r="AL469" t="s">
        <v>77</v>
      </c>
      <c r="AM469">
        <f t="shared" si="35"/>
        <v>1</v>
      </c>
      <c r="AN469">
        <f t="shared" si="36"/>
        <v>1</v>
      </c>
      <c r="AO469" t="str">
        <f t="shared" si="37"/>
        <v/>
      </c>
      <c r="AP469" t="str">
        <f t="shared" si="38"/>
        <v/>
      </c>
      <c r="AQ469">
        <f t="shared" si="39"/>
        <v>2020</v>
      </c>
    </row>
    <row r="470" spans="1:43" x14ac:dyDescent="0.35">
      <c r="A470">
        <v>1594</v>
      </c>
      <c r="B470">
        <v>36</v>
      </c>
      <c r="C470" t="s">
        <v>148</v>
      </c>
      <c r="D470" t="s">
        <v>151</v>
      </c>
      <c r="E470" t="s">
        <v>4</v>
      </c>
      <c r="F470" t="s">
        <v>37</v>
      </c>
      <c r="G470" t="s">
        <v>41</v>
      </c>
      <c r="H470" t="s">
        <v>82</v>
      </c>
      <c r="I470" t="s">
        <v>44</v>
      </c>
      <c r="J470" t="s">
        <v>155</v>
      </c>
      <c r="K470" t="s">
        <v>41</v>
      </c>
      <c r="L470" t="s">
        <v>147</v>
      </c>
      <c r="M470" t="s">
        <v>49</v>
      </c>
      <c r="N470" t="s">
        <v>160</v>
      </c>
      <c r="O470" t="s">
        <v>41</v>
      </c>
      <c r="P470" t="s">
        <v>144</v>
      </c>
      <c r="Q470">
        <v>13</v>
      </c>
      <c r="R470">
        <v>3</v>
      </c>
      <c r="S470">
        <v>9</v>
      </c>
      <c r="T470">
        <v>0</v>
      </c>
      <c r="U470">
        <v>2</v>
      </c>
      <c r="V470">
        <v>6</v>
      </c>
      <c r="W470">
        <v>80</v>
      </c>
      <c r="X470">
        <v>1302</v>
      </c>
      <c r="Y470">
        <v>19711</v>
      </c>
      <c r="Z470">
        <v>5562</v>
      </c>
      <c r="AA470">
        <v>3</v>
      </c>
      <c r="AB470" s="29">
        <v>44773</v>
      </c>
      <c r="AC470" s="29">
        <v>31889</v>
      </c>
      <c r="AD470" s="29">
        <v>43899</v>
      </c>
      <c r="AE470" s="29"/>
      <c r="AF470">
        <v>2</v>
      </c>
      <c r="AG470" t="s">
        <v>149</v>
      </c>
      <c r="AI470">
        <v>34</v>
      </c>
      <c r="AJ470">
        <v>1</v>
      </c>
      <c r="AK470" t="s">
        <v>170</v>
      </c>
      <c r="AL470" t="s">
        <v>77</v>
      </c>
      <c r="AM470">
        <f t="shared" si="35"/>
        <v>1</v>
      </c>
      <c r="AN470">
        <f t="shared" si="36"/>
        <v>3</v>
      </c>
      <c r="AO470" t="str">
        <f t="shared" si="37"/>
        <v/>
      </c>
      <c r="AP470" t="str">
        <f t="shared" si="38"/>
        <v/>
      </c>
      <c r="AQ470">
        <f t="shared" si="39"/>
        <v>2020</v>
      </c>
    </row>
    <row r="471" spans="1:43" x14ac:dyDescent="0.35">
      <c r="A471">
        <v>1154</v>
      </c>
      <c r="B471">
        <v>28</v>
      </c>
      <c r="C471" t="s">
        <v>148</v>
      </c>
      <c r="D471" t="s">
        <v>151</v>
      </c>
      <c r="E471" t="s">
        <v>4</v>
      </c>
      <c r="F471" t="s">
        <v>38</v>
      </c>
      <c r="G471" t="s">
        <v>43</v>
      </c>
      <c r="H471" t="s">
        <v>82</v>
      </c>
      <c r="I471" t="s">
        <v>42</v>
      </c>
      <c r="J471" t="s">
        <v>146</v>
      </c>
      <c r="K471" t="s">
        <v>43</v>
      </c>
      <c r="L471" t="s">
        <v>147</v>
      </c>
      <c r="M471" t="s">
        <v>49</v>
      </c>
      <c r="N471" t="s">
        <v>96</v>
      </c>
      <c r="O471" t="s">
        <v>41</v>
      </c>
      <c r="P471" t="s">
        <v>144</v>
      </c>
      <c r="Q471">
        <v>14</v>
      </c>
      <c r="R471">
        <v>1</v>
      </c>
      <c r="S471">
        <v>3</v>
      </c>
      <c r="T471">
        <v>0</v>
      </c>
      <c r="U471">
        <v>2</v>
      </c>
      <c r="V471">
        <v>6</v>
      </c>
      <c r="W471">
        <v>39</v>
      </c>
      <c r="X471">
        <v>773</v>
      </c>
      <c r="Y471">
        <v>22088</v>
      </c>
      <c r="Z471">
        <v>2703</v>
      </c>
      <c r="AA471">
        <v>2</v>
      </c>
      <c r="AB471" s="29">
        <v>44773</v>
      </c>
      <c r="AC471" s="29">
        <v>34671</v>
      </c>
      <c r="AD471" s="29">
        <v>43960</v>
      </c>
      <c r="AE471" s="29"/>
      <c r="AF471">
        <v>2</v>
      </c>
      <c r="AG471" t="s">
        <v>157</v>
      </c>
      <c r="AI471">
        <v>26</v>
      </c>
      <c r="AJ471">
        <v>1</v>
      </c>
      <c r="AK471" t="s">
        <v>170</v>
      </c>
      <c r="AL471" t="s">
        <v>77</v>
      </c>
      <c r="AM471">
        <f t="shared" si="35"/>
        <v>2</v>
      </c>
      <c r="AN471">
        <f t="shared" si="36"/>
        <v>5</v>
      </c>
      <c r="AO471" t="str">
        <f t="shared" si="37"/>
        <v/>
      </c>
      <c r="AP471" t="str">
        <f t="shared" si="38"/>
        <v/>
      </c>
      <c r="AQ471">
        <f t="shared" si="39"/>
        <v>2020</v>
      </c>
    </row>
    <row r="472" spans="1:43" x14ac:dyDescent="0.35">
      <c r="A472">
        <v>1006</v>
      </c>
      <c r="B472">
        <v>38</v>
      </c>
      <c r="C472" t="s">
        <v>148</v>
      </c>
      <c r="D472" t="s">
        <v>151</v>
      </c>
      <c r="E472" t="s">
        <v>4</v>
      </c>
      <c r="F472" t="s">
        <v>35</v>
      </c>
      <c r="G472" t="s">
        <v>43</v>
      </c>
      <c r="H472" t="s">
        <v>82</v>
      </c>
      <c r="I472" t="s">
        <v>43</v>
      </c>
      <c r="J472" t="s">
        <v>146</v>
      </c>
      <c r="K472" t="s">
        <v>43</v>
      </c>
      <c r="L472" t="s">
        <v>147</v>
      </c>
      <c r="M472" t="s">
        <v>48</v>
      </c>
      <c r="N472" t="s">
        <v>160</v>
      </c>
      <c r="O472" t="s">
        <v>41</v>
      </c>
      <c r="P472" t="s">
        <v>148</v>
      </c>
      <c r="Q472">
        <v>17</v>
      </c>
      <c r="R472">
        <v>0</v>
      </c>
      <c r="S472">
        <v>3</v>
      </c>
      <c r="T472">
        <v>0</v>
      </c>
      <c r="U472">
        <v>2</v>
      </c>
      <c r="V472">
        <v>10</v>
      </c>
      <c r="W472">
        <v>66</v>
      </c>
      <c r="X472">
        <v>1391</v>
      </c>
      <c r="Y472">
        <v>12127</v>
      </c>
      <c r="Z472">
        <v>2684</v>
      </c>
      <c r="AA472">
        <v>0</v>
      </c>
      <c r="AB472" s="29">
        <v>44773</v>
      </c>
      <c r="AC472" s="29">
        <v>31189</v>
      </c>
      <c r="AD472" s="29">
        <v>44146</v>
      </c>
      <c r="AE472" s="29"/>
      <c r="AF472">
        <v>2</v>
      </c>
      <c r="AG472" t="s">
        <v>149</v>
      </c>
      <c r="AI472">
        <v>36</v>
      </c>
      <c r="AJ472">
        <v>1</v>
      </c>
      <c r="AK472" t="s">
        <v>170</v>
      </c>
      <c r="AL472" t="s">
        <v>77</v>
      </c>
      <c r="AM472">
        <f t="shared" si="35"/>
        <v>4</v>
      </c>
      <c r="AN472">
        <f t="shared" si="36"/>
        <v>11</v>
      </c>
      <c r="AO472" t="str">
        <f t="shared" si="37"/>
        <v/>
      </c>
      <c r="AP472" t="str">
        <f t="shared" si="38"/>
        <v/>
      </c>
      <c r="AQ472">
        <f t="shared" si="39"/>
        <v>2020</v>
      </c>
    </row>
    <row r="473" spans="1:43" x14ac:dyDescent="0.35">
      <c r="A473">
        <v>615</v>
      </c>
      <c r="B473">
        <v>40</v>
      </c>
      <c r="C473" t="s">
        <v>148</v>
      </c>
      <c r="D473" t="s">
        <v>164</v>
      </c>
      <c r="E473" t="s">
        <v>158</v>
      </c>
      <c r="F473" t="s">
        <v>38</v>
      </c>
      <c r="G473" t="s">
        <v>43</v>
      </c>
      <c r="H473" t="s">
        <v>82</v>
      </c>
      <c r="I473" t="s">
        <v>41</v>
      </c>
      <c r="J473" t="s">
        <v>159</v>
      </c>
      <c r="K473" t="s">
        <v>41</v>
      </c>
      <c r="L473" t="s">
        <v>147</v>
      </c>
      <c r="M473" t="s">
        <v>49</v>
      </c>
      <c r="N473" t="s">
        <v>96</v>
      </c>
      <c r="O473" t="s">
        <v>41</v>
      </c>
      <c r="P473" t="s">
        <v>148</v>
      </c>
      <c r="Q473">
        <v>15</v>
      </c>
      <c r="R473">
        <v>3</v>
      </c>
      <c r="S473">
        <v>20</v>
      </c>
      <c r="T473">
        <v>0</v>
      </c>
      <c r="U473">
        <v>1</v>
      </c>
      <c r="V473">
        <v>28</v>
      </c>
      <c r="W473">
        <v>58</v>
      </c>
      <c r="X473">
        <v>1094</v>
      </c>
      <c r="Y473">
        <v>11373</v>
      </c>
      <c r="Z473">
        <v>10932</v>
      </c>
      <c r="AA473">
        <v>2</v>
      </c>
      <c r="AB473" s="29">
        <v>44773</v>
      </c>
      <c r="AC473" s="29">
        <v>30223</v>
      </c>
      <c r="AD473" s="29">
        <v>44509</v>
      </c>
      <c r="AE473" s="29"/>
      <c r="AF473">
        <v>1</v>
      </c>
      <c r="AG473" t="s">
        <v>153</v>
      </c>
      <c r="AI473">
        <v>39</v>
      </c>
      <c r="AJ473">
        <v>1</v>
      </c>
      <c r="AK473" t="s">
        <v>170</v>
      </c>
      <c r="AL473" t="s">
        <v>77</v>
      </c>
      <c r="AM473">
        <f t="shared" si="35"/>
        <v>4</v>
      </c>
      <c r="AN473">
        <f t="shared" si="36"/>
        <v>11</v>
      </c>
      <c r="AO473" t="str">
        <f t="shared" si="37"/>
        <v/>
      </c>
      <c r="AP473" t="str">
        <f t="shared" si="38"/>
        <v/>
      </c>
      <c r="AQ473">
        <f t="shared" si="39"/>
        <v>2021</v>
      </c>
    </row>
    <row r="474" spans="1:43" x14ac:dyDescent="0.35">
      <c r="A474">
        <v>224</v>
      </c>
      <c r="B474">
        <v>27</v>
      </c>
      <c r="C474" t="s">
        <v>148</v>
      </c>
      <c r="D474" t="s">
        <v>164</v>
      </c>
      <c r="E474" t="s">
        <v>4</v>
      </c>
      <c r="F474" t="s">
        <v>38</v>
      </c>
      <c r="G474" t="s">
        <v>43</v>
      </c>
      <c r="H474" t="s">
        <v>82</v>
      </c>
      <c r="I474" t="s">
        <v>42</v>
      </c>
      <c r="J474" t="s">
        <v>146</v>
      </c>
      <c r="K474" t="s">
        <v>43</v>
      </c>
      <c r="L474" t="s">
        <v>147</v>
      </c>
      <c r="M474" t="s">
        <v>48</v>
      </c>
      <c r="N474" t="s">
        <v>96</v>
      </c>
      <c r="O474" t="s">
        <v>41</v>
      </c>
      <c r="P474" t="s">
        <v>144</v>
      </c>
      <c r="Q474">
        <v>15</v>
      </c>
      <c r="R474">
        <v>1</v>
      </c>
      <c r="S474">
        <v>1</v>
      </c>
      <c r="T474">
        <v>0</v>
      </c>
      <c r="U474">
        <v>1</v>
      </c>
      <c r="V474">
        <v>3</v>
      </c>
      <c r="W474">
        <v>79</v>
      </c>
      <c r="X474">
        <v>1450</v>
      </c>
      <c r="Y474">
        <v>25326</v>
      </c>
      <c r="Z474">
        <v>2566</v>
      </c>
      <c r="AA474">
        <v>2</v>
      </c>
      <c r="AB474" s="29">
        <v>44773</v>
      </c>
      <c r="AC474" s="29">
        <v>35198</v>
      </c>
      <c r="AD474" s="29">
        <v>44571</v>
      </c>
      <c r="AE474" s="29"/>
      <c r="AF474">
        <v>1</v>
      </c>
      <c r="AG474" t="s">
        <v>157</v>
      </c>
      <c r="AI474">
        <v>26</v>
      </c>
      <c r="AJ474">
        <v>2</v>
      </c>
      <c r="AK474" t="s">
        <v>170</v>
      </c>
      <c r="AL474" t="s">
        <v>77</v>
      </c>
      <c r="AM474">
        <f t="shared" si="35"/>
        <v>1</v>
      </c>
      <c r="AN474">
        <f t="shared" si="36"/>
        <v>1</v>
      </c>
      <c r="AO474" t="str">
        <f t="shared" si="37"/>
        <v/>
      </c>
      <c r="AP474" t="str">
        <f t="shared" si="38"/>
        <v/>
      </c>
      <c r="AQ474">
        <f t="shared" si="39"/>
        <v>2022</v>
      </c>
    </row>
    <row r="475" spans="1:43" x14ac:dyDescent="0.35">
      <c r="A475">
        <v>2034</v>
      </c>
      <c r="B475">
        <v>41</v>
      </c>
      <c r="C475" t="s">
        <v>148</v>
      </c>
      <c r="D475" t="s">
        <v>145</v>
      </c>
      <c r="E475" t="s">
        <v>4</v>
      </c>
      <c r="F475" t="s">
        <v>37</v>
      </c>
      <c r="G475" t="s">
        <v>41</v>
      </c>
      <c r="H475" t="s">
        <v>81</v>
      </c>
      <c r="I475" t="s">
        <v>42</v>
      </c>
      <c r="J475" t="s">
        <v>165</v>
      </c>
      <c r="K475" t="s">
        <v>42</v>
      </c>
      <c r="L475" t="s">
        <v>152</v>
      </c>
      <c r="M475" t="s">
        <v>49</v>
      </c>
      <c r="N475" t="s">
        <v>160</v>
      </c>
      <c r="O475" t="s">
        <v>41</v>
      </c>
      <c r="P475" t="s">
        <v>148</v>
      </c>
      <c r="Q475">
        <v>23</v>
      </c>
      <c r="R475">
        <v>0</v>
      </c>
      <c r="S475">
        <v>21</v>
      </c>
      <c r="T475">
        <v>0</v>
      </c>
      <c r="U475">
        <v>10</v>
      </c>
      <c r="V475">
        <v>28</v>
      </c>
      <c r="W475">
        <v>60</v>
      </c>
      <c r="X475">
        <v>582</v>
      </c>
      <c r="Y475">
        <v>5640</v>
      </c>
      <c r="Z475">
        <v>13570</v>
      </c>
      <c r="AA475">
        <v>3</v>
      </c>
      <c r="AB475" s="29">
        <v>44773</v>
      </c>
      <c r="AC475" s="29">
        <v>29942</v>
      </c>
      <c r="AD475" s="29">
        <v>37496</v>
      </c>
      <c r="AE475" s="29"/>
      <c r="AF475">
        <v>20</v>
      </c>
      <c r="AG475" t="s">
        <v>153</v>
      </c>
      <c r="AI475">
        <v>21</v>
      </c>
      <c r="AJ475">
        <v>1</v>
      </c>
      <c r="AK475" t="s">
        <v>163</v>
      </c>
      <c r="AL475" t="s">
        <v>77</v>
      </c>
      <c r="AM475">
        <f t="shared" si="35"/>
        <v>3</v>
      </c>
      <c r="AN475">
        <f t="shared" si="36"/>
        <v>8</v>
      </c>
      <c r="AO475" t="str">
        <f t="shared" si="37"/>
        <v/>
      </c>
      <c r="AP475" t="str">
        <f t="shared" si="38"/>
        <v/>
      </c>
      <c r="AQ475">
        <f t="shared" si="39"/>
        <v>2002</v>
      </c>
    </row>
    <row r="476" spans="1:43" x14ac:dyDescent="0.35">
      <c r="A476">
        <v>1408</v>
      </c>
      <c r="B476">
        <v>42</v>
      </c>
      <c r="C476" t="s">
        <v>148</v>
      </c>
      <c r="D476" t="s">
        <v>145</v>
      </c>
      <c r="E476" t="s">
        <v>168</v>
      </c>
      <c r="F476" t="s">
        <v>38</v>
      </c>
      <c r="G476" t="s">
        <v>43</v>
      </c>
      <c r="H476" t="s">
        <v>81</v>
      </c>
      <c r="I476" t="s">
        <v>43</v>
      </c>
      <c r="J476" t="s">
        <v>169</v>
      </c>
      <c r="K476" t="s">
        <v>41</v>
      </c>
      <c r="L476" t="s">
        <v>41</v>
      </c>
      <c r="M476" t="s">
        <v>49</v>
      </c>
      <c r="N476" t="s">
        <v>160</v>
      </c>
      <c r="O476" t="s">
        <v>41</v>
      </c>
      <c r="P476" t="s">
        <v>148</v>
      </c>
      <c r="Q476">
        <v>14</v>
      </c>
      <c r="R476">
        <v>0</v>
      </c>
      <c r="S476">
        <v>21</v>
      </c>
      <c r="T476">
        <v>0</v>
      </c>
      <c r="U476">
        <v>9</v>
      </c>
      <c r="V476">
        <v>10</v>
      </c>
      <c r="W476">
        <v>31</v>
      </c>
      <c r="X476">
        <v>1147</v>
      </c>
      <c r="Y476">
        <v>16616</v>
      </c>
      <c r="Z476">
        <v>16799</v>
      </c>
      <c r="AA476">
        <v>5</v>
      </c>
      <c r="AB476" s="29">
        <v>44773</v>
      </c>
      <c r="AC476" s="29">
        <v>29447</v>
      </c>
      <c r="AD476" s="29">
        <v>37575</v>
      </c>
      <c r="AE476" s="29"/>
      <c r="AF476">
        <v>20</v>
      </c>
      <c r="AG476" t="s">
        <v>153</v>
      </c>
      <c r="AI476">
        <v>22</v>
      </c>
      <c r="AJ476">
        <v>1</v>
      </c>
      <c r="AK476" t="s">
        <v>163</v>
      </c>
      <c r="AL476" t="s">
        <v>77</v>
      </c>
      <c r="AM476">
        <f t="shared" si="35"/>
        <v>4</v>
      </c>
      <c r="AN476">
        <f t="shared" si="36"/>
        <v>11</v>
      </c>
      <c r="AO476" t="str">
        <f t="shared" si="37"/>
        <v/>
      </c>
      <c r="AP476" t="str">
        <f t="shared" si="38"/>
        <v/>
      </c>
      <c r="AQ476">
        <f t="shared" si="39"/>
        <v>2002</v>
      </c>
    </row>
    <row r="477" spans="1:43" x14ac:dyDescent="0.35">
      <c r="A477">
        <v>581</v>
      </c>
      <c r="B477">
        <v>31</v>
      </c>
      <c r="C477" t="s">
        <v>148</v>
      </c>
      <c r="D477" t="s">
        <v>145</v>
      </c>
      <c r="E477" t="s">
        <v>4</v>
      </c>
      <c r="F477" t="s">
        <v>35</v>
      </c>
      <c r="G477" t="s">
        <v>43</v>
      </c>
      <c r="H477" t="s">
        <v>82</v>
      </c>
      <c r="I477" t="s">
        <v>43</v>
      </c>
      <c r="J477" t="s">
        <v>165</v>
      </c>
      <c r="K477" t="s">
        <v>42</v>
      </c>
      <c r="L477" t="s">
        <v>152</v>
      </c>
      <c r="M477" t="s">
        <v>50</v>
      </c>
      <c r="N477" t="s">
        <v>96</v>
      </c>
      <c r="O477" t="s">
        <v>41</v>
      </c>
      <c r="P477" t="s">
        <v>148</v>
      </c>
      <c r="Q477">
        <v>25</v>
      </c>
      <c r="R477">
        <v>1</v>
      </c>
      <c r="S477">
        <v>13</v>
      </c>
      <c r="T477">
        <v>0</v>
      </c>
      <c r="U477">
        <v>8</v>
      </c>
      <c r="V477">
        <v>9</v>
      </c>
      <c r="W477">
        <v>33</v>
      </c>
      <c r="X477">
        <v>1274</v>
      </c>
      <c r="Y477">
        <v>14394</v>
      </c>
      <c r="Z477">
        <v>10648</v>
      </c>
      <c r="AA477">
        <v>6</v>
      </c>
      <c r="AB477" s="29">
        <v>44773</v>
      </c>
      <c r="AC477" s="29">
        <v>33762</v>
      </c>
      <c r="AD477" s="29">
        <v>40220</v>
      </c>
      <c r="AE477" s="29"/>
      <c r="AF477">
        <v>12</v>
      </c>
      <c r="AG477" t="s">
        <v>149</v>
      </c>
      <c r="AI477">
        <v>19</v>
      </c>
      <c r="AJ477">
        <v>1</v>
      </c>
      <c r="AK477" t="s">
        <v>154</v>
      </c>
      <c r="AL477" t="s">
        <v>77</v>
      </c>
      <c r="AM477">
        <f t="shared" si="35"/>
        <v>1</v>
      </c>
      <c r="AN477">
        <f t="shared" si="36"/>
        <v>2</v>
      </c>
      <c r="AO477" t="str">
        <f t="shared" si="37"/>
        <v/>
      </c>
      <c r="AP477" t="str">
        <f t="shared" si="38"/>
        <v/>
      </c>
      <c r="AQ477">
        <f t="shared" si="39"/>
        <v>2010</v>
      </c>
    </row>
    <row r="478" spans="1:43" x14ac:dyDescent="0.35">
      <c r="A478">
        <v>1669</v>
      </c>
      <c r="B478">
        <v>29</v>
      </c>
      <c r="C478" t="s">
        <v>148</v>
      </c>
      <c r="D478" t="s">
        <v>145</v>
      </c>
      <c r="E478" t="s">
        <v>158</v>
      </c>
      <c r="F478" t="s">
        <v>38</v>
      </c>
      <c r="G478" t="s">
        <v>41</v>
      </c>
      <c r="H478" t="s">
        <v>82</v>
      </c>
      <c r="I478" t="s">
        <v>42</v>
      </c>
      <c r="J478" t="s">
        <v>159</v>
      </c>
      <c r="K478" t="s">
        <v>42</v>
      </c>
      <c r="L478" t="s">
        <v>41</v>
      </c>
      <c r="M478" t="s">
        <v>48</v>
      </c>
      <c r="N478" t="s">
        <v>96</v>
      </c>
      <c r="O478" t="s">
        <v>41</v>
      </c>
      <c r="P478" t="s">
        <v>144</v>
      </c>
      <c r="Q478">
        <v>13</v>
      </c>
      <c r="R478">
        <v>1</v>
      </c>
      <c r="S478">
        <v>10</v>
      </c>
      <c r="T478">
        <v>0</v>
      </c>
      <c r="U478">
        <v>9</v>
      </c>
      <c r="V478">
        <v>5</v>
      </c>
      <c r="W478">
        <v>43</v>
      </c>
      <c r="X478">
        <v>991</v>
      </c>
      <c r="Y478">
        <v>3356</v>
      </c>
      <c r="Z478">
        <v>4187</v>
      </c>
      <c r="AA478">
        <v>3</v>
      </c>
      <c r="AB478" s="29">
        <v>44773</v>
      </c>
      <c r="AC478" s="29">
        <v>34447</v>
      </c>
      <c r="AD478" s="29">
        <v>41189</v>
      </c>
      <c r="AE478" s="29"/>
      <c r="AF478">
        <v>10</v>
      </c>
      <c r="AG478" t="s">
        <v>157</v>
      </c>
      <c r="AI478">
        <v>19</v>
      </c>
      <c r="AJ478">
        <v>1</v>
      </c>
      <c r="AK478" t="s">
        <v>154</v>
      </c>
      <c r="AL478" t="s">
        <v>77</v>
      </c>
      <c r="AM478">
        <f t="shared" si="35"/>
        <v>4</v>
      </c>
      <c r="AN478">
        <f t="shared" si="36"/>
        <v>10</v>
      </c>
      <c r="AO478" t="str">
        <f t="shared" si="37"/>
        <v/>
      </c>
      <c r="AP478" t="str">
        <f t="shared" si="38"/>
        <v/>
      </c>
      <c r="AQ478">
        <f t="shared" si="39"/>
        <v>2012</v>
      </c>
    </row>
    <row r="479" spans="1:43" x14ac:dyDescent="0.35">
      <c r="A479">
        <v>942</v>
      </c>
      <c r="B479">
        <v>35</v>
      </c>
      <c r="C479" t="s">
        <v>148</v>
      </c>
      <c r="D479" t="s">
        <v>145</v>
      </c>
      <c r="E479" t="s">
        <v>4</v>
      </c>
      <c r="F479" t="s">
        <v>35</v>
      </c>
      <c r="G479" t="s">
        <v>44</v>
      </c>
      <c r="H479" t="s">
        <v>81</v>
      </c>
      <c r="I479" t="s">
        <v>43</v>
      </c>
      <c r="J479" t="s">
        <v>161</v>
      </c>
      <c r="K479" t="s">
        <v>44</v>
      </c>
      <c r="L479" t="s">
        <v>152</v>
      </c>
      <c r="M479" t="s">
        <v>47</v>
      </c>
      <c r="N479" t="s">
        <v>160</v>
      </c>
      <c r="O479" t="s">
        <v>41</v>
      </c>
      <c r="P479" t="s">
        <v>144</v>
      </c>
      <c r="Q479">
        <v>25</v>
      </c>
      <c r="R479">
        <v>1</v>
      </c>
      <c r="S479">
        <v>10</v>
      </c>
      <c r="T479">
        <v>0</v>
      </c>
      <c r="U479">
        <v>7</v>
      </c>
      <c r="V479">
        <v>21</v>
      </c>
      <c r="W479">
        <v>51</v>
      </c>
      <c r="X479">
        <v>1137</v>
      </c>
      <c r="Y479">
        <v>19170</v>
      </c>
      <c r="Z479">
        <v>4014</v>
      </c>
      <c r="AA479">
        <v>2</v>
      </c>
      <c r="AB479" s="29">
        <v>44773</v>
      </c>
      <c r="AC479" s="29">
        <v>32247</v>
      </c>
      <c r="AD479" s="29">
        <v>41216</v>
      </c>
      <c r="AE479" s="29"/>
      <c r="AF479">
        <v>10</v>
      </c>
      <c r="AG479" t="s">
        <v>149</v>
      </c>
      <c r="AI479">
        <v>25</v>
      </c>
      <c r="AJ479">
        <v>1</v>
      </c>
      <c r="AK479" t="s">
        <v>154</v>
      </c>
      <c r="AL479" t="s">
        <v>77</v>
      </c>
      <c r="AM479">
        <f t="shared" si="35"/>
        <v>4</v>
      </c>
      <c r="AN479">
        <f t="shared" si="36"/>
        <v>11</v>
      </c>
      <c r="AO479" t="str">
        <f t="shared" si="37"/>
        <v/>
      </c>
      <c r="AP479" t="str">
        <f t="shared" si="38"/>
        <v/>
      </c>
      <c r="AQ479">
        <f t="shared" si="39"/>
        <v>2012</v>
      </c>
    </row>
    <row r="480" spans="1:43" x14ac:dyDescent="0.35">
      <c r="A480">
        <v>1085</v>
      </c>
      <c r="B480">
        <v>41</v>
      </c>
      <c r="C480" t="s">
        <v>148</v>
      </c>
      <c r="D480" t="s">
        <v>145</v>
      </c>
      <c r="E480" t="s">
        <v>4</v>
      </c>
      <c r="F480" t="s">
        <v>36</v>
      </c>
      <c r="G480" t="s">
        <v>42</v>
      </c>
      <c r="H480" t="s">
        <v>81</v>
      </c>
      <c r="I480" t="s">
        <v>44</v>
      </c>
      <c r="J480" t="s">
        <v>146</v>
      </c>
      <c r="K480" t="s">
        <v>43</v>
      </c>
      <c r="L480" t="s">
        <v>48</v>
      </c>
      <c r="M480" t="s">
        <v>49</v>
      </c>
      <c r="N480" t="s">
        <v>160</v>
      </c>
      <c r="P480" t="s">
        <v>148</v>
      </c>
      <c r="Q480">
        <v>13</v>
      </c>
      <c r="R480">
        <v>1</v>
      </c>
      <c r="S480">
        <v>10</v>
      </c>
      <c r="T480">
        <v>0</v>
      </c>
      <c r="U480">
        <v>8</v>
      </c>
      <c r="V480">
        <v>7</v>
      </c>
      <c r="W480">
        <v>43</v>
      </c>
      <c r="X480">
        <v>509</v>
      </c>
      <c r="Y480">
        <v>18863</v>
      </c>
      <c r="Z480">
        <v>3376</v>
      </c>
      <c r="AA480">
        <v>3</v>
      </c>
      <c r="AB480" s="29">
        <v>44773</v>
      </c>
      <c r="AC480" s="29">
        <v>29826</v>
      </c>
      <c r="AD480" s="29">
        <v>41261</v>
      </c>
      <c r="AE480" s="29"/>
      <c r="AF480">
        <v>10</v>
      </c>
      <c r="AG480" t="s">
        <v>153</v>
      </c>
      <c r="AI480">
        <v>31</v>
      </c>
      <c r="AJ480">
        <v>1</v>
      </c>
      <c r="AK480" t="s">
        <v>154</v>
      </c>
      <c r="AL480" t="s">
        <v>77</v>
      </c>
      <c r="AM480">
        <f t="shared" si="35"/>
        <v>4</v>
      </c>
      <c r="AN480">
        <f t="shared" si="36"/>
        <v>12</v>
      </c>
      <c r="AO480" t="str">
        <f t="shared" si="37"/>
        <v/>
      </c>
      <c r="AP480" t="str">
        <f t="shared" si="38"/>
        <v/>
      </c>
      <c r="AQ480">
        <f t="shared" si="39"/>
        <v>2012</v>
      </c>
    </row>
    <row r="481" spans="1:43" x14ac:dyDescent="0.35">
      <c r="A481">
        <v>824</v>
      </c>
      <c r="B481">
        <v>29</v>
      </c>
      <c r="C481" t="s">
        <v>148</v>
      </c>
      <c r="D481" t="s">
        <v>145</v>
      </c>
      <c r="E481" t="s">
        <v>4</v>
      </c>
      <c r="F481" t="s">
        <v>36</v>
      </c>
      <c r="G481" t="s">
        <v>43</v>
      </c>
      <c r="H481" t="s">
        <v>82</v>
      </c>
      <c r="I481" t="s">
        <v>44</v>
      </c>
      <c r="J481" t="s">
        <v>146</v>
      </c>
      <c r="K481" t="s">
        <v>43</v>
      </c>
      <c r="L481" t="s">
        <v>152</v>
      </c>
      <c r="M481" t="s">
        <v>49</v>
      </c>
      <c r="N481" t="s">
        <v>160</v>
      </c>
      <c r="O481" t="s">
        <v>41</v>
      </c>
      <c r="P481" t="s">
        <v>148</v>
      </c>
      <c r="Q481">
        <v>24</v>
      </c>
      <c r="R481">
        <v>1</v>
      </c>
      <c r="S481">
        <v>10</v>
      </c>
      <c r="T481">
        <v>0</v>
      </c>
      <c r="U481">
        <v>7</v>
      </c>
      <c r="V481">
        <v>23</v>
      </c>
      <c r="W481">
        <v>81</v>
      </c>
      <c r="X481">
        <v>1252</v>
      </c>
      <c r="Y481">
        <v>23779</v>
      </c>
      <c r="Z481">
        <v>2700</v>
      </c>
      <c r="AA481">
        <v>3</v>
      </c>
      <c r="AB481" s="29">
        <v>44773</v>
      </c>
      <c r="AC481" s="29">
        <v>34241</v>
      </c>
      <c r="AD481" s="29">
        <v>41370</v>
      </c>
      <c r="AE481" s="29"/>
      <c r="AF481">
        <v>9</v>
      </c>
      <c r="AG481" t="s">
        <v>157</v>
      </c>
      <c r="AI481">
        <v>20</v>
      </c>
      <c r="AJ481">
        <v>1</v>
      </c>
      <c r="AK481" t="s">
        <v>150</v>
      </c>
      <c r="AL481" t="s">
        <v>77</v>
      </c>
      <c r="AM481">
        <f t="shared" si="35"/>
        <v>2</v>
      </c>
      <c r="AN481">
        <f t="shared" si="36"/>
        <v>4</v>
      </c>
      <c r="AO481" t="str">
        <f t="shared" si="37"/>
        <v/>
      </c>
      <c r="AP481" t="str">
        <f t="shared" si="38"/>
        <v/>
      </c>
      <c r="AQ481">
        <f t="shared" si="39"/>
        <v>2013</v>
      </c>
    </row>
    <row r="482" spans="1:43" x14ac:dyDescent="0.35">
      <c r="A482">
        <v>1881</v>
      </c>
      <c r="B482">
        <v>31</v>
      </c>
      <c r="C482" t="s">
        <v>148</v>
      </c>
      <c r="D482" t="s">
        <v>145</v>
      </c>
      <c r="E482" t="s">
        <v>4</v>
      </c>
      <c r="F482" t="s">
        <v>38</v>
      </c>
      <c r="G482" t="s">
        <v>42</v>
      </c>
      <c r="H482" t="s">
        <v>82</v>
      </c>
      <c r="I482" t="s">
        <v>43</v>
      </c>
      <c r="J482" t="s">
        <v>155</v>
      </c>
      <c r="K482" t="s">
        <v>43</v>
      </c>
      <c r="L482" t="s">
        <v>41</v>
      </c>
      <c r="M482" t="s">
        <v>49</v>
      </c>
      <c r="N482" t="s">
        <v>96</v>
      </c>
      <c r="O482" t="s">
        <v>41</v>
      </c>
      <c r="P482" t="s">
        <v>148</v>
      </c>
      <c r="Q482">
        <v>11</v>
      </c>
      <c r="R482">
        <v>1</v>
      </c>
      <c r="S482">
        <v>10</v>
      </c>
      <c r="T482">
        <v>0</v>
      </c>
      <c r="U482">
        <v>2</v>
      </c>
      <c r="V482">
        <v>20</v>
      </c>
      <c r="W482">
        <v>89</v>
      </c>
      <c r="X482">
        <v>311</v>
      </c>
      <c r="Y482">
        <v>18624</v>
      </c>
      <c r="Z482">
        <v>4197</v>
      </c>
      <c r="AA482">
        <v>2</v>
      </c>
      <c r="AB482" s="29">
        <v>44773</v>
      </c>
      <c r="AC482" s="29">
        <v>33709</v>
      </c>
      <c r="AD482" s="29">
        <v>41383</v>
      </c>
      <c r="AE482" s="29"/>
      <c r="AF482">
        <v>9</v>
      </c>
      <c r="AG482" t="s">
        <v>149</v>
      </c>
      <c r="AI482">
        <v>22</v>
      </c>
      <c r="AJ482">
        <v>1</v>
      </c>
      <c r="AK482" t="s">
        <v>150</v>
      </c>
      <c r="AL482" t="s">
        <v>77</v>
      </c>
      <c r="AM482">
        <f t="shared" si="35"/>
        <v>2</v>
      </c>
      <c r="AN482">
        <f t="shared" si="36"/>
        <v>4</v>
      </c>
      <c r="AO482" t="str">
        <f t="shared" si="37"/>
        <v/>
      </c>
      <c r="AP482" t="str">
        <f t="shared" si="38"/>
        <v/>
      </c>
      <c r="AQ482">
        <f t="shared" si="39"/>
        <v>2013</v>
      </c>
    </row>
    <row r="483" spans="1:43" x14ac:dyDescent="0.35">
      <c r="A483">
        <v>855</v>
      </c>
      <c r="B483">
        <v>33</v>
      </c>
      <c r="C483" t="s">
        <v>148</v>
      </c>
      <c r="D483" t="s">
        <v>145</v>
      </c>
      <c r="E483" t="s">
        <v>158</v>
      </c>
      <c r="F483" t="s">
        <v>38</v>
      </c>
      <c r="G483" t="s">
        <v>41</v>
      </c>
      <c r="H483" t="s">
        <v>82</v>
      </c>
      <c r="I483" t="s">
        <v>44</v>
      </c>
      <c r="J483" t="s">
        <v>159</v>
      </c>
      <c r="K483" t="s">
        <v>41</v>
      </c>
      <c r="L483" t="s">
        <v>152</v>
      </c>
      <c r="M483" t="s">
        <v>49</v>
      </c>
      <c r="N483" t="s">
        <v>96</v>
      </c>
      <c r="O483" t="s">
        <v>41</v>
      </c>
      <c r="P483" t="s">
        <v>148</v>
      </c>
      <c r="Q483">
        <v>22</v>
      </c>
      <c r="R483">
        <v>1</v>
      </c>
      <c r="S483">
        <v>9</v>
      </c>
      <c r="T483">
        <v>0</v>
      </c>
      <c r="U483">
        <v>8</v>
      </c>
      <c r="V483">
        <v>1</v>
      </c>
      <c r="W483">
        <v>48</v>
      </c>
      <c r="X483">
        <v>586</v>
      </c>
      <c r="Y483">
        <v>21816</v>
      </c>
      <c r="Z483">
        <v>4037</v>
      </c>
      <c r="AA483">
        <v>5</v>
      </c>
      <c r="AB483" s="29">
        <v>44773</v>
      </c>
      <c r="AC483" s="29">
        <v>33024</v>
      </c>
      <c r="AD483" s="29">
        <v>41592</v>
      </c>
      <c r="AE483" s="29"/>
      <c r="AF483">
        <v>9</v>
      </c>
      <c r="AG483" t="s">
        <v>149</v>
      </c>
      <c r="AI483">
        <v>24</v>
      </c>
      <c r="AJ483">
        <v>1</v>
      </c>
      <c r="AK483" t="s">
        <v>150</v>
      </c>
      <c r="AL483" t="s">
        <v>77</v>
      </c>
      <c r="AM483">
        <f t="shared" si="35"/>
        <v>4</v>
      </c>
      <c r="AN483">
        <f t="shared" si="36"/>
        <v>11</v>
      </c>
      <c r="AO483" t="str">
        <f t="shared" si="37"/>
        <v/>
      </c>
      <c r="AP483" t="str">
        <f t="shared" si="38"/>
        <v/>
      </c>
      <c r="AQ483">
        <f t="shared" si="39"/>
        <v>2013</v>
      </c>
    </row>
    <row r="484" spans="1:43" x14ac:dyDescent="0.35">
      <c r="A484">
        <v>15</v>
      </c>
      <c r="B484">
        <v>29</v>
      </c>
      <c r="C484" t="s">
        <v>148</v>
      </c>
      <c r="D484" t="s">
        <v>145</v>
      </c>
      <c r="E484" t="s">
        <v>4</v>
      </c>
      <c r="F484" t="s">
        <v>36</v>
      </c>
      <c r="G484" t="s">
        <v>44</v>
      </c>
      <c r="H484" t="s">
        <v>81</v>
      </c>
      <c r="I484" t="s">
        <v>42</v>
      </c>
      <c r="J484" t="s">
        <v>155</v>
      </c>
      <c r="K484" t="s">
        <v>43</v>
      </c>
      <c r="L484" t="s">
        <v>48</v>
      </c>
      <c r="M484" t="s">
        <v>49</v>
      </c>
      <c r="N484" t="s">
        <v>95</v>
      </c>
      <c r="P484" t="s">
        <v>144</v>
      </c>
      <c r="Q484">
        <v>12</v>
      </c>
      <c r="R484">
        <v>0</v>
      </c>
      <c r="S484">
        <v>10</v>
      </c>
      <c r="T484">
        <v>0</v>
      </c>
      <c r="U484">
        <v>8</v>
      </c>
      <c r="V484">
        <v>15</v>
      </c>
      <c r="W484">
        <v>49</v>
      </c>
      <c r="X484">
        <v>153</v>
      </c>
      <c r="Y484">
        <v>12682</v>
      </c>
      <c r="Z484">
        <v>4193</v>
      </c>
      <c r="AA484">
        <v>3</v>
      </c>
      <c r="AB484" s="29">
        <v>44773</v>
      </c>
      <c r="AC484" s="29">
        <v>34350</v>
      </c>
      <c r="AD484" s="29">
        <v>41684</v>
      </c>
      <c r="AE484" s="29"/>
      <c r="AF484">
        <v>8</v>
      </c>
      <c r="AG484" t="s">
        <v>157</v>
      </c>
      <c r="AI484">
        <v>21</v>
      </c>
      <c r="AJ484">
        <v>2</v>
      </c>
      <c r="AK484" t="s">
        <v>150</v>
      </c>
      <c r="AL484" t="s">
        <v>77</v>
      </c>
      <c r="AM484">
        <f t="shared" si="35"/>
        <v>1</v>
      </c>
      <c r="AN484">
        <f t="shared" si="36"/>
        <v>2</v>
      </c>
      <c r="AO484" t="str">
        <f t="shared" si="37"/>
        <v/>
      </c>
      <c r="AP484" t="str">
        <f t="shared" si="38"/>
        <v/>
      </c>
      <c r="AQ484">
        <f t="shared" si="39"/>
        <v>2014</v>
      </c>
    </row>
    <row r="485" spans="1:43" x14ac:dyDescent="0.35">
      <c r="A485">
        <v>725</v>
      </c>
      <c r="B485">
        <v>27</v>
      </c>
      <c r="C485" t="s">
        <v>148</v>
      </c>
      <c r="D485" t="s">
        <v>145</v>
      </c>
      <c r="E485" t="s">
        <v>4</v>
      </c>
      <c r="F485" t="s">
        <v>36</v>
      </c>
      <c r="G485" t="s">
        <v>43</v>
      </c>
      <c r="H485" t="s">
        <v>81</v>
      </c>
      <c r="I485" t="s">
        <v>43</v>
      </c>
      <c r="J485" t="s">
        <v>165</v>
      </c>
      <c r="K485" t="s">
        <v>41</v>
      </c>
      <c r="L485" t="s">
        <v>48</v>
      </c>
      <c r="M485" t="s">
        <v>49</v>
      </c>
      <c r="N485" t="s">
        <v>160</v>
      </c>
      <c r="P485" t="s">
        <v>148</v>
      </c>
      <c r="Q485">
        <v>11</v>
      </c>
      <c r="R485">
        <v>1</v>
      </c>
      <c r="S485">
        <v>9</v>
      </c>
      <c r="T485">
        <v>0</v>
      </c>
      <c r="U485">
        <v>7</v>
      </c>
      <c r="V485">
        <v>1</v>
      </c>
      <c r="W485">
        <v>68</v>
      </c>
      <c r="X485">
        <v>608</v>
      </c>
      <c r="Y485">
        <v>6009</v>
      </c>
      <c r="Z485">
        <v>7412</v>
      </c>
      <c r="AA485">
        <v>3</v>
      </c>
      <c r="AB485" s="29">
        <v>44773</v>
      </c>
      <c r="AC485" s="29">
        <v>34974</v>
      </c>
      <c r="AD485" s="29">
        <v>41743</v>
      </c>
      <c r="AE485" s="29"/>
      <c r="AF485">
        <v>8</v>
      </c>
      <c r="AG485" t="s">
        <v>157</v>
      </c>
      <c r="AI485">
        <v>19</v>
      </c>
      <c r="AJ485">
        <v>1</v>
      </c>
      <c r="AK485" t="s">
        <v>150</v>
      </c>
      <c r="AL485" t="s">
        <v>77</v>
      </c>
      <c r="AM485">
        <f t="shared" si="35"/>
        <v>2</v>
      </c>
      <c r="AN485">
        <f t="shared" si="36"/>
        <v>4</v>
      </c>
      <c r="AO485" t="str">
        <f t="shared" si="37"/>
        <v/>
      </c>
      <c r="AP485" t="str">
        <f t="shared" si="38"/>
        <v/>
      </c>
      <c r="AQ485">
        <f t="shared" si="39"/>
        <v>2014</v>
      </c>
    </row>
    <row r="486" spans="1:43" x14ac:dyDescent="0.35">
      <c r="A486">
        <v>1321</v>
      </c>
      <c r="B486">
        <v>30</v>
      </c>
      <c r="C486" t="s">
        <v>148</v>
      </c>
      <c r="D486" t="s">
        <v>145</v>
      </c>
      <c r="E486" t="s">
        <v>4</v>
      </c>
      <c r="F486" t="s">
        <v>37</v>
      </c>
      <c r="G486" t="s">
        <v>42</v>
      </c>
      <c r="H486" t="s">
        <v>81</v>
      </c>
      <c r="I486" t="s">
        <v>43</v>
      </c>
      <c r="J486" t="s">
        <v>169</v>
      </c>
      <c r="K486" t="s">
        <v>41</v>
      </c>
      <c r="L486" t="s">
        <v>48</v>
      </c>
      <c r="M486" t="s">
        <v>49</v>
      </c>
      <c r="N486" t="s">
        <v>160</v>
      </c>
      <c r="O486" t="s">
        <v>156</v>
      </c>
      <c r="P486" t="s">
        <v>144</v>
      </c>
      <c r="Q486">
        <v>23</v>
      </c>
      <c r="R486">
        <v>1</v>
      </c>
      <c r="S486">
        <v>9</v>
      </c>
      <c r="T486">
        <v>0</v>
      </c>
      <c r="U486">
        <v>8</v>
      </c>
      <c r="V486">
        <v>17</v>
      </c>
      <c r="W486">
        <v>95</v>
      </c>
      <c r="X486">
        <v>634</v>
      </c>
      <c r="Y486">
        <v>25927</v>
      </c>
      <c r="Z486">
        <v>11916</v>
      </c>
      <c r="AA486">
        <v>2</v>
      </c>
      <c r="AB486" s="29">
        <v>44773</v>
      </c>
      <c r="AC486" s="29">
        <v>33955</v>
      </c>
      <c r="AD486" s="29">
        <v>41808</v>
      </c>
      <c r="AE486" s="29"/>
      <c r="AF486">
        <v>8</v>
      </c>
      <c r="AG486" t="s">
        <v>149</v>
      </c>
      <c r="AI486">
        <v>22</v>
      </c>
      <c r="AJ486">
        <v>1</v>
      </c>
      <c r="AK486" t="s">
        <v>150</v>
      </c>
      <c r="AL486" t="s">
        <v>77</v>
      </c>
      <c r="AM486">
        <f t="shared" si="35"/>
        <v>2</v>
      </c>
      <c r="AN486">
        <f t="shared" si="36"/>
        <v>6</v>
      </c>
      <c r="AO486" t="str">
        <f t="shared" si="37"/>
        <v/>
      </c>
      <c r="AP486" t="str">
        <f t="shared" si="38"/>
        <v/>
      </c>
      <c r="AQ486">
        <f t="shared" si="39"/>
        <v>2014</v>
      </c>
    </row>
    <row r="487" spans="1:43" x14ac:dyDescent="0.35">
      <c r="A487">
        <v>1177</v>
      </c>
      <c r="B487">
        <v>26</v>
      </c>
      <c r="C487" t="s">
        <v>148</v>
      </c>
      <c r="D487" t="s">
        <v>145</v>
      </c>
      <c r="E487" t="s">
        <v>4</v>
      </c>
      <c r="F487" t="s">
        <v>37</v>
      </c>
      <c r="G487" t="s">
        <v>41</v>
      </c>
      <c r="H487" t="s">
        <v>82</v>
      </c>
      <c r="I487" t="s">
        <v>44</v>
      </c>
      <c r="J487" t="s">
        <v>155</v>
      </c>
      <c r="K487" t="s">
        <v>44</v>
      </c>
      <c r="L487" t="s">
        <v>152</v>
      </c>
      <c r="M487" t="s">
        <v>49</v>
      </c>
      <c r="N487" t="s">
        <v>160</v>
      </c>
      <c r="O487" t="s">
        <v>41</v>
      </c>
      <c r="P487" t="s">
        <v>148</v>
      </c>
      <c r="Q487">
        <v>22</v>
      </c>
      <c r="R487">
        <v>1</v>
      </c>
      <c r="S487">
        <v>8</v>
      </c>
      <c r="T487">
        <v>0</v>
      </c>
      <c r="U487">
        <v>7</v>
      </c>
      <c r="V487">
        <v>3</v>
      </c>
      <c r="W487">
        <v>82</v>
      </c>
      <c r="X487">
        <v>1384</v>
      </c>
      <c r="Y487">
        <v>13421</v>
      </c>
      <c r="Z487">
        <v>4420</v>
      </c>
      <c r="AA487">
        <v>2</v>
      </c>
      <c r="AB487" s="29">
        <v>44773</v>
      </c>
      <c r="AC487" s="29">
        <v>35501</v>
      </c>
      <c r="AD487" s="29">
        <v>41881</v>
      </c>
      <c r="AE487" s="29"/>
      <c r="AF487">
        <v>8</v>
      </c>
      <c r="AG487" t="s">
        <v>157</v>
      </c>
      <c r="AI487">
        <v>18</v>
      </c>
      <c r="AJ487">
        <v>2</v>
      </c>
      <c r="AK487" t="s">
        <v>150</v>
      </c>
      <c r="AL487" t="s">
        <v>77</v>
      </c>
      <c r="AM487">
        <f t="shared" si="35"/>
        <v>3</v>
      </c>
      <c r="AN487">
        <f t="shared" si="36"/>
        <v>8</v>
      </c>
      <c r="AO487" t="str">
        <f t="shared" si="37"/>
        <v/>
      </c>
      <c r="AP487" t="str">
        <f t="shared" si="38"/>
        <v/>
      </c>
      <c r="AQ487">
        <f t="shared" si="39"/>
        <v>2014</v>
      </c>
    </row>
    <row r="488" spans="1:43" x14ac:dyDescent="0.35">
      <c r="A488">
        <v>230</v>
      </c>
      <c r="B488">
        <v>38</v>
      </c>
      <c r="C488" t="s">
        <v>148</v>
      </c>
      <c r="D488" t="s">
        <v>145</v>
      </c>
      <c r="E488" t="s">
        <v>158</v>
      </c>
      <c r="F488" t="s">
        <v>37</v>
      </c>
      <c r="G488" t="s">
        <v>41</v>
      </c>
      <c r="H488" t="s">
        <v>81</v>
      </c>
      <c r="I488" t="s">
        <v>42</v>
      </c>
      <c r="J488" t="s">
        <v>159</v>
      </c>
      <c r="K488" t="s">
        <v>44</v>
      </c>
      <c r="L488" t="s">
        <v>152</v>
      </c>
      <c r="M488" t="s">
        <v>50</v>
      </c>
      <c r="N488" t="s">
        <v>95</v>
      </c>
      <c r="P488" t="s">
        <v>148</v>
      </c>
      <c r="Q488">
        <v>22</v>
      </c>
      <c r="R488">
        <v>4</v>
      </c>
      <c r="S488">
        <v>12</v>
      </c>
      <c r="T488">
        <v>0</v>
      </c>
      <c r="U488">
        <v>7</v>
      </c>
      <c r="V488">
        <v>1</v>
      </c>
      <c r="W488">
        <v>59</v>
      </c>
      <c r="X488">
        <v>702</v>
      </c>
      <c r="Y488">
        <v>12930</v>
      </c>
      <c r="Z488">
        <v>8686</v>
      </c>
      <c r="AA488">
        <v>2</v>
      </c>
      <c r="AB488" s="29">
        <v>44773</v>
      </c>
      <c r="AC488" s="29">
        <v>31146</v>
      </c>
      <c r="AD488" s="29">
        <v>42070</v>
      </c>
      <c r="AE488" s="29"/>
      <c r="AF488">
        <v>7</v>
      </c>
      <c r="AG488" t="s">
        <v>149</v>
      </c>
      <c r="AI488">
        <v>31</v>
      </c>
      <c r="AJ488">
        <v>1</v>
      </c>
      <c r="AK488" t="s">
        <v>150</v>
      </c>
      <c r="AL488" t="s">
        <v>77</v>
      </c>
      <c r="AM488">
        <f t="shared" si="35"/>
        <v>1</v>
      </c>
      <c r="AN488">
        <f t="shared" si="36"/>
        <v>3</v>
      </c>
      <c r="AO488" t="str">
        <f t="shared" si="37"/>
        <v/>
      </c>
      <c r="AP488" t="str">
        <f t="shared" si="38"/>
        <v/>
      </c>
      <c r="AQ488">
        <f t="shared" si="39"/>
        <v>2015</v>
      </c>
    </row>
    <row r="489" spans="1:43" x14ac:dyDescent="0.35">
      <c r="A489">
        <v>985</v>
      </c>
      <c r="B489">
        <v>39</v>
      </c>
      <c r="C489" t="s">
        <v>148</v>
      </c>
      <c r="D489" t="s">
        <v>145</v>
      </c>
      <c r="E489" t="s">
        <v>158</v>
      </c>
      <c r="F489" t="s">
        <v>34</v>
      </c>
      <c r="G489" t="s">
        <v>41</v>
      </c>
      <c r="H489" t="s">
        <v>82</v>
      </c>
      <c r="I489" t="s">
        <v>44</v>
      </c>
      <c r="J489" t="s">
        <v>159</v>
      </c>
      <c r="K489" t="s">
        <v>43</v>
      </c>
      <c r="L489" t="s">
        <v>48</v>
      </c>
      <c r="M489" t="s">
        <v>49</v>
      </c>
      <c r="N489" t="s">
        <v>95</v>
      </c>
      <c r="P489" t="s">
        <v>148</v>
      </c>
      <c r="Q489">
        <v>18</v>
      </c>
      <c r="R489">
        <v>0</v>
      </c>
      <c r="S489">
        <v>9</v>
      </c>
      <c r="T489">
        <v>0</v>
      </c>
      <c r="U489">
        <v>7</v>
      </c>
      <c r="V489">
        <v>2</v>
      </c>
      <c r="W489">
        <v>41</v>
      </c>
      <c r="X489">
        <v>903</v>
      </c>
      <c r="Y489">
        <v>2560</v>
      </c>
      <c r="Z489">
        <v>7880</v>
      </c>
      <c r="AA489">
        <v>3</v>
      </c>
      <c r="AB489" s="29">
        <v>44773</v>
      </c>
      <c r="AC489" s="29">
        <v>30729</v>
      </c>
      <c r="AD489" s="29">
        <v>42173</v>
      </c>
      <c r="AE489" s="29"/>
      <c r="AF489">
        <v>7</v>
      </c>
      <c r="AG489" t="s">
        <v>149</v>
      </c>
      <c r="AI489">
        <v>32</v>
      </c>
      <c r="AJ489">
        <v>1</v>
      </c>
      <c r="AK489" t="s">
        <v>150</v>
      </c>
      <c r="AL489" t="s">
        <v>77</v>
      </c>
      <c r="AM489">
        <f t="shared" si="35"/>
        <v>2</v>
      </c>
      <c r="AN489">
        <f t="shared" si="36"/>
        <v>6</v>
      </c>
      <c r="AO489" t="str">
        <f t="shared" si="37"/>
        <v/>
      </c>
      <c r="AP489" t="str">
        <f t="shared" si="38"/>
        <v/>
      </c>
      <c r="AQ489">
        <f t="shared" si="39"/>
        <v>2015</v>
      </c>
    </row>
    <row r="490" spans="1:43" x14ac:dyDescent="0.35">
      <c r="A490">
        <v>1728</v>
      </c>
      <c r="B490">
        <v>35</v>
      </c>
      <c r="C490" t="s">
        <v>148</v>
      </c>
      <c r="D490" t="s">
        <v>145</v>
      </c>
      <c r="E490" t="s">
        <v>4</v>
      </c>
      <c r="F490" t="s">
        <v>37</v>
      </c>
      <c r="G490" t="s">
        <v>44</v>
      </c>
      <c r="H490" t="s">
        <v>82</v>
      </c>
      <c r="I490" t="s">
        <v>43</v>
      </c>
      <c r="J490" t="s">
        <v>165</v>
      </c>
      <c r="K490" t="s">
        <v>43</v>
      </c>
      <c r="L490" t="s">
        <v>41</v>
      </c>
      <c r="M490" t="s">
        <v>49</v>
      </c>
      <c r="N490" t="s">
        <v>160</v>
      </c>
      <c r="O490" t="s">
        <v>41</v>
      </c>
      <c r="P490" t="s">
        <v>148</v>
      </c>
      <c r="Q490">
        <v>16</v>
      </c>
      <c r="R490">
        <v>2</v>
      </c>
      <c r="S490">
        <v>17</v>
      </c>
      <c r="T490">
        <v>0</v>
      </c>
      <c r="U490">
        <v>7</v>
      </c>
      <c r="V490">
        <v>27</v>
      </c>
      <c r="W490">
        <v>49</v>
      </c>
      <c r="X490">
        <v>1370</v>
      </c>
      <c r="Y490">
        <v>5151</v>
      </c>
      <c r="Z490">
        <v>6883</v>
      </c>
      <c r="AA490">
        <v>3</v>
      </c>
      <c r="AB490" s="29">
        <v>44773</v>
      </c>
      <c r="AC490" s="29">
        <v>32244</v>
      </c>
      <c r="AD490" s="29">
        <v>42311</v>
      </c>
      <c r="AE490" s="29"/>
      <c r="AF490">
        <v>7</v>
      </c>
      <c r="AG490" t="s">
        <v>149</v>
      </c>
      <c r="AI490">
        <v>28</v>
      </c>
      <c r="AJ490">
        <v>1</v>
      </c>
      <c r="AK490" t="s">
        <v>150</v>
      </c>
      <c r="AL490" t="s">
        <v>78</v>
      </c>
      <c r="AM490">
        <f t="shared" si="35"/>
        <v>4</v>
      </c>
      <c r="AN490">
        <f t="shared" si="36"/>
        <v>11</v>
      </c>
      <c r="AO490" t="str">
        <f t="shared" si="37"/>
        <v/>
      </c>
      <c r="AP490" t="str">
        <f t="shared" si="38"/>
        <v/>
      </c>
      <c r="AQ490">
        <f t="shared" si="39"/>
        <v>2015</v>
      </c>
    </row>
    <row r="491" spans="1:43" x14ac:dyDescent="0.35">
      <c r="A491">
        <v>709</v>
      </c>
      <c r="B491">
        <v>38</v>
      </c>
      <c r="C491" t="s">
        <v>148</v>
      </c>
      <c r="D491" t="s">
        <v>145</v>
      </c>
      <c r="E491" t="s">
        <v>158</v>
      </c>
      <c r="F491" t="s">
        <v>37</v>
      </c>
      <c r="G491" t="s">
        <v>44</v>
      </c>
      <c r="H491" t="s">
        <v>81</v>
      </c>
      <c r="I491" t="s">
        <v>42</v>
      </c>
      <c r="J491" t="s">
        <v>159</v>
      </c>
      <c r="K491" t="s">
        <v>44</v>
      </c>
      <c r="L491" t="s">
        <v>152</v>
      </c>
      <c r="M491" t="s">
        <v>49</v>
      </c>
      <c r="N491" t="s">
        <v>95</v>
      </c>
      <c r="P491" t="s">
        <v>148</v>
      </c>
      <c r="Q491">
        <v>20</v>
      </c>
      <c r="R491">
        <v>0</v>
      </c>
      <c r="S491">
        <v>8</v>
      </c>
      <c r="T491">
        <v>0</v>
      </c>
      <c r="U491">
        <v>5</v>
      </c>
      <c r="V491">
        <v>7</v>
      </c>
      <c r="W491">
        <v>46</v>
      </c>
      <c r="X491">
        <v>243</v>
      </c>
      <c r="Y491">
        <v>7791</v>
      </c>
      <c r="Z491">
        <v>4028</v>
      </c>
      <c r="AA491">
        <v>2</v>
      </c>
      <c r="AB491" s="29">
        <v>44773</v>
      </c>
      <c r="AC491" s="29">
        <v>30898</v>
      </c>
      <c r="AD491" s="29">
        <v>42343</v>
      </c>
      <c r="AE491" s="29"/>
      <c r="AF491">
        <v>7</v>
      </c>
      <c r="AG491" t="s">
        <v>149</v>
      </c>
      <c r="AI491">
        <v>31</v>
      </c>
      <c r="AJ491">
        <v>2</v>
      </c>
      <c r="AK491" t="s">
        <v>150</v>
      </c>
      <c r="AL491" t="s">
        <v>77</v>
      </c>
      <c r="AM491">
        <f t="shared" si="35"/>
        <v>4</v>
      </c>
      <c r="AN491">
        <f t="shared" si="36"/>
        <v>12</v>
      </c>
      <c r="AO491" t="str">
        <f t="shared" si="37"/>
        <v/>
      </c>
      <c r="AP491" t="str">
        <f t="shared" si="38"/>
        <v/>
      </c>
      <c r="AQ491">
        <f t="shared" si="39"/>
        <v>2015</v>
      </c>
    </row>
    <row r="492" spans="1:43" x14ac:dyDescent="0.35">
      <c r="A492">
        <v>1619</v>
      </c>
      <c r="B492">
        <v>27</v>
      </c>
      <c r="C492" t="s">
        <v>148</v>
      </c>
      <c r="D492" t="s">
        <v>145</v>
      </c>
      <c r="E492" t="s">
        <v>4</v>
      </c>
      <c r="F492" t="s">
        <v>38</v>
      </c>
      <c r="G492" t="s">
        <v>44</v>
      </c>
      <c r="H492" t="s">
        <v>82</v>
      </c>
      <c r="I492" t="s">
        <v>42</v>
      </c>
      <c r="J492" t="s">
        <v>155</v>
      </c>
      <c r="K492" t="s">
        <v>41</v>
      </c>
      <c r="L492" t="s">
        <v>41</v>
      </c>
      <c r="M492" t="s">
        <v>49</v>
      </c>
      <c r="N492" t="s">
        <v>96</v>
      </c>
      <c r="O492" t="s">
        <v>156</v>
      </c>
      <c r="P492" t="s">
        <v>148</v>
      </c>
      <c r="Q492">
        <v>11</v>
      </c>
      <c r="R492">
        <v>1</v>
      </c>
      <c r="S492">
        <v>7</v>
      </c>
      <c r="T492">
        <v>0</v>
      </c>
      <c r="U492">
        <v>7</v>
      </c>
      <c r="V492">
        <v>19</v>
      </c>
      <c r="W492">
        <v>67</v>
      </c>
      <c r="X492">
        <v>1302</v>
      </c>
      <c r="Y492">
        <v>16290</v>
      </c>
      <c r="Z492">
        <v>4066</v>
      </c>
      <c r="AA492">
        <v>3</v>
      </c>
      <c r="AB492" s="29">
        <v>44773</v>
      </c>
      <c r="AC492" s="29">
        <v>34933</v>
      </c>
      <c r="AD492" s="29">
        <v>42381</v>
      </c>
      <c r="AE492" s="29"/>
      <c r="AF492">
        <v>7</v>
      </c>
      <c r="AG492" t="s">
        <v>157</v>
      </c>
      <c r="AI492">
        <v>20</v>
      </c>
      <c r="AJ492">
        <v>1</v>
      </c>
      <c r="AK492" t="s">
        <v>150</v>
      </c>
      <c r="AL492" t="s">
        <v>77</v>
      </c>
      <c r="AM492">
        <f t="shared" si="35"/>
        <v>1</v>
      </c>
      <c r="AN492">
        <f t="shared" si="36"/>
        <v>1</v>
      </c>
      <c r="AO492" t="str">
        <f t="shared" si="37"/>
        <v/>
      </c>
      <c r="AP492" t="str">
        <f t="shared" si="38"/>
        <v/>
      </c>
      <c r="AQ492">
        <f t="shared" si="39"/>
        <v>2016</v>
      </c>
    </row>
    <row r="493" spans="1:43" x14ac:dyDescent="0.35">
      <c r="A493">
        <v>764</v>
      </c>
      <c r="B493">
        <v>27</v>
      </c>
      <c r="C493" t="s">
        <v>148</v>
      </c>
      <c r="D493" t="s">
        <v>145</v>
      </c>
      <c r="E493" t="s">
        <v>4</v>
      </c>
      <c r="F493" t="s">
        <v>38</v>
      </c>
      <c r="G493" t="s">
        <v>44</v>
      </c>
      <c r="H493" t="s">
        <v>81</v>
      </c>
      <c r="I493" t="s">
        <v>42</v>
      </c>
      <c r="J493" t="s">
        <v>161</v>
      </c>
      <c r="K493" t="s">
        <v>41</v>
      </c>
      <c r="L493" t="s">
        <v>41</v>
      </c>
      <c r="M493" t="s">
        <v>47</v>
      </c>
      <c r="N493" t="s">
        <v>95</v>
      </c>
      <c r="P493" t="s">
        <v>148</v>
      </c>
      <c r="Q493">
        <v>19</v>
      </c>
      <c r="R493">
        <v>8</v>
      </c>
      <c r="S493">
        <v>9</v>
      </c>
      <c r="T493">
        <v>0</v>
      </c>
      <c r="U493">
        <v>4</v>
      </c>
      <c r="V493">
        <v>7</v>
      </c>
      <c r="W493">
        <v>55</v>
      </c>
      <c r="X493">
        <v>975</v>
      </c>
      <c r="Y493">
        <v>23398</v>
      </c>
      <c r="Z493">
        <v>6811</v>
      </c>
      <c r="AA493">
        <v>2</v>
      </c>
      <c r="AB493" s="29">
        <v>44773</v>
      </c>
      <c r="AC493" s="29">
        <v>35044</v>
      </c>
      <c r="AD493" s="29">
        <v>42487</v>
      </c>
      <c r="AE493" s="29"/>
      <c r="AF493">
        <v>6</v>
      </c>
      <c r="AG493" t="s">
        <v>157</v>
      </c>
      <c r="AI493">
        <v>21</v>
      </c>
      <c r="AJ493">
        <v>2</v>
      </c>
      <c r="AK493" t="s">
        <v>150</v>
      </c>
      <c r="AL493" t="s">
        <v>78</v>
      </c>
      <c r="AM493">
        <f t="shared" si="35"/>
        <v>2</v>
      </c>
      <c r="AN493">
        <f t="shared" si="36"/>
        <v>4</v>
      </c>
      <c r="AO493" t="str">
        <f t="shared" si="37"/>
        <v/>
      </c>
      <c r="AP493" t="str">
        <f t="shared" si="38"/>
        <v/>
      </c>
      <c r="AQ493">
        <f t="shared" si="39"/>
        <v>2016</v>
      </c>
    </row>
    <row r="494" spans="1:43" x14ac:dyDescent="0.35">
      <c r="A494">
        <v>1049</v>
      </c>
      <c r="B494">
        <v>45</v>
      </c>
      <c r="C494" t="s">
        <v>148</v>
      </c>
      <c r="D494" t="s">
        <v>145</v>
      </c>
      <c r="E494" t="s">
        <v>168</v>
      </c>
      <c r="F494" t="s">
        <v>37</v>
      </c>
      <c r="G494" t="s">
        <v>42</v>
      </c>
      <c r="H494" t="s">
        <v>82</v>
      </c>
      <c r="I494" t="s">
        <v>43</v>
      </c>
      <c r="J494" t="s">
        <v>168</v>
      </c>
      <c r="K494" t="s">
        <v>42</v>
      </c>
      <c r="L494" t="s">
        <v>48</v>
      </c>
      <c r="M494" t="s">
        <v>49</v>
      </c>
      <c r="N494" t="s">
        <v>95</v>
      </c>
      <c r="P494" t="s">
        <v>148</v>
      </c>
      <c r="Q494">
        <v>16</v>
      </c>
      <c r="R494">
        <v>1</v>
      </c>
      <c r="S494">
        <v>8</v>
      </c>
      <c r="T494">
        <v>0</v>
      </c>
      <c r="U494">
        <v>4</v>
      </c>
      <c r="V494">
        <v>24</v>
      </c>
      <c r="W494">
        <v>36</v>
      </c>
      <c r="X494">
        <v>788</v>
      </c>
      <c r="Y494">
        <v>8318</v>
      </c>
      <c r="Z494">
        <v>2177</v>
      </c>
      <c r="AA494">
        <v>3</v>
      </c>
      <c r="AB494" s="29">
        <v>44773</v>
      </c>
      <c r="AC494" s="29">
        <v>28499</v>
      </c>
      <c r="AD494" s="29">
        <v>42582</v>
      </c>
      <c r="AE494" s="29"/>
      <c r="AF494">
        <v>6</v>
      </c>
      <c r="AG494" t="s">
        <v>153</v>
      </c>
      <c r="AI494">
        <v>39</v>
      </c>
      <c r="AJ494">
        <v>2</v>
      </c>
      <c r="AK494" t="s">
        <v>150</v>
      </c>
      <c r="AL494" t="s">
        <v>77</v>
      </c>
      <c r="AM494">
        <f t="shared" si="35"/>
        <v>3</v>
      </c>
      <c r="AN494">
        <f t="shared" si="36"/>
        <v>7</v>
      </c>
      <c r="AO494" t="str">
        <f t="shared" si="37"/>
        <v/>
      </c>
      <c r="AP494" t="str">
        <f t="shared" si="38"/>
        <v/>
      </c>
      <c r="AQ494">
        <f t="shared" si="39"/>
        <v>2016</v>
      </c>
    </row>
    <row r="495" spans="1:43" x14ac:dyDescent="0.35">
      <c r="A495">
        <v>1599</v>
      </c>
      <c r="B495">
        <v>43</v>
      </c>
      <c r="C495" t="s">
        <v>148</v>
      </c>
      <c r="D495" t="s">
        <v>145</v>
      </c>
      <c r="E495" t="s">
        <v>4</v>
      </c>
      <c r="F495" t="s">
        <v>38</v>
      </c>
      <c r="G495" t="s">
        <v>44</v>
      </c>
      <c r="H495" t="s">
        <v>82</v>
      </c>
      <c r="I495" t="s">
        <v>44</v>
      </c>
      <c r="J495" t="s">
        <v>155</v>
      </c>
      <c r="K495" t="s">
        <v>42</v>
      </c>
      <c r="L495" t="s">
        <v>48</v>
      </c>
      <c r="M495" t="s">
        <v>49</v>
      </c>
      <c r="N495" t="s">
        <v>96</v>
      </c>
      <c r="O495" t="s">
        <v>41</v>
      </c>
      <c r="P495" t="s">
        <v>148</v>
      </c>
      <c r="Q495">
        <v>12</v>
      </c>
      <c r="R495">
        <v>5</v>
      </c>
      <c r="S495">
        <v>8</v>
      </c>
      <c r="T495">
        <v>0</v>
      </c>
      <c r="U495">
        <v>2</v>
      </c>
      <c r="V495">
        <v>27</v>
      </c>
      <c r="W495">
        <v>87</v>
      </c>
      <c r="X495">
        <v>990</v>
      </c>
      <c r="Y495">
        <v>5855</v>
      </c>
      <c r="Z495">
        <v>4876</v>
      </c>
      <c r="AA495">
        <v>0</v>
      </c>
      <c r="AB495" s="29">
        <v>44773</v>
      </c>
      <c r="AC495" s="29">
        <v>29090</v>
      </c>
      <c r="AD495" s="29">
        <v>42617</v>
      </c>
      <c r="AE495" s="29"/>
      <c r="AF495">
        <v>6</v>
      </c>
      <c r="AG495" t="s">
        <v>153</v>
      </c>
      <c r="AI495">
        <v>37</v>
      </c>
      <c r="AJ495">
        <v>1</v>
      </c>
      <c r="AK495" t="s">
        <v>150</v>
      </c>
      <c r="AL495" t="s">
        <v>78</v>
      </c>
      <c r="AM495">
        <f t="shared" si="35"/>
        <v>3</v>
      </c>
      <c r="AN495">
        <f t="shared" si="36"/>
        <v>9</v>
      </c>
      <c r="AO495" t="str">
        <f t="shared" si="37"/>
        <v/>
      </c>
      <c r="AP495" t="str">
        <f t="shared" si="38"/>
        <v/>
      </c>
      <c r="AQ495">
        <f t="shared" si="39"/>
        <v>2016</v>
      </c>
    </row>
    <row r="496" spans="1:43" x14ac:dyDescent="0.35">
      <c r="A496">
        <v>1084</v>
      </c>
      <c r="B496">
        <v>30</v>
      </c>
      <c r="C496" t="s">
        <v>148</v>
      </c>
      <c r="D496" t="s">
        <v>145</v>
      </c>
      <c r="E496" t="s">
        <v>4</v>
      </c>
      <c r="F496" t="s">
        <v>38</v>
      </c>
      <c r="G496" t="s">
        <v>43</v>
      </c>
      <c r="H496" t="s">
        <v>82</v>
      </c>
      <c r="I496" t="s">
        <v>43</v>
      </c>
      <c r="J496" t="s">
        <v>165</v>
      </c>
      <c r="K496" t="s">
        <v>41</v>
      </c>
      <c r="L496" t="s">
        <v>48</v>
      </c>
      <c r="M496" t="s">
        <v>48</v>
      </c>
      <c r="N496" t="s">
        <v>160</v>
      </c>
      <c r="O496" t="s">
        <v>41</v>
      </c>
      <c r="P496" t="s">
        <v>148</v>
      </c>
      <c r="Q496">
        <v>15</v>
      </c>
      <c r="R496">
        <v>0</v>
      </c>
      <c r="S496">
        <v>7</v>
      </c>
      <c r="T496">
        <v>0</v>
      </c>
      <c r="U496">
        <v>2</v>
      </c>
      <c r="V496">
        <v>20</v>
      </c>
      <c r="W496">
        <v>85</v>
      </c>
      <c r="X496">
        <v>1176</v>
      </c>
      <c r="Y496">
        <v>9096</v>
      </c>
      <c r="Z496">
        <v>9957</v>
      </c>
      <c r="AA496">
        <v>1</v>
      </c>
      <c r="AB496" s="29">
        <v>44773</v>
      </c>
      <c r="AC496" s="29">
        <v>33867</v>
      </c>
      <c r="AD496" s="29">
        <v>42652</v>
      </c>
      <c r="AE496" s="29"/>
      <c r="AF496">
        <v>6</v>
      </c>
      <c r="AG496" t="s">
        <v>149</v>
      </c>
      <c r="AI496">
        <v>24</v>
      </c>
      <c r="AJ496">
        <v>2</v>
      </c>
      <c r="AK496" t="s">
        <v>150</v>
      </c>
      <c r="AL496" t="s">
        <v>77</v>
      </c>
      <c r="AM496">
        <f t="shared" si="35"/>
        <v>4</v>
      </c>
      <c r="AN496">
        <f t="shared" si="36"/>
        <v>10</v>
      </c>
      <c r="AO496" t="str">
        <f t="shared" si="37"/>
        <v/>
      </c>
      <c r="AP496" t="str">
        <f t="shared" si="38"/>
        <v/>
      </c>
      <c r="AQ496">
        <f t="shared" si="39"/>
        <v>2016</v>
      </c>
    </row>
    <row r="497" spans="1:43" x14ac:dyDescent="0.35">
      <c r="A497">
        <v>1251</v>
      </c>
      <c r="B497">
        <v>31</v>
      </c>
      <c r="C497" t="s">
        <v>148</v>
      </c>
      <c r="D497" t="s">
        <v>145</v>
      </c>
      <c r="E497" t="s">
        <v>4</v>
      </c>
      <c r="F497" t="s">
        <v>36</v>
      </c>
      <c r="G497" t="s">
        <v>43</v>
      </c>
      <c r="H497" t="s">
        <v>82</v>
      </c>
      <c r="I497" t="s">
        <v>43</v>
      </c>
      <c r="J497" t="s">
        <v>161</v>
      </c>
      <c r="K497" t="s">
        <v>41</v>
      </c>
      <c r="L497" t="s">
        <v>48</v>
      </c>
      <c r="M497" t="s">
        <v>48</v>
      </c>
      <c r="N497" t="s">
        <v>160</v>
      </c>
      <c r="P497" t="s">
        <v>144</v>
      </c>
      <c r="Q497">
        <v>12</v>
      </c>
      <c r="R497">
        <v>1</v>
      </c>
      <c r="S497">
        <v>6</v>
      </c>
      <c r="T497">
        <v>0</v>
      </c>
      <c r="U497">
        <v>1</v>
      </c>
      <c r="V497">
        <v>11</v>
      </c>
      <c r="W497">
        <v>80</v>
      </c>
      <c r="X497">
        <v>1332</v>
      </c>
      <c r="Y497">
        <v>17089</v>
      </c>
      <c r="Z497">
        <v>6833</v>
      </c>
      <c r="AA497">
        <v>2</v>
      </c>
      <c r="AB497" s="29">
        <v>44773</v>
      </c>
      <c r="AC497" s="29">
        <v>33492</v>
      </c>
      <c r="AD497" s="29">
        <v>42660</v>
      </c>
      <c r="AE497" s="29"/>
      <c r="AF497">
        <v>6</v>
      </c>
      <c r="AG497" t="s">
        <v>149</v>
      </c>
      <c r="AI497">
        <v>25</v>
      </c>
      <c r="AJ497">
        <v>1</v>
      </c>
      <c r="AK497" t="s">
        <v>150</v>
      </c>
      <c r="AL497" t="s">
        <v>77</v>
      </c>
      <c r="AM497">
        <f t="shared" si="35"/>
        <v>4</v>
      </c>
      <c r="AN497">
        <f t="shared" si="36"/>
        <v>10</v>
      </c>
      <c r="AO497" t="str">
        <f t="shared" si="37"/>
        <v/>
      </c>
      <c r="AP497" t="str">
        <f t="shared" si="38"/>
        <v/>
      </c>
      <c r="AQ497">
        <f t="shared" si="39"/>
        <v>2016</v>
      </c>
    </row>
    <row r="498" spans="1:43" x14ac:dyDescent="0.35">
      <c r="A498">
        <v>2064</v>
      </c>
      <c r="B498">
        <v>27</v>
      </c>
      <c r="C498" t="s">
        <v>148</v>
      </c>
      <c r="D498" t="s">
        <v>145</v>
      </c>
      <c r="E498" t="s">
        <v>4</v>
      </c>
      <c r="F498" t="s">
        <v>38</v>
      </c>
      <c r="G498" t="s">
        <v>42</v>
      </c>
      <c r="H498" t="s">
        <v>82</v>
      </c>
      <c r="I498" t="s">
        <v>44</v>
      </c>
      <c r="J498" t="s">
        <v>165</v>
      </c>
      <c r="K498" t="s">
        <v>42</v>
      </c>
      <c r="L498" t="s">
        <v>152</v>
      </c>
      <c r="M498" t="s">
        <v>49</v>
      </c>
      <c r="N498" t="s">
        <v>160</v>
      </c>
      <c r="O498" t="s">
        <v>41</v>
      </c>
      <c r="P498" t="s">
        <v>144</v>
      </c>
      <c r="Q498">
        <v>20</v>
      </c>
      <c r="R498">
        <v>1</v>
      </c>
      <c r="S498">
        <v>6</v>
      </c>
      <c r="T498">
        <v>0</v>
      </c>
      <c r="U498">
        <v>3</v>
      </c>
      <c r="V498">
        <v>4</v>
      </c>
      <c r="W498">
        <v>87</v>
      </c>
      <c r="X498">
        <v>155</v>
      </c>
      <c r="Y498">
        <v>5174</v>
      </c>
      <c r="Z498">
        <v>6142</v>
      </c>
      <c r="AA498">
        <v>0</v>
      </c>
      <c r="AB498" s="29">
        <v>44773</v>
      </c>
      <c r="AC498" s="29">
        <v>34918</v>
      </c>
      <c r="AD498" s="29">
        <v>42675</v>
      </c>
      <c r="AE498" s="29"/>
      <c r="AF498">
        <v>6</v>
      </c>
      <c r="AG498" t="s">
        <v>157</v>
      </c>
      <c r="AI498">
        <v>21</v>
      </c>
      <c r="AJ498">
        <v>2</v>
      </c>
      <c r="AK498" t="s">
        <v>150</v>
      </c>
      <c r="AL498" t="s">
        <v>77</v>
      </c>
      <c r="AM498">
        <f t="shared" si="35"/>
        <v>4</v>
      </c>
      <c r="AN498">
        <f t="shared" si="36"/>
        <v>11</v>
      </c>
      <c r="AO498" t="str">
        <f t="shared" si="37"/>
        <v/>
      </c>
      <c r="AP498" t="str">
        <f t="shared" si="38"/>
        <v/>
      </c>
      <c r="AQ498">
        <f t="shared" si="39"/>
        <v>2016</v>
      </c>
    </row>
    <row r="499" spans="1:43" x14ac:dyDescent="0.35">
      <c r="A499">
        <v>949</v>
      </c>
      <c r="B499">
        <v>36</v>
      </c>
      <c r="C499" t="s">
        <v>148</v>
      </c>
      <c r="D499" t="s">
        <v>145</v>
      </c>
      <c r="E499" t="s">
        <v>4</v>
      </c>
      <c r="F499" t="s">
        <v>37</v>
      </c>
      <c r="G499" t="s">
        <v>42</v>
      </c>
      <c r="H499" t="s">
        <v>82</v>
      </c>
      <c r="I499" t="s">
        <v>43</v>
      </c>
      <c r="J499" t="s">
        <v>146</v>
      </c>
      <c r="K499" t="s">
        <v>44</v>
      </c>
      <c r="L499" t="s">
        <v>48</v>
      </c>
      <c r="M499" t="s">
        <v>49</v>
      </c>
      <c r="N499" t="s">
        <v>95</v>
      </c>
      <c r="P499" t="s">
        <v>148</v>
      </c>
      <c r="Q499">
        <v>18</v>
      </c>
      <c r="R499">
        <v>2</v>
      </c>
      <c r="S499">
        <v>8</v>
      </c>
      <c r="T499">
        <v>0</v>
      </c>
      <c r="U499">
        <v>1</v>
      </c>
      <c r="V499">
        <v>7</v>
      </c>
      <c r="W499">
        <v>65</v>
      </c>
      <c r="X499">
        <v>188</v>
      </c>
      <c r="Y499">
        <v>23293</v>
      </c>
      <c r="Z499">
        <v>4678</v>
      </c>
      <c r="AA499">
        <v>6</v>
      </c>
      <c r="AB499" s="29">
        <v>44773</v>
      </c>
      <c r="AC499" s="29">
        <v>31630</v>
      </c>
      <c r="AD499" s="29">
        <v>42726</v>
      </c>
      <c r="AE499" s="29"/>
      <c r="AF499">
        <v>6</v>
      </c>
      <c r="AG499" t="s">
        <v>149</v>
      </c>
      <c r="AI499">
        <v>30</v>
      </c>
      <c r="AJ499">
        <v>1</v>
      </c>
      <c r="AK499" t="s">
        <v>150</v>
      </c>
      <c r="AL499" t="s">
        <v>77</v>
      </c>
      <c r="AM499">
        <f t="shared" si="35"/>
        <v>4</v>
      </c>
      <c r="AN499">
        <f t="shared" si="36"/>
        <v>12</v>
      </c>
      <c r="AO499" t="str">
        <f t="shared" si="37"/>
        <v/>
      </c>
      <c r="AP499" t="str">
        <f t="shared" si="38"/>
        <v/>
      </c>
      <c r="AQ499">
        <f t="shared" si="39"/>
        <v>2016</v>
      </c>
    </row>
    <row r="500" spans="1:43" x14ac:dyDescent="0.35">
      <c r="A500">
        <v>895</v>
      </c>
      <c r="B500">
        <v>31</v>
      </c>
      <c r="C500" t="s">
        <v>148</v>
      </c>
      <c r="D500" t="s">
        <v>145</v>
      </c>
      <c r="E500" t="s">
        <v>4</v>
      </c>
      <c r="F500" t="s">
        <v>37</v>
      </c>
      <c r="G500" t="s">
        <v>44</v>
      </c>
      <c r="H500" t="s">
        <v>82</v>
      </c>
      <c r="I500" t="s">
        <v>43</v>
      </c>
      <c r="J500" t="s">
        <v>146</v>
      </c>
      <c r="K500" t="s">
        <v>44</v>
      </c>
      <c r="L500" t="s">
        <v>48</v>
      </c>
      <c r="M500" t="s">
        <v>49</v>
      </c>
      <c r="N500" t="s">
        <v>160</v>
      </c>
      <c r="O500" t="s">
        <v>41</v>
      </c>
      <c r="P500" t="s">
        <v>144</v>
      </c>
      <c r="Q500">
        <v>19</v>
      </c>
      <c r="R500">
        <v>3</v>
      </c>
      <c r="S500">
        <v>8</v>
      </c>
      <c r="T500">
        <v>0</v>
      </c>
      <c r="U500">
        <v>2</v>
      </c>
      <c r="V500">
        <v>11</v>
      </c>
      <c r="W500">
        <v>48</v>
      </c>
      <c r="X500">
        <v>1222</v>
      </c>
      <c r="Y500">
        <v>14871</v>
      </c>
      <c r="Z500">
        <v>2356</v>
      </c>
      <c r="AA500">
        <v>2</v>
      </c>
      <c r="AB500" s="29">
        <v>44773</v>
      </c>
      <c r="AC500" s="29">
        <v>33729</v>
      </c>
      <c r="AD500" s="29">
        <v>42817</v>
      </c>
      <c r="AE500" s="29"/>
      <c r="AF500">
        <v>5</v>
      </c>
      <c r="AG500" t="s">
        <v>149</v>
      </c>
      <c r="AI500">
        <v>26</v>
      </c>
      <c r="AJ500">
        <v>2</v>
      </c>
      <c r="AK500" t="s">
        <v>162</v>
      </c>
      <c r="AL500" t="s">
        <v>77</v>
      </c>
      <c r="AM500">
        <f t="shared" si="35"/>
        <v>1</v>
      </c>
      <c r="AN500">
        <f t="shared" si="36"/>
        <v>3</v>
      </c>
      <c r="AO500" t="str">
        <f t="shared" si="37"/>
        <v/>
      </c>
      <c r="AP500" t="str">
        <f t="shared" si="38"/>
        <v/>
      </c>
      <c r="AQ500">
        <f t="shared" si="39"/>
        <v>2017</v>
      </c>
    </row>
    <row r="501" spans="1:43" x14ac:dyDescent="0.35">
      <c r="A501">
        <v>1721</v>
      </c>
      <c r="B501">
        <v>31</v>
      </c>
      <c r="C501" t="s">
        <v>148</v>
      </c>
      <c r="D501" t="s">
        <v>145</v>
      </c>
      <c r="E501" t="s">
        <v>4</v>
      </c>
      <c r="F501" t="s">
        <v>37</v>
      </c>
      <c r="G501" t="s">
        <v>42</v>
      </c>
      <c r="H501" t="s">
        <v>82</v>
      </c>
      <c r="I501" t="s">
        <v>43</v>
      </c>
      <c r="J501" t="s">
        <v>155</v>
      </c>
      <c r="K501" t="s">
        <v>43</v>
      </c>
      <c r="L501" t="s">
        <v>41</v>
      </c>
      <c r="M501" t="s">
        <v>50</v>
      </c>
      <c r="N501" t="s">
        <v>160</v>
      </c>
      <c r="O501" t="s">
        <v>41</v>
      </c>
      <c r="P501" t="s">
        <v>148</v>
      </c>
      <c r="Q501">
        <v>14</v>
      </c>
      <c r="R501">
        <v>1</v>
      </c>
      <c r="S501">
        <v>6</v>
      </c>
      <c r="T501">
        <v>0</v>
      </c>
      <c r="U501">
        <v>3</v>
      </c>
      <c r="V501">
        <v>2</v>
      </c>
      <c r="W501">
        <v>69</v>
      </c>
      <c r="X501">
        <v>741</v>
      </c>
      <c r="Y501">
        <v>18103</v>
      </c>
      <c r="Z501">
        <v>3477</v>
      </c>
      <c r="AA501">
        <v>2</v>
      </c>
      <c r="AB501" s="29">
        <v>44773</v>
      </c>
      <c r="AC501" s="29">
        <v>33784</v>
      </c>
      <c r="AD501" s="29">
        <v>42996</v>
      </c>
      <c r="AE501" s="29"/>
      <c r="AF501">
        <v>5</v>
      </c>
      <c r="AG501" t="s">
        <v>149</v>
      </c>
      <c r="AI501">
        <v>26</v>
      </c>
      <c r="AJ501">
        <v>1</v>
      </c>
      <c r="AK501" t="s">
        <v>162</v>
      </c>
      <c r="AL501" t="s">
        <v>77</v>
      </c>
      <c r="AM501">
        <f t="shared" si="35"/>
        <v>3</v>
      </c>
      <c r="AN501">
        <f t="shared" si="36"/>
        <v>9</v>
      </c>
      <c r="AO501" t="str">
        <f t="shared" si="37"/>
        <v/>
      </c>
      <c r="AP501" t="str">
        <f t="shared" si="38"/>
        <v/>
      </c>
      <c r="AQ501">
        <f t="shared" si="39"/>
        <v>2017</v>
      </c>
    </row>
    <row r="502" spans="1:43" x14ac:dyDescent="0.35">
      <c r="A502">
        <v>1873</v>
      </c>
      <c r="B502">
        <v>55</v>
      </c>
      <c r="C502" t="s">
        <v>148</v>
      </c>
      <c r="D502" t="s">
        <v>145</v>
      </c>
      <c r="E502" t="s">
        <v>4</v>
      </c>
      <c r="F502" t="s">
        <v>37</v>
      </c>
      <c r="G502" t="s">
        <v>42</v>
      </c>
      <c r="H502" t="s">
        <v>82</v>
      </c>
      <c r="I502" t="s">
        <v>42</v>
      </c>
      <c r="J502" t="s">
        <v>146</v>
      </c>
      <c r="K502" t="s">
        <v>44</v>
      </c>
      <c r="L502" t="s">
        <v>152</v>
      </c>
      <c r="M502" t="s">
        <v>50</v>
      </c>
      <c r="N502" t="s">
        <v>160</v>
      </c>
      <c r="O502" t="s">
        <v>41</v>
      </c>
      <c r="P502" t="s">
        <v>148</v>
      </c>
      <c r="Q502">
        <v>20</v>
      </c>
      <c r="R502">
        <v>8</v>
      </c>
      <c r="S502">
        <v>19</v>
      </c>
      <c r="T502">
        <v>0</v>
      </c>
      <c r="U502">
        <v>4</v>
      </c>
      <c r="V502">
        <v>2</v>
      </c>
      <c r="W502">
        <v>98</v>
      </c>
      <c r="X502">
        <v>836</v>
      </c>
      <c r="Y502">
        <v>7975</v>
      </c>
      <c r="Z502">
        <v>2662</v>
      </c>
      <c r="AA502">
        <v>2</v>
      </c>
      <c r="AB502" s="29">
        <v>44773</v>
      </c>
      <c r="AC502" s="29">
        <v>24832</v>
      </c>
      <c r="AD502" s="29">
        <v>43000</v>
      </c>
      <c r="AE502" s="29"/>
      <c r="AF502">
        <v>5</v>
      </c>
      <c r="AG502" t="s">
        <v>167</v>
      </c>
      <c r="AI502">
        <v>50</v>
      </c>
      <c r="AJ502">
        <v>1</v>
      </c>
      <c r="AK502" t="s">
        <v>162</v>
      </c>
      <c r="AL502" t="s">
        <v>77</v>
      </c>
      <c r="AM502">
        <f t="shared" si="35"/>
        <v>3</v>
      </c>
      <c r="AN502">
        <f t="shared" si="36"/>
        <v>9</v>
      </c>
      <c r="AO502" t="str">
        <f t="shared" si="37"/>
        <v/>
      </c>
      <c r="AP502" t="str">
        <f t="shared" si="38"/>
        <v/>
      </c>
      <c r="AQ502">
        <f t="shared" si="39"/>
        <v>2017</v>
      </c>
    </row>
    <row r="503" spans="1:43" x14ac:dyDescent="0.35">
      <c r="A503">
        <v>1367</v>
      </c>
      <c r="B503">
        <v>51</v>
      </c>
      <c r="C503" t="s">
        <v>148</v>
      </c>
      <c r="D503" t="s">
        <v>145</v>
      </c>
      <c r="E503" t="s">
        <v>4</v>
      </c>
      <c r="F503" t="s">
        <v>36</v>
      </c>
      <c r="G503" t="s">
        <v>44</v>
      </c>
      <c r="H503" t="s">
        <v>81</v>
      </c>
      <c r="I503" t="s">
        <v>42</v>
      </c>
      <c r="J503" t="s">
        <v>165</v>
      </c>
      <c r="K503" t="s">
        <v>42</v>
      </c>
      <c r="L503" t="s">
        <v>41</v>
      </c>
      <c r="M503" t="s">
        <v>48</v>
      </c>
      <c r="N503" t="s">
        <v>95</v>
      </c>
      <c r="P503" t="s">
        <v>148</v>
      </c>
      <c r="Q503">
        <v>16</v>
      </c>
      <c r="R503">
        <v>3</v>
      </c>
      <c r="S503">
        <v>29</v>
      </c>
      <c r="T503">
        <v>0</v>
      </c>
      <c r="U503">
        <v>3</v>
      </c>
      <c r="V503">
        <v>11</v>
      </c>
      <c r="W503">
        <v>82</v>
      </c>
      <c r="X503">
        <v>1405</v>
      </c>
      <c r="Y503">
        <v>24439</v>
      </c>
      <c r="Z503">
        <v>13142</v>
      </c>
      <c r="AA503">
        <v>1</v>
      </c>
      <c r="AB503" s="29">
        <v>44773</v>
      </c>
      <c r="AC503" s="29">
        <v>26486</v>
      </c>
      <c r="AD503" s="29">
        <v>43021</v>
      </c>
      <c r="AE503" s="29"/>
      <c r="AF503">
        <v>5</v>
      </c>
      <c r="AG503" t="s">
        <v>167</v>
      </c>
      <c r="AI503">
        <v>46</v>
      </c>
      <c r="AJ503">
        <v>2</v>
      </c>
      <c r="AK503" t="s">
        <v>162</v>
      </c>
      <c r="AL503" t="s">
        <v>77</v>
      </c>
      <c r="AM503">
        <f t="shared" si="35"/>
        <v>4</v>
      </c>
      <c r="AN503">
        <f t="shared" si="36"/>
        <v>10</v>
      </c>
      <c r="AO503" t="str">
        <f t="shared" si="37"/>
        <v/>
      </c>
      <c r="AP503" t="str">
        <f t="shared" si="38"/>
        <v/>
      </c>
      <c r="AQ503">
        <f t="shared" si="39"/>
        <v>2017</v>
      </c>
    </row>
    <row r="504" spans="1:43" x14ac:dyDescent="0.35">
      <c r="A504">
        <v>1744</v>
      </c>
      <c r="B504">
        <v>45</v>
      </c>
      <c r="C504" t="s">
        <v>148</v>
      </c>
      <c r="D504" t="s">
        <v>145</v>
      </c>
      <c r="E504" t="s">
        <v>168</v>
      </c>
      <c r="F504" t="s">
        <v>38</v>
      </c>
      <c r="G504" t="s">
        <v>43</v>
      </c>
      <c r="H504" t="s">
        <v>81</v>
      </c>
      <c r="I504" t="s">
        <v>41</v>
      </c>
      <c r="J504" t="s">
        <v>168</v>
      </c>
      <c r="K504" t="s">
        <v>43</v>
      </c>
      <c r="L504" t="s">
        <v>152</v>
      </c>
      <c r="M504" t="s">
        <v>50</v>
      </c>
      <c r="N504" t="s">
        <v>160</v>
      </c>
      <c r="O504" t="s">
        <v>156</v>
      </c>
      <c r="P504" t="s">
        <v>148</v>
      </c>
      <c r="Q504">
        <v>21</v>
      </c>
      <c r="R504">
        <v>4</v>
      </c>
      <c r="S504">
        <v>9</v>
      </c>
      <c r="T504">
        <v>0</v>
      </c>
      <c r="U504">
        <v>3</v>
      </c>
      <c r="V504">
        <v>4</v>
      </c>
      <c r="W504">
        <v>56</v>
      </c>
      <c r="X504">
        <v>176</v>
      </c>
      <c r="Y504">
        <v>6595</v>
      </c>
      <c r="Z504">
        <v>9756</v>
      </c>
      <c r="AA504">
        <v>2</v>
      </c>
      <c r="AB504" s="29">
        <v>44773</v>
      </c>
      <c r="AC504" s="29">
        <v>28434</v>
      </c>
      <c r="AD504" s="29">
        <v>43022</v>
      </c>
      <c r="AE504" s="29"/>
      <c r="AF504">
        <v>5</v>
      </c>
      <c r="AG504" t="s">
        <v>153</v>
      </c>
      <c r="AI504">
        <v>40</v>
      </c>
      <c r="AJ504">
        <v>1</v>
      </c>
      <c r="AK504" t="s">
        <v>162</v>
      </c>
      <c r="AL504" t="s">
        <v>77</v>
      </c>
      <c r="AM504">
        <f t="shared" si="35"/>
        <v>4</v>
      </c>
      <c r="AN504">
        <f t="shared" si="36"/>
        <v>10</v>
      </c>
      <c r="AO504" t="str">
        <f t="shared" si="37"/>
        <v/>
      </c>
      <c r="AP504" t="str">
        <f t="shared" si="38"/>
        <v/>
      </c>
      <c r="AQ504">
        <f t="shared" si="39"/>
        <v>2017</v>
      </c>
    </row>
    <row r="505" spans="1:43" x14ac:dyDescent="0.35">
      <c r="A505">
        <v>862</v>
      </c>
      <c r="B505">
        <v>53</v>
      </c>
      <c r="C505" t="s">
        <v>148</v>
      </c>
      <c r="D505" t="s">
        <v>145</v>
      </c>
      <c r="E505" t="s">
        <v>158</v>
      </c>
      <c r="F505" t="s">
        <v>36</v>
      </c>
      <c r="G505" t="s">
        <v>41</v>
      </c>
      <c r="H505" t="s">
        <v>81</v>
      </c>
      <c r="I505" t="s">
        <v>42</v>
      </c>
      <c r="J505" t="s">
        <v>159</v>
      </c>
      <c r="K505" t="s">
        <v>44</v>
      </c>
      <c r="L505" t="s">
        <v>48</v>
      </c>
      <c r="M505" t="s">
        <v>49</v>
      </c>
      <c r="N505" t="s">
        <v>160</v>
      </c>
      <c r="O505" t="s">
        <v>41</v>
      </c>
      <c r="P505" t="s">
        <v>144</v>
      </c>
      <c r="Q505">
        <v>18</v>
      </c>
      <c r="R505">
        <v>7</v>
      </c>
      <c r="S505">
        <v>35</v>
      </c>
      <c r="T505">
        <v>0</v>
      </c>
      <c r="U505">
        <v>4</v>
      </c>
      <c r="V505">
        <v>7</v>
      </c>
      <c r="W505">
        <v>78</v>
      </c>
      <c r="X505">
        <v>661</v>
      </c>
      <c r="Y505">
        <v>20715</v>
      </c>
      <c r="Z505">
        <v>10934</v>
      </c>
      <c r="AA505">
        <v>3</v>
      </c>
      <c r="AB505" s="29">
        <v>44773</v>
      </c>
      <c r="AC505" s="29">
        <v>25644</v>
      </c>
      <c r="AD505" s="29">
        <v>43042</v>
      </c>
      <c r="AE505" s="29"/>
      <c r="AF505">
        <v>5</v>
      </c>
      <c r="AG505" t="s">
        <v>167</v>
      </c>
      <c r="AI505">
        <v>48</v>
      </c>
      <c r="AJ505">
        <v>1</v>
      </c>
      <c r="AK505" t="s">
        <v>162</v>
      </c>
      <c r="AL505" t="s">
        <v>77</v>
      </c>
      <c r="AM505">
        <f t="shared" si="35"/>
        <v>4</v>
      </c>
      <c r="AN505">
        <f t="shared" si="36"/>
        <v>11</v>
      </c>
      <c r="AO505" t="str">
        <f t="shared" si="37"/>
        <v/>
      </c>
      <c r="AP505" t="str">
        <f t="shared" si="38"/>
        <v/>
      </c>
      <c r="AQ505">
        <f t="shared" si="39"/>
        <v>2017</v>
      </c>
    </row>
    <row r="506" spans="1:43" x14ac:dyDescent="0.35">
      <c r="A506">
        <v>829</v>
      </c>
      <c r="B506">
        <v>36</v>
      </c>
      <c r="C506" t="s">
        <v>148</v>
      </c>
      <c r="D506" t="s">
        <v>145</v>
      </c>
      <c r="E506" t="s">
        <v>168</v>
      </c>
      <c r="F506" t="s">
        <v>38</v>
      </c>
      <c r="G506" t="s">
        <v>43</v>
      </c>
      <c r="H506" t="s">
        <v>82</v>
      </c>
      <c r="I506" t="s">
        <v>43</v>
      </c>
      <c r="J506" t="s">
        <v>168</v>
      </c>
      <c r="K506" t="s">
        <v>42</v>
      </c>
      <c r="L506" t="s">
        <v>48</v>
      </c>
      <c r="M506" t="s">
        <v>49</v>
      </c>
      <c r="N506" t="s">
        <v>160</v>
      </c>
      <c r="O506" t="s">
        <v>41</v>
      </c>
      <c r="P506" t="s">
        <v>148</v>
      </c>
      <c r="Q506">
        <v>13</v>
      </c>
      <c r="R506">
        <v>4</v>
      </c>
      <c r="S506">
        <v>8</v>
      </c>
      <c r="T506">
        <v>0</v>
      </c>
      <c r="U506">
        <v>4</v>
      </c>
      <c r="V506">
        <v>13</v>
      </c>
      <c r="W506">
        <v>36</v>
      </c>
      <c r="X506">
        <v>1041</v>
      </c>
      <c r="Y506">
        <v>25527</v>
      </c>
      <c r="Z506">
        <v>2143</v>
      </c>
      <c r="AA506">
        <v>2</v>
      </c>
      <c r="AB506" s="29">
        <v>44773</v>
      </c>
      <c r="AC506" s="29">
        <v>31759</v>
      </c>
      <c r="AD506" s="29">
        <v>43062</v>
      </c>
      <c r="AE506" s="29"/>
      <c r="AF506">
        <v>5</v>
      </c>
      <c r="AG506" t="s">
        <v>149</v>
      </c>
      <c r="AI506">
        <v>31</v>
      </c>
      <c r="AJ506">
        <v>1</v>
      </c>
      <c r="AK506" t="s">
        <v>162</v>
      </c>
      <c r="AL506" t="s">
        <v>77</v>
      </c>
      <c r="AM506">
        <f t="shared" si="35"/>
        <v>4</v>
      </c>
      <c r="AN506">
        <f t="shared" si="36"/>
        <v>11</v>
      </c>
      <c r="AO506" t="str">
        <f t="shared" si="37"/>
        <v/>
      </c>
      <c r="AP506" t="str">
        <f t="shared" si="38"/>
        <v/>
      </c>
      <c r="AQ506">
        <f t="shared" si="39"/>
        <v>2017</v>
      </c>
    </row>
    <row r="507" spans="1:43" x14ac:dyDescent="0.35">
      <c r="A507">
        <v>1664</v>
      </c>
      <c r="B507">
        <v>36</v>
      </c>
      <c r="C507" t="s">
        <v>148</v>
      </c>
      <c r="D507" t="s">
        <v>145</v>
      </c>
      <c r="E507" t="s">
        <v>4</v>
      </c>
      <c r="F507" t="s">
        <v>36</v>
      </c>
      <c r="G507" t="s">
        <v>44</v>
      </c>
      <c r="H507" t="s">
        <v>82</v>
      </c>
      <c r="I507" t="s">
        <v>44</v>
      </c>
      <c r="J507" t="s">
        <v>161</v>
      </c>
      <c r="K507" t="s">
        <v>41</v>
      </c>
      <c r="L507" t="s">
        <v>152</v>
      </c>
      <c r="M507" t="s">
        <v>49</v>
      </c>
      <c r="N507" t="s">
        <v>96</v>
      </c>
      <c r="O507" t="s">
        <v>41</v>
      </c>
      <c r="P507" t="s">
        <v>148</v>
      </c>
      <c r="Q507">
        <v>20</v>
      </c>
      <c r="R507">
        <v>6</v>
      </c>
      <c r="S507">
        <v>13</v>
      </c>
      <c r="T507">
        <v>0</v>
      </c>
      <c r="U507">
        <v>4</v>
      </c>
      <c r="V507">
        <v>3</v>
      </c>
      <c r="W507">
        <v>79</v>
      </c>
      <c r="X507">
        <v>1040</v>
      </c>
      <c r="Y507">
        <v>26308</v>
      </c>
      <c r="Z507">
        <v>6842</v>
      </c>
      <c r="AA507">
        <v>3</v>
      </c>
      <c r="AB507" s="29">
        <v>44773</v>
      </c>
      <c r="AC507" s="29">
        <v>31659</v>
      </c>
      <c r="AD507" s="29">
        <v>43093</v>
      </c>
      <c r="AE507" s="29"/>
      <c r="AF507">
        <v>5</v>
      </c>
      <c r="AG507" t="s">
        <v>149</v>
      </c>
      <c r="AI507">
        <v>31</v>
      </c>
      <c r="AJ507">
        <v>1</v>
      </c>
      <c r="AK507" t="s">
        <v>162</v>
      </c>
      <c r="AL507" t="s">
        <v>78</v>
      </c>
      <c r="AM507">
        <f t="shared" si="35"/>
        <v>4</v>
      </c>
      <c r="AN507">
        <f t="shared" si="36"/>
        <v>12</v>
      </c>
      <c r="AO507" t="str">
        <f t="shared" si="37"/>
        <v/>
      </c>
      <c r="AP507" t="str">
        <f t="shared" si="38"/>
        <v/>
      </c>
      <c r="AQ507">
        <f t="shared" si="39"/>
        <v>2017</v>
      </c>
    </row>
    <row r="508" spans="1:43" x14ac:dyDescent="0.35">
      <c r="A508">
        <v>240</v>
      </c>
      <c r="B508">
        <v>45</v>
      </c>
      <c r="C508" t="s">
        <v>148</v>
      </c>
      <c r="D508" t="s">
        <v>145</v>
      </c>
      <c r="E508" t="s">
        <v>158</v>
      </c>
      <c r="F508" t="s">
        <v>36</v>
      </c>
      <c r="G508" t="s">
        <v>43</v>
      </c>
      <c r="H508" t="s">
        <v>81</v>
      </c>
      <c r="I508" t="s">
        <v>43</v>
      </c>
      <c r="J508" t="s">
        <v>159</v>
      </c>
      <c r="K508" t="s">
        <v>41</v>
      </c>
      <c r="L508" t="s">
        <v>41</v>
      </c>
      <c r="M508" t="s">
        <v>50</v>
      </c>
      <c r="N508" t="s">
        <v>96</v>
      </c>
      <c r="O508" t="s">
        <v>41</v>
      </c>
      <c r="P508" t="s">
        <v>144</v>
      </c>
      <c r="Q508">
        <v>11</v>
      </c>
      <c r="R508">
        <v>4</v>
      </c>
      <c r="S508">
        <v>9</v>
      </c>
      <c r="T508">
        <v>0</v>
      </c>
      <c r="U508">
        <v>3</v>
      </c>
      <c r="V508">
        <v>4</v>
      </c>
      <c r="W508">
        <v>30</v>
      </c>
      <c r="X508">
        <v>1268</v>
      </c>
      <c r="Y508">
        <v>6319</v>
      </c>
      <c r="Z508">
        <v>5006</v>
      </c>
      <c r="AA508">
        <v>3</v>
      </c>
      <c r="AB508" s="29">
        <v>44773</v>
      </c>
      <c r="AC508" s="29">
        <v>28422</v>
      </c>
      <c r="AD508" s="29">
        <v>43099</v>
      </c>
      <c r="AE508" s="29"/>
      <c r="AF508">
        <v>5</v>
      </c>
      <c r="AG508" t="s">
        <v>153</v>
      </c>
      <c r="AI508">
        <v>40</v>
      </c>
      <c r="AJ508">
        <v>1</v>
      </c>
      <c r="AK508" t="s">
        <v>162</v>
      </c>
      <c r="AL508" t="s">
        <v>77</v>
      </c>
      <c r="AM508">
        <f t="shared" si="35"/>
        <v>4</v>
      </c>
      <c r="AN508">
        <f t="shared" si="36"/>
        <v>12</v>
      </c>
      <c r="AO508" t="str">
        <f t="shared" si="37"/>
        <v/>
      </c>
      <c r="AP508" t="str">
        <f t="shared" si="38"/>
        <v/>
      </c>
      <c r="AQ508">
        <f t="shared" si="39"/>
        <v>2017</v>
      </c>
    </row>
    <row r="509" spans="1:43" x14ac:dyDescent="0.35">
      <c r="A509">
        <v>486</v>
      </c>
      <c r="B509">
        <v>37</v>
      </c>
      <c r="C509" t="s">
        <v>148</v>
      </c>
      <c r="D509" t="s">
        <v>145</v>
      </c>
      <c r="E509" t="s">
        <v>4</v>
      </c>
      <c r="F509" t="s">
        <v>38</v>
      </c>
      <c r="G509" t="s">
        <v>43</v>
      </c>
      <c r="H509" t="s">
        <v>81</v>
      </c>
      <c r="I509" t="s">
        <v>43</v>
      </c>
      <c r="J509" t="s">
        <v>155</v>
      </c>
      <c r="K509" t="s">
        <v>41</v>
      </c>
      <c r="L509" t="s">
        <v>152</v>
      </c>
      <c r="M509" t="s">
        <v>49</v>
      </c>
      <c r="N509" t="s">
        <v>160</v>
      </c>
      <c r="O509" t="s">
        <v>41</v>
      </c>
      <c r="P509" t="s">
        <v>148</v>
      </c>
      <c r="Q509">
        <v>20</v>
      </c>
      <c r="R509">
        <v>6</v>
      </c>
      <c r="S509">
        <v>17</v>
      </c>
      <c r="T509">
        <v>0</v>
      </c>
      <c r="U509">
        <v>3</v>
      </c>
      <c r="V509">
        <v>10</v>
      </c>
      <c r="W509">
        <v>98</v>
      </c>
      <c r="X509">
        <v>921</v>
      </c>
      <c r="Y509">
        <v>17663</v>
      </c>
      <c r="Z509">
        <v>3452</v>
      </c>
      <c r="AA509">
        <v>3</v>
      </c>
      <c r="AB509" s="29">
        <v>44773</v>
      </c>
      <c r="AC509" s="29">
        <v>31333</v>
      </c>
      <c r="AD509" s="29">
        <v>43121</v>
      </c>
      <c r="AE509" s="29"/>
      <c r="AF509">
        <v>5</v>
      </c>
      <c r="AG509" t="s">
        <v>149</v>
      </c>
      <c r="AI509">
        <v>32</v>
      </c>
      <c r="AJ509">
        <v>1</v>
      </c>
      <c r="AK509" t="s">
        <v>162</v>
      </c>
      <c r="AL509" t="s">
        <v>77</v>
      </c>
      <c r="AM509">
        <f t="shared" si="35"/>
        <v>1</v>
      </c>
      <c r="AN509">
        <f t="shared" si="36"/>
        <v>1</v>
      </c>
      <c r="AO509" t="str">
        <f t="shared" si="37"/>
        <v/>
      </c>
      <c r="AP509" t="str">
        <f t="shared" si="38"/>
        <v/>
      </c>
      <c r="AQ509">
        <f t="shared" si="39"/>
        <v>2018</v>
      </c>
    </row>
    <row r="510" spans="1:43" x14ac:dyDescent="0.35">
      <c r="A510">
        <v>1409</v>
      </c>
      <c r="B510">
        <v>52</v>
      </c>
      <c r="C510" t="s">
        <v>148</v>
      </c>
      <c r="D510" t="s">
        <v>145</v>
      </c>
      <c r="E510" t="s">
        <v>4</v>
      </c>
      <c r="F510" t="s">
        <v>37</v>
      </c>
      <c r="G510" t="s">
        <v>43</v>
      </c>
      <c r="H510" t="s">
        <v>81</v>
      </c>
      <c r="I510" t="s">
        <v>43</v>
      </c>
      <c r="J510" t="s">
        <v>155</v>
      </c>
      <c r="K510" t="s">
        <v>41</v>
      </c>
      <c r="L510" t="s">
        <v>41</v>
      </c>
      <c r="M510" t="s">
        <v>47</v>
      </c>
      <c r="N510" t="s">
        <v>160</v>
      </c>
      <c r="P510" t="s">
        <v>148</v>
      </c>
      <c r="Q510">
        <v>13</v>
      </c>
      <c r="R510">
        <v>9</v>
      </c>
      <c r="S510">
        <v>12</v>
      </c>
      <c r="T510">
        <v>0</v>
      </c>
      <c r="U510">
        <v>4</v>
      </c>
      <c r="V510">
        <v>8</v>
      </c>
      <c r="W510">
        <v>54</v>
      </c>
      <c r="X510">
        <v>258</v>
      </c>
      <c r="Y510">
        <v>17363</v>
      </c>
      <c r="Z510">
        <v>2950</v>
      </c>
      <c r="AA510">
        <v>2</v>
      </c>
      <c r="AB510" s="29">
        <v>44773</v>
      </c>
      <c r="AC510" s="29">
        <v>25874</v>
      </c>
      <c r="AD510" s="29">
        <v>43146</v>
      </c>
      <c r="AE510" s="29"/>
      <c r="AF510">
        <v>4</v>
      </c>
      <c r="AG510" t="s">
        <v>167</v>
      </c>
      <c r="AI510">
        <v>48</v>
      </c>
      <c r="AJ510">
        <v>2</v>
      </c>
      <c r="AK510" t="s">
        <v>162</v>
      </c>
      <c r="AL510" t="s">
        <v>78</v>
      </c>
      <c r="AM510">
        <f t="shared" si="35"/>
        <v>1</v>
      </c>
      <c r="AN510">
        <f t="shared" si="36"/>
        <v>2</v>
      </c>
      <c r="AO510" t="str">
        <f t="shared" si="37"/>
        <v/>
      </c>
      <c r="AP510" t="str">
        <f t="shared" si="38"/>
        <v/>
      </c>
      <c r="AQ510">
        <f t="shared" si="39"/>
        <v>2018</v>
      </c>
    </row>
    <row r="511" spans="1:43" x14ac:dyDescent="0.35">
      <c r="A511">
        <v>2018</v>
      </c>
      <c r="B511">
        <v>25</v>
      </c>
      <c r="C511" t="s">
        <v>148</v>
      </c>
      <c r="D511" t="s">
        <v>145</v>
      </c>
      <c r="E511" t="s">
        <v>158</v>
      </c>
      <c r="F511" t="s">
        <v>36</v>
      </c>
      <c r="G511" t="s">
        <v>41</v>
      </c>
      <c r="H511" t="s">
        <v>81</v>
      </c>
      <c r="I511" t="s">
        <v>43</v>
      </c>
      <c r="J511" t="s">
        <v>159</v>
      </c>
      <c r="K511" t="s">
        <v>43</v>
      </c>
      <c r="L511" t="s">
        <v>152</v>
      </c>
      <c r="M511" t="s">
        <v>48</v>
      </c>
      <c r="N511" t="s">
        <v>96</v>
      </c>
      <c r="O511" t="s">
        <v>41</v>
      </c>
      <c r="P511" t="s">
        <v>144</v>
      </c>
      <c r="Q511">
        <v>22</v>
      </c>
      <c r="R511">
        <v>0</v>
      </c>
      <c r="S511">
        <v>6</v>
      </c>
      <c r="T511">
        <v>0</v>
      </c>
      <c r="U511">
        <v>4</v>
      </c>
      <c r="V511">
        <v>8</v>
      </c>
      <c r="W511">
        <v>85</v>
      </c>
      <c r="X511">
        <v>1382</v>
      </c>
      <c r="Y511">
        <v>13684</v>
      </c>
      <c r="Z511">
        <v>4907</v>
      </c>
      <c r="AA511">
        <v>3</v>
      </c>
      <c r="AB511" s="29">
        <v>44773</v>
      </c>
      <c r="AC511" s="29">
        <v>35827</v>
      </c>
      <c r="AD511" s="29">
        <v>43174</v>
      </c>
      <c r="AE511" s="29"/>
      <c r="AF511">
        <v>4</v>
      </c>
      <c r="AG511" t="s">
        <v>157</v>
      </c>
      <c r="AI511">
        <v>21</v>
      </c>
      <c r="AJ511">
        <v>1</v>
      </c>
      <c r="AK511" t="s">
        <v>162</v>
      </c>
      <c r="AL511" t="s">
        <v>77</v>
      </c>
      <c r="AM511">
        <f t="shared" si="35"/>
        <v>1</v>
      </c>
      <c r="AN511">
        <f t="shared" si="36"/>
        <v>3</v>
      </c>
      <c r="AO511" t="str">
        <f t="shared" si="37"/>
        <v/>
      </c>
      <c r="AP511" t="str">
        <f t="shared" si="38"/>
        <v/>
      </c>
      <c r="AQ511">
        <f t="shared" si="39"/>
        <v>2018</v>
      </c>
    </row>
    <row r="512" spans="1:43" x14ac:dyDescent="0.35">
      <c r="A512">
        <v>1387</v>
      </c>
      <c r="B512">
        <v>28</v>
      </c>
      <c r="C512" t="s">
        <v>148</v>
      </c>
      <c r="D512" t="s">
        <v>145</v>
      </c>
      <c r="E512" t="s">
        <v>158</v>
      </c>
      <c r="F512" t="s">
        <v>38</v>
      </c>
      <c r="G512" t="s">
        <v>43</v>
      </c>
      <c r="H512" t="s">
        <v>82</v>
      </c>
      <c r="I512" t="s">
        <v>42</v>
      </c>
      <c r="J512" t="s">
        <v>159</v>
      </c>
      <c r="K512" t="s">
        <v>41</v>
      </c>
      <c r="L512" t="s">
        <v>41</v>
      </c>
      <c r="M512" t="s">
        <v>49</v>
      </c>
      <c r="N512" t="s">
        <v>160</v>
      </c>
      <c r="O512" t="s">
        <v>41</v>
      </c>
      <c r="P512" t="s">
        <v>148</v>
      </c>
      <c r="Q512">
        <v>11</v>
      </c>
      <c r="R512">
        <v>1</v>
      </c>
      <c r="S512">
        <v>5</v>
      </c>
      <c r="T512">
        <v>0</v>
      </c>
      <c r="U512">
        <v>4</v>
      </c>
      <c r="V512">
        <v>26</v>
      </c>
      <c r="W512">
        <v>48</v>
      </c>
      <c r="X512">
        <v>736</v>
      </c>
      <c r="Y512">
        <v>24232</v>
      </c>
      <c r="Z512">
        <v>4724</v>
      </c>
      <c r="AA512">
        <v>0</v>
      </c>
      <c r="AB512" s="29">
        <v>44773</v>
      </c>
      <c r="AC512" s="29">
        <v>34851</v>
      </c>
      <c r="AD512" s="29">
        <v>43178</v>
      </c>
      <c r="AE512" s="29"/>
      <c r="AF512">
        <v>4</v>
      </c>
      <c r="AG512" t="s">
        <v>157</v>
      </c>
      <c r="AI512">
        <v>24</v>
      </c>
      <c r="AJ512">
        <v>2</v>
      </c>
      <c r="AK512" t="s">
        <v>162</v>
      </c>
      <c r="AL512" t="s">
        <v>77</v>
      </c>
      <c r="AM512">
        <f t="shared" si="35"/>
        <v>1</v>
      </c>
      <c r="AN512">
        <f t="shared" si="36"/>
        <v>3</v>
      </c>
      <c r="AO512" t="str">
        <f t="shared" si="37"/>
        <v/>
      </c>
      <c r="AP512" t="str">
        <f t="shared" si="38"/>
        <v/>
      </c>
      <c r="AQ512">
        <f t="shared" si="39"/>
        <v>2018</v>
      </c>
    </row>
    <row r="513" spans="1:43" x14ac:dyDescent="0.35">
      <c r="A513">
        <v>377</v>
      </c>
      <c r="B513">
        <v>28</v>
      </c>
      <c r="C513" t="s">
        <v>148</v>
      </c>
      <c r="D513" t="s">
        <v>145</v>
      </c>
      <c r="E513" t="s">
        <v>4</v>
      </c>
      <c r="F513" t="s">
        <v>38</v>
      </c>
      <c r="G513" t="s">
        <v>44</v>
      </c>
      <c r="H513" t="s">
        <v>82</v>
      </c>
      <c r="I513" t="s">
        <v>43</v>
      </c>
      <c r="J513" t="s">
        <v>146</v>
      </c>
      <c r="K513" t="s">
        <v>44</v>
      </c>
      <c r="L513" t="s">
        <v>152</v>
      </c>
      <c r="M513" t="s">
        <v>48</v>
      </c>
      <c r="N513" t="s">
        <v>160</v>
      </c>
      <c r="O513" t="s">
        <v>41</v>
      </c>
      <c r="P513" t="s">
        <v>148</v>
      </c>
      <c r="Q513">
        <v>23</v>
      </c>
      <c r="R513">
        <v>1</v>
      </c>
      <c r="S513">
        <v>5</v>
      </c>
      <c r="T513">
        <v>0</v>
      </c>
      <c r="U513">
        <v>4</v>
      </c>
      <c r="V513">
        <v>9</v>
      </c>
      <c r="W513">
        <v>94</v>
      </c>
      <c r="X513">
        <v>1158</v>
      </c>
      <c r="Y513">
        <v>2613</v>
      </c>
      <c r="Z513">
        <v>2070</v>
      </c>
      <c r="AA513">
        <v>3</v>
      </c>
      <c r="AB513" s="29">
        <v>44773</v>
      </c>
      <c r="AC513" s="29">
        <v>34697</v>
      </c>
      <c r="AD513" s="29">
        <v>43196</v>
      </c>
      <c r="AE513" s="29"/>
      <c r="AF513">
        <v>4</v>
      </c>
      <c r="AG513" t="s">
        <v>157</v>
      </c>
      <c r="AI513">
        <v>24</v>
      </c>
      <c r="AJ513">
        <v>1</v>
      </c>
      <c r="AK513" t="s">
        <v>162</v>
      </c>
      <c r="AL513" t="s">
        <v>77</v>
      </c>
      <c r="AM513">
        <f t="shared" si="35"/>
        <v>2</v>
      </c>
      <c r="AN513">
        <f t="shared" si="36"/>
        <v>4</v>
      </c>
      <c r="AO513" t="str">
        <f t="shared" si="37"/>
        <v/>
      </c>
      <c r="AP513" t="str">
        <f t="shared" si="38"/>
        <v/>
      </c>
      <c r="AQ513">
        <f t="shared" si="39"/>
        <v>2018</v>
      </c>
    </row>
    <row r="514" spans="1:43" x14ac:dyDescent="0.35">
      <c r="A514">
        <v>1546</v>
      </c>
      <c r="B514">
        <v>45</v>
      </c>
      <c r="C514" t="s">
        <v>148</v>
      </c>
      <c r="D514" t="s">
        <v>145</v>
      </c>
      <c r="E514" t="s">
        <v>4</v>
      </c>
      <c r="F514" t="s">
        <v>38</v>
      </c>
      <c r="G514" t="s">
        <v>44</v>
      </c>
      <c r="H514" t="s">
        <v>82</v>
      </c>
      <c r="I514" t="s">
        <v>43</v>
      </c>
      <c r="J514" t="s">
        <v>146</v>
      </c>
      <c r="K514" t="s">
        <v>44</v>
      </c>
      <c r="L514" t="s">
        <v>152</v>
      </c>
      <c r="M514" t="s">
        <v>49</v>
      </c>
      <c r="N514" t="s">
        <v>160</v>
      </c>
      <c r="O514" t="s">
        <v>41</v>
      </c>
      <c r="P514" t="s">
        <v>148</v>
      </c>
      <c r="Q514">
        <v>20</v>
      </c>
      <c r="R514">
        <v>4</v>
      </c>
      <c r="S514">
        <v>8</v>
      </c>
      <c r="T514">
        <v>0</v>
      </c>
      <c r="U514">
        <v>3</v>
      </c>
      <c r="V514">
        <v>28</v>
      </c>
      <c r="W514">
        <v>97</v>
      </c>
      <c r="X514">
        <v>950</v>
      </c>
      <c r="Y514">
        <v>4585</v>
      </c>
      <c r="Z514">
        <v>2132</v>
      </c>
      <c r="AA514">
        <v>3</v>
      </c>
      <c r="AB514" s="29">
        <v>44773</v>
      </c>
      <c r="AC514" s="29">
        <v>28541</v>
      </c>
      <c r="AD514" s="29">
        <v>43215</v>
      </c>
      <c r="AE514" s="29"/>
      <c r="AF514">
        <v>4</v>
      </c>
      <c r="AG514" t="s">
        <v>153</v>
      </c>
      <c r="AI514">
        <v>41</v>
      </c>
      <c r="AJ514">
        <v>2</v>
      </c>
      <c r="AK514" t="s">
        <v>162</v>
      </c>
      <c r="AL514" t="s">
        <v>77</v>
      </c>
      <c r="AM514">
        <f t="shared" ref="AM514:AM577" si="40">ROUNDUP(MONTH(AD514)/3,0)</f>
        <v>2</v>
      </c>
      <c r="AN514">
        <f t="shared" ref="AN514:AN577" si="41">MONTH(AD514)</f>
        <v>4</v>
      </c>
      <c r="AO514" t="str">
        <f t="shared" ref="AO514:AO577" si="42">IF(C514="Yes",ROUNDUP(MONTH(AE514)/3,0),"")</f>
        <v/>
      </c>
      <c r="AP514" t="str">
        <f t="shared" ref="AP514:AP577" si="43">IF(C514="Yes",MONTH(AE514),"")</f>
        <v/>
      </c>
      <c r="AQ514">
        <f t="shared" ref="AQ514:AQ577" si="44">YEAR(AD514)</f>
        <v>2018</v>
      </c>
    </row>
    <row r="515" spans="1:43" x14ac:dyDescent="0.35">
      <c r="A515">
        <v>878</v>
      </c>
      <c r="B515">
        <v>36</v>
      </c>
      <c r="C515" t="s">
        <v>148</v>
      </c>
      <c r="D515" t="s">
        <v>145</v>
      </c>
      <c r="E515" t="s">
        <v>168</v>
      </c>
      <c r="F515" t="s">
        <v>38</v>
      </c>
      <c r="G515" t="s">
        <v>41</v>
      </c>
      <c r="H515" t="s">
        <v>82</v>
      </c>
      <c r="I515" t="s">
        <v>42</v>
      </c>
      <c r="J515" t="s">
        <v>168</v>
      </c>
      <c r="K515" t="s">
        <v>41</v>
      </c>
      <c r="L515" t="s">
        <v>152</v>
      </c>
      <c r="M515" t="s">
        <v>49</v>
      </c>
      <c r="N515" t="s">
        <v>160</v>
      </c>
      <c r="P515" t="s">
        <v>148</v>
      </c>
      <c r="Q515">
        <v>21</v>
      </c>
      <c r="R515">
        <v>0</v>
      </c>
      <c r="S515">
        <v>6</v>
      </c>
      <c r="T515">
        <v>0</v>
      </c>
      <c r="U515">
        <v>3</v>
      </c>
      <c r="V515">
        <v>8</v>
      </c>
      <c r="W515">
        <v>77</v>
      </c>
      <c r="X515">
        <v>1278</v>
      </c>
      <c r="Y515">
        <v>8635</v>
      </c>
      <c r="Z515">
        <v>2342</v>
      </c>
      <c r="AA515">
        <v>3</v>
      </c>
      <c r="AB515" s="29">
        <v>44773</v>
      </c>
      <c r="AC515" s="29">
        <v>31769</v>
      </c>
      <c r="AD515" s="29">
        <v>43217</v>
      </c>
      <c r="AE515" s="29"/>
      <c r="AF515">
        <v>4</v>
      </c>
      <c r="AG515" t="s">
        <v>149</v>
      </c>
      <c r="AI515">
        <v>32</v>
      </c>
      <c r="AJ515">
        <v>1</v>
      </c>
      <c r="AK515" t="s">
        <v>162</v>
      </c>
      <c r="AL515" t="s">
        <v>78</v>
      </c>
      <c r="AM515">
        <f t="shared" si="40"/>
        <v>2</v>
      </c>
      <c r="AN515">
        <f t="shared" si="41"/>
        <v>4</v>
      </c>
      <c r="AO515" t="str">
        <f t="shared" si="42"/>
        <v/>
      </c>
      <c r="AP515" t="str">
        <f t="shared" si="43"/>
        <v/>
      </c>
      <c r="AQ515">
        <f t="shared" si="44"/>
        <v>2018</v>
      </c>
    </row>
    <row r="516" spans="1:43" x14ac:dyDescent="0.35">
      <c r="A516">
        <v>1772</v>
      </c>
      <c r="B516">
        <v>41</v>
      </c>
      <c r="C516" t="s">
        <v>148</v>
      </c>
      <c r="D516" t="s">
        <v>145</v>
      </c>
      <c r="E516" t="s">
        <v>4</v>
      </c>
      <c r="F516" t="s">
        <v>37</v>
      </c>
      <c r="G516" t="s">
        <v>43</v>
      </c>
      <c r="H516" t="s">
        <v>82</v>
      </c>
      <c r="I516" t="s">
        <v>43</v>
      </c>
      <c r="J516" t="s">
        <v>155</v>
      </c>
      <c r="K516" t="s">
        <v>41</v>
      </c>
      <c r="L516" t="s">
        <v>152</v>
      </c>
      <c r="M516" t="s">
        <v>49</v>
      </c>
      <c r="N516" t="s">
        <v>96</v>
      </c>
      <c r="O516" t="s">
        <v>156</v>
      </c>
      <c r="P516" t="s">
        <v>148</v>
      </c>
      <c r="Q516">
        <v>20</v>
      </c>
      <c r="R516">
        <v>1</v>
      </c>
      <c r="S516">
        <v>5</v>
      </c>
      <c r="T516">
        <v>0</v>
      </c>
      <c r="U516">
        <v>4</v>
      </c>
      <c r="V516">
        <v>9</v>
      </c>
      <c r="W516">
        <v>94</v>
      </c>
      <c r="X516">
        <v>548</v>
      </c>
      <c r="Y516">
        <v>20520</v>
      </c>
      <c r="Z516">
        <v>2289</v>
      </c>
      <c r="AA516">
        <v>2</v>
      </c>
      <c r="AB516" s="29">
        <v>44773</v>
      </c>
      <c r="AC516" s="29">
        <v>30108</v>
      </c>
      <c r="AD516" s="29">
        <v>43224</v>
      </c>
      <c r="AE516" s="29"/>
      <c r="AF516">
        <v>4</v>
      </c>
      <c r="AG516" t="s">
        <v>153</v>
      </c>
      <c r="AI516">
        <v>37</v>
      </c>
      <c r="AJ516">
        <v>1</v>
      </c>
      <c r="AK516" t="s">
        <v>162</v>
      </c>
      <c r="AL516" t="s">
        <v>77</v>
      </c>
      <c r="AM516">
        <f t="shared" si="40"/>
        <v>2</v>
      </c>
      <c r="AN516">
        <f t="shared" si="41"/>
        <v>5</v>
      </c>
      <c r="AO516" t="str">
        <f t="shared" si="42"/>
        <v/>
      </c>
      <c r="AP516" t="str">
        <f t="shared" si="43"/>
        <v/>
      </c>
      <c r="AQ516">
        <f t="shared" si="44"/>
        <v>2018</v>
      </c>
    </row>
    <row r="517" spans="1:43" x14ac:dyDescent="0.35">
      <c r="A517">
        <v>1768</v>
      </c>
      <c r="B517">
        <v>42</v>
      </c>
      <c r="C517" t="s">
        <v>148</v>
      </c>
      <c r="D517" t="s">
        <v>145</v>
      </c>
      <c r="E517" t="s">
        <v>4</v>
      </c>
      <c r="F517" t="s">
        <v>38</v>
      </c>
      <c r="G517" t="s">
        <v>42</v>
      </c>
      <c r="H517" t="s">
        <v>82</v>
      </c>
      <c r="I517" t="s">
        <v>43</v>
      </c>
      <c r="J517" t="s">
        <v>155</v>
      </c>
      <c r="K517" t="s">
        <v>42</v>
      </c>
      <c r="L517" t="s">
        <v>152</v>
      </c>
      <c r="M517" t="s">
        <v>48</v>
      </c>
      <c r="N517" t="s">
        <v>96</v>
      </c>
      <c r="O517" t="s">
        <v>43</v>
      </c>
      <c r="P517" t="s">
        <v>148</v>
      </c>
      <c r="Q517">
        <v>22</v>
      </c>
      <c r="R517">
        <v>8</v>
      </c>
      <c r="S517">
        <v>7</v>
      </c>
      <c r="T517">
        <v>0</v>
      </c>
      <c r="U517">
        <v>4</v>
      </c>
      <c r="V517">
        <v>12</v>
      </c>
      <c r="W517">
        <v>57</v>
      </c>
      <c r="X517">
        <v>855</v>
      </c>
      <c r="Y517">
        <v>8952</v>
      </c>
      <c r="Z517">
        <v>2766</v>
      </c>
      <c r="AA517">
        <v>6</v>
      </c>
      <c r="AB517" s="29">
        <v>44773</v>
      </c>
      <c r="AC517" s="29">
        <v>29591</v>
      </c>
      <c r="AD517" s="29">
        <v>43227</v>
      </c>
      <c r="AE517" s="29"/>
      <c r="AF517">
        <v>4</v>
      </c>
      <c r="AG517" t="s">
        <v>153</v>
      </c>
      <c r="AI517">
        <v>38</v>
      </c>
      <c r="AJ517">
        <v>1</v>
      </c>
      <c r="AK517" t="s">
        <v>162</v>
      </c>
      <c r="AL517" t="s">
        <v>77</v>
      </c>
      <c r="AM517">
        <f t="shared" si="40"/>
        <v>2</v>
      </c>
      <c r="AN517">
        <f t="shared" si="41"/>
        <v>5</v>
      </c>
      <c r="AO517" t="str">
        <f t="shared" si="42"/>
        <v/>
      </c>
      <c r="AP517" t="str">
        <f t="shared" si="43"/>
        <v/>
      </c>
      <c r="AQ517">
        <f t="shared" si="44"/>
        <v>2018</v>
      </c>
    </row>
    <row r="518" spans="1:43" x14ac:dyDescent="0.35">
      <c r="A518">
        <v>94</v>
      </c>
      <c r="B518">
        <v>29</v>
      </c>
      <c r="C518" t="s">
        <v>148</v>
      </c>
      <c r="D518" t="s">
        <v>145</v>
      </c>
      <c r="E518" t="s">
        <v>4</v>
      </c>
      <c r="F518" t="s">
        <v>38</v>
      </c>
      <c r="G518" t="s">
        <v>43</v>
      </c>
      <c r="H518" t="s">
        <v>82</v>
      </c>
      <c r="I518" t="s">
        <v>43</v>
      </c>
      <c r="J518" t="s">
        <v>146</v>
      </c>
      <c r="K518" t="s">
        <v>42</v>
      </c>
      <c r="L518" t="s">
        <v>152</v>
      </c>
      <c r="M518" t="s">
        <v>49</v>
      </c>
      <c r="N518" t="s">
        <v>160</v>
      </c>
      <c r="O518" t="s">
        <v>41</v>
      </c>
      <c r="P518" t="s">
        <v>148</v>
      </c>
      <c r="Q518">
        <v>23</v>
      </c>
      <c r="R518">
        <v>0</v>
      </c>
      <c r="S518">
        <v>6</v>
      </c>
      <c r="T518">
        <v>0</v>
      </c>
      <c r="U518">
        <v>4</v>
      </c>
      <c r="V518">
        <v>2</v>
      </c>
      <c r="W518">
        <v>76</v>
      </c>
      <c r="X518">
        <v>1328</v>
      </c>
      <c r="Y518">
        <v>4956</v>
      </c>
      <c r="Z518">
        <v>2703</v>
      </c>
      <c r="AA518">
        <v>3</v>
      </c>
      <c r="AB518" s="29">
        <v>44773</v>
      </c>
      <c r="AC518" s="29">
        <v>34266</v>
      </c>
      <c r="AD518" s="29">
        <v>43234</v>
      </c>
      <c r="AE518" s="29"/>
      <c r="AF518">
        <v>4</v>
      </c>
      <c r="AG518" t="s">
        <v>157</v>
      </c>
      <c r="AI518">
        <v>25</v>
      </c>
      <c r="AJ518">
        <v>1</v>
      </c>
      <c r="AK518" t="s">
        <v>162</v>
      </c>
      <c r="AL518" t="s">
        <v>77</v>
      </c>
      <c r="AM518">
        <f t="shared" si="40"/>
        <v>2</v>
      </c>
      <c r="AN518">
        <f t="shared" si="41"/>
        <v>5</v>
      </c>
      <c r="AO518" t="str">
        <f t="shared" si="42"/>
        <v/>
      </c>
      <c r="AP518" t="str">
        <f t="shared" si="43"/>
        <v/>
      </c>
      <c r="AQ518">
        <f t="shared" si="44"/>
        <v>2018</v>
      </c>
    </row>
    <row r="519" spans="1:43" x14ac:dyDescent="0.35">
      <c r="A519">
        <v>395</v>
      </c>
      <c r="B519">
        <v>28</v>
      </c>
      <c r="C519" t="s">
        <v>148</v>
      </c>
      <c r="D519" t="s">
        <v>145</v>
      </c>
      <c r="E519" t="s">
        <v>4</v>
      </c>
      <c r="F519" t="s">
        <v>36</v>
      </c>
      <c r="G519" t="s">
        <v>44</v>
      </c>
      <c r="H519" t="s">
        <v>81</v>
      </c>
      <c r="I519" t="s">
        <v>43</v>
      </c>
      <c r="J519" t="s">
        <v>146</v>
      </c>
      <c r="K519" t="s">
        <v>44</v>
      </c>
      <c r="L519" t="s">
        <v>152</v>
      </c>
      <c r="M519" t="s">
        <v>49</v>
      </c>
      <c r="N519" t="s">
        <v>95</v>
      </c>
      <c r="P519" t="s">
        <v>148</v>
      </c>
      <c r="Q519">
        <v>21</v>
      </c>
      <c r="R519">
        <v>1</v>
      </c>
      <c r="S519">
        <v>5</v>
      </c>
      <c r="T519">
        <v>0</v>
      </c>
      <c r="U519">
        <v>2</v>
      </c>
      <c r="V519">
        <v>8</v>
      </c>
      <c r="W519">
        <v>66</v>
      </c>
      <c r="X519">
        <v>1117</v>
      </c>
      <c r="Y519">
        <v>4488</v>
      </c>
      <c r="Z519">
        <v>3310</v>
      </c>
      <c r="AA519">
        <v>3</v>
      </c>
      <c r="AB519" s="29">
        <v>44773</v>
      </c>
      <c r="AC519" s="29">
        <v>34712</v>
      </c>
      <c r="AD519" s="29">
        <v>43237</v>
      </c>
      <c r="AE519" s="29"/>
      <c r="AF519">
        <v>4</v>
      </c>
      <c r="AG519" t="s">
        <v>157</v>
      </c>
      <c r="AI519">
        <v>24</v>
      </c>
      <c r="AJ519">
        <v>1</v>
      </c>
      <c r="AK519" t="s">
        <v>162</v>
      </c>
      <c r="AL519" t="s">
        <v>77</v>
      </c>
      <c r="AM519">
        <f t="shared" si="40"/>
        <v>2</v>
      </c>
      <c r="AN519">
        <f t="shared" si="41"/>
        <v>5</v>
      </c>
      <c r="AO519" t="str">
        <f t="shared" si="42"/>
        <v/>
      </c>
      <c r="AP519" t="str">
        <f t="shared" si="43"/>
        <v/>
      </c>
      <c r="AQ519">
        <f t="shared" si="44"/>
        <v>2018</v>
      </c>
    </row>
    <row r="520" spans="1:43" x14ac:dyDescent="0.35">
      <c r="A520">
        <v>613</v>
      </c>
      <c r="B520">
        <v>31</v>
      </c>
      <c r="C520" t="s">
        <v>148</v>
      </c>
      <c r="D520" t="s">
        <v>145</v>
      </c>
      <c r="E520" t="s">
        <v>158</v>
      </c>
      <c r="F520" t="s">
        <v>38</v>
      </c>
      <c r="G520" t="s">
        <v>43</v>
      </c>
      <c r="H520" t="s">
        <v>82</v>
      </c>
      <c r="I520" t="s">
        <v>42</v>
      </c>
      <c r="J520" t="s">
        <v>169</v>
      </c>
      <c r="K520" t="s">
        <v>44</v>
      </c>
      <c r="L520" t="s">
        <v>152</v>
      </c>
      <c r="M520" t="s">
        <v>48</v>
      </c>
      <c r="N520" t="s">
        <v>96</v>
      </c>
      <c r="O520" t="s">
        <v>41</v>
      </c>
      <c r="P520" t="s">
        <v>148</v>
      </c>
      <c r="Q520">
        <v>21</v>
      </c>
      <c r="R520">
        <v>9</v>
      </c>
      <c r="S520">
        <v>10</v>
      </c>
      <c r="T520">
        <v>0</v>
      </c>
      <c r="U520">
        <v>1</v>
      </c>
      <c r="V520">
        <v>7</v>
      </c>
      <c r="W520">
        <v>44</v>
      </c>
      <c r="X520">
        <v>688</v>
      </c>
      <c r="Y520">
        <v>25291</v>
      </c>
      <c r="Z520">
        <v>11557</v>
      </c>
      <c r="AA520">
        <v>3</v>
      </c>
      <c r="AB520" s="29">
        <v>44773</v>
      </c>
      <c r="AC520" s="29">
        <v>33477</v>
      </c>
      <c r="AD520" s="29">
        <v>43249</v>
      </c>
      <c r="AE520" s="29"/>
      <c r="AF520">
        <v>4</v>
      </c>
      <c r="AG520" t="s">
        <v>149</v>
      </c>
      <c r="AI520">
        <v>27</v>
      </c>
      <c r="AJ520">
        <v>1</v>
      </c>
      <c r="AK520" t="s">
        <v>162</v>
      </c>
      <c r="AL520" t="s">
        <v>77</v>
      </c>
      <c r="AM520">
        <f t="shared" si="40"/>
        <v>2</v>
      </c>
      <c r="AN520">
        <f t="shared" si="41"/>
        <v>5</v>
      </c>
      <c r="AO520" t="str">
        <f t="shared" si="42"/>
        <v/>
      </c>
      <c r="AP520" t="str">
        <f t="shared" si="43"/>
        <v/>
      </c>
      <c r="AQ520">
        <f t="shared" si="44"/>
        <v>2018</v>
      </c>
    </row>
    <row r="521" spans="1:43" x14ac:dyDescent="0.35">
      <c r="A521">
        <v>1885</v>
      </c>
      <c r="B521">
        <v>37</v>
      </c>
      <c r="C521" t="s">
        <v>148</v>
      </c>
      <c r="D521" t="s">
        <v>145</v>
      </c>
      <c r="E521" t="s">
        <v>4</v>
      </c>
      <c r="F521" t="s">
        <v>37</v>
      </c>
      <c r="G521" t="s">
        <v>44</v>
      </c>
      <c r="H521" t="s">
        <v>82</v>
      </c>
      <c r="I521" t="s">
        <v>43</v>
      </c>
      <c r="J521" t="s">
        <v>146</v>
      </c>
      <c r="K521" t="s">
        <v>41</v>
      </c>
      <c r="L521" t="s">
        <v>152</v>
      </c>
      <c r="M521" t="s">
        <v>49</v>
      </c>
      <c r="N521" t="s">
        <v>160</v>
      </c>
      <c r="O521" t="s">
        <v>41</v>
      </c>
      <c r="P521" t="s">
        <v>144</v>
      </c>
      <c r="Q521">
        <v>22</v>
      </c>
      <c r="R521">
        <v>5</v>
      </c>
      <c r="S521">
        <v>16</v>
      </c>
      <c r="T521">
        <v>0</v>
      </c>
      <c r="U521">
        <v>4</v>
      </c>
      <c r="V521">
        <v>7</v>
      </c>
      <c r="W521">
        <v>78</v>
      </c>
      <c r="X521">
        <v>783</v>
      </c>
      <c r="Y521">
        <v>13588</v>
      </c>
      <c r="Z521">
        <v>4284</v>
      </c>
      <c r="AA521">
        <v>2</v>
      </c>
      <c r="AB521" s="29">
        <v>44773</v>
      </c>
      <c r="AC521" s="29">
        <v>31560</v>
      </c>
      <c r="AD521" s="29">
        <v>43271</v>
      </c>
      <c r="AE521" s="29"/>
      <c r="AF521">
        <v>4</v>
      </c>
      <c r="AG521" t="s">
        <v>149</v>
      </c>
      <c r="AI521">
        <v>33</v>
      </c>
      <c r="AJ521">
        <v>2</v>
      </c>
      <c r="AK521" t="s">
        <v>162</v>
      </c>
      <c r="AL521" t="s">
        <v>77</v>
      </c>
      <c r="AM521">
        <f t="shared" si="40"/>
        <v>2</v>
      </c>
      <c r="AN521">
        <f t="shared" si="41"/>
        <v>6</v>
      </c>
      <c r="AO521" t="str">
        <f t="shared" si="42"/>
        <v/>
      </c>
      <c r="AP521" t="str">
        <f t="shared" si="43"/>
        <v/>
      </c>
      <c r="AQ521">
        <f t="shared" si="44"/>
        <v>2018</v>
      </c>
    </row>
    <row r="522" spans="1:43" x14ac:dyDescent="0.35">
      <c r="A522">
        <v>548</v>
      </c>
      <c r="B522">
        <v>30</v>
      </c>
      <c r="C522" t="s">
        <v>148</v>
      </c>
      <c r="D522" t="s">
        <v>145</v>
      </c>
      <c r="E522" t="s">
        <v>4</v>
      </c>
      <c r="F522" t="s">
        <v>38</v>
      </c>
      <c r="G522" t="s">
        <v>43</v>
      </c>
      <c r="H522" t="s">
        <v>81</v>
      </c>
      <c r="I522" t="s">
        <v>41</v>
      </c>
      <c r="J522" t="s">
        <v>165</v>
      </c>
      <c r="K522" t="s">
        <v>44</v>
      </c>
      <c r="L522" t="s">
        <v>152</v>
      </c>
      <c r="M522" t="s">
        <v>49</v>
      </c>
      <c r="N522" t="s">
        <v>95</v>
      </c>
      <c r="P522" t="s">
        <v>148</v>
      </c>
      <c r="Q522">
        <v>20</v>
      </c>
      <c r="R522">
        <v>2</v>
      </c>
      <c r="S522">
        <v>11</v>
      </c>
      <c r="T522">
        <v>0</v>
      </c>
      <c r="U522">
        <v>2</v>
      </c>
      <c r="V522">
        <v>2</v>
      </c>
      <c r="W522">
        <v>43</v>
      </c>
      <c r="X522">
        <v>317</v>
      </c>
      <c r="Y522">
        <v>24793</v>
      </c>
      <c r="Z522">
        <v>6091</v>
      </c>
      <c r="AA522">
        <v>2</v>
      </c>
      <c r="AB522" s="29">
        <v>44773</v>
      </c>
      <c r="AC522" s="29">
        <v>33917</v>
      </c>
      <c r="AD522" s="29">
        <v>43285</v>
      </c>
      <c r="AE522" s="29"/>
      <c r="AF522">
        <v>4</v>
      </c>
      <c r="AG522" t="s">
        <v>149</v>
      </c>
      <c r="AI522">
        <v>26</v>
      </c>
      <c r="AJ522">
        <v>1</v>
      </c>
      <c r="AK522" t="s">
        <v>162</v>
      </c>
      <c r="AL522" t="s">
        <v>77</v>
      </c>
      <c r="AM522">
        <f t="shared" si="40"/>
        <v>3</v>
      </c>
      <c r="AN522">
        <f t="shared" si="41"/>
        <v>7</v>
      </c>
      <c r="AO522" t="str">
        <f t="shared" si="42"/>
        <v/>
      </c>
      <c r="AP522" t="str">
        <f t="shared" si="43"/>
        <v/>
      </c>
      <c r="AQ522">
        <f t="shared" si="44"/>
        <v>2018</v>
      </c>
    </row>
    <row r="523" spans="1:43" x14ac:dyDescent="0.35">
      <c r="A523">
        <v>246</v>
      </c>
      <c r="B523">
        <v>31</v>
      </c>
      <c r="C523" t="s">
        <v>148</v>
      </c>
      <c r="D523" t="s">
        <v>145</v>
      </c>
      <c r="E523" t="s">
        <v>4</v>
      </c>
      <c r="F523" t="s">
        <v>35</v>
      </c>
      <c r="G523" t="s">
        <v>43</v>
      </c>
      <c r="H523" t="s">
        <v>81</v>
      </c>
      <c r="I523" t="s">
        <v>43</v>
      </c>
      <c r="J523" t="s">
        <v>146</v>
      </c>
      <c r="K523" t="s">
        <v>44</v>
      </c>
      <c r="L523" t="s">
        <v>152</v>
      </c>
      <c r="M523" t="s">
        <v>49</v>
      </c>
      <c r="N523" t="s">
        <v>160</v>
      </c>
      <c r="O523" t="s">
        <v>41</v>
      </c>
      <c r="P523" t="s">
        <v>144</v>
      </c>
      <c r="Q523">
        <v>23</v>
      </c>
      <c r="R523">
        <v>8</v>
      </c>
      <c r="S523">
        <v>7</v>
      </c>
      <c r="T523">
        <v>0</v>
      </c>
      <c r="U523">
        <v>2</v>
      </c>
      <c r="V523">
        <v>12</v>
      </c>
      <c r="W523">
        <v>95</v>
      </c>
      <c r="X523">
        <v>140</v>
      </c>
      <c r="Y523">
        <v>6984</v>
      </c>
      <c r="Z523">
        <v>3929</v>
      </c>
      <c r="AA523">
        <v>0</v>
      </c>
      <c r="AB523" s="29">
        <v>44773</v>
      </c>
      <c r="AC523" s="29">
        <v>33793</v>
      </c>
      <c r="AD523" s="29">
        <v>43380</v>
      </c>
      <c r="AE523" s="29"/>
      <c r="AF523">
        <v>4</v>
      </c>
      <c r="AG523" t="s">
        <v>149</v>
      </c>
      <c r="AI523">
        <v>27</v>
      </c>
      <c r="AJ523">
        <v>1</v>
      </c>
      <c r="AK523" t="s">
        <v>162</v>
      </c>
      <c r="AL523" t="s">
        <v>77</v>
      </c>
      <c r="AM523">
        <f t="shared" si="40"/>
        <v>4</v>
      </c>
      <c r="AN523">
        <f t="shared" si="41"/>
        <v>10</v>
      </c>
      <c r="AO523" t="str">
        <f t="shared" si="42"/>
        <v/>
      </c>
      <c r="AP523" t="str">
        <f t="shared" si="43"/>
        <v/>
      </c>
      <c r="AQ523">
        <f t="shared" si="44"/>
        <v>2018</v>
      </c>
    </row>
    <row r="524" spans="1:43" x14ac:dyDescent="0.35">
      <c r="A524">
        <v>116</v>
      </c>
      <c r="B524">
        <v>51</v>
      </c>
      <c r="C524" t="s">
        <v>148</v>
      </c>
      <c r="D524" t="s">
        <v>145</v>
      </c>
      <c r="E524" t="s">
        <v>4</v>
      </c>
      <c r="F524" t="s">
        <v>37</v>
      </c>
      <c r="G524" t="s">
        <v>44</v>
      </c>
      <c r="H524" t="s">
        <v>82</v>
      </c>
      <c r="I524" t="s">
        <v>43</v>
      </c>
      <c r="J524" t="s">
        <v>155</v>
      </c>
      <c r="K524" t="s">
        <v>44</v>
      </c>
      <c r="L524" t="s">
        <v>152</v>
      </c>
      <c r="M524" t="s">
        <v>49</v>
      </c>
      <c r="N524" t="s">
        <v>160</v>
      </c>
      <c r="O524" t="s">
        <v>156</v>
      </c>
      <c r="P524" t="s">
        <v>148</v>
      </c>
      <c r="Q524">
        <v>23</v>
      </c>
      <c r="R524">
        <v>3</v>
      </c>
      <c r="S524">
        <v>10</v>
      </c>
      <c r="T524">
        <v>0</v>
      </c>
      <c r="U524">
        <v>3</v>
      </c>
      <c r="V524">
        <v>9</v>
      </c>
      <c r="W524">
        <v>96</v>
      </c>
      <c r="X524">
        <v>432</v>
      </c>
      <c r="Y524">
        <v>18725</v>
      </c>
      <c r="Z524">
        <v>2075</v>
      </c>
      <c r="AA524">
        <v>4</v>
      </c>
      <c r="AB524" s="29">
        <v>44773</v>
      </c>
      <c r="AC524" s="29">
        <v>26164</v>
      </c>
      <c r="AD524" s="29">
        <v>43497</v>
      </c>
      <c r="AE524" s="29"/>
      <c r="AF524">
        <v>3</v>
      </c>
      <c r="AG524" t="s">
        <v>167</v>
      </c>
      <c r="AI524">
        <v>48</v>
      </c>
      <c r="AJ524">
        <v>1</v>
      </c>
      <c r="AK524" t="s">
        <v>170</v>
      </c>
      <c r="AL524" t="s">
        <v>77</v>
      </c>
      <c r="AM524">
        <f t="shared" si="40"/>
        <v>1</v>
      </c>
      <c r="AN524">
        <f t="shared" si="41"/>
        <v>2</v>
      </c>
      <c r="AO524" t="str">
        <f t="shared" si="42"/>
        <v/>
      </c>
      <c r="AP524" t="str">
        <f t="shared" si="43"/>
        <v/>
      </c>
      <c r="AQ524">
        <f t="shared" si="44"/>
        <v>2019</v>
      </c>
    </row>
    <row r="525" spans="1:43" x14ac:dyDescent="0.35">
      <c r="A525">
        <v>1631</v>
      </c>
      <c r="B525">
        <v>37</v>
      </c>
      <c r="C525" t="s">
        <v>148</v>
      </c>
      <c r="D525" t="s">
        <v>145</v>
      </c>
      <c r="E525" t="s">
        <v>4</v>
      </c>
      <c r="F525" t="s">
        <v>38</v>
      </c>
      <c r="G525" t="s">
        <v>43</v>
      </c>
      <c r="H525" t="s">
        <v>82</v>
      </c>
      <c r="I525" t="s">
        <v>43</v>
      </c>
      <c r="J525" t="s">
        <v>165</v>
      </c>
      <c r="K525" t="s">
        <v>43</v>
      </c>
      <c r="L525" t="s">
        <v>41</v>
      </c>
      <c r="M525" t="s">
        <v>48</v>
      </c>
      <c r="N525" t="s">
        <v>160</v>
      </c>
      <c r="O525" t="s">
        <v>43</v>
      </c>
      <c r="P525" t="s">
        <v>148</v>
      </c>
      <c r="Q525">
        <v>17</v>
      </c>
      <c r="R525">
        <v>3</v>
      </c>
      <c r="S525">
        <v>9</v>
      </c>
      <c r="T525">
        <v>0</v>
      </c>
      <c r="U525">
        <v>2</v>
      </c>
      <c r="V525">
        <v>19</v>
      </c>
      <c r="W525">
        <v>85</v>
      </c>
      <c r="X525">
        <v>671</v>
      </c>
      <c r="Y525">
        <v>26493</v>
      </c>
      <c r="Z525">
        <v>5768</v>
      </c>
      <c r="AA525">
        <v>2</v>
      </c>
      <c r="AB525" s="29">
        <v>44773</v>
      </c>
      <c r="AC525" s="29">
        <v>31551</v>
      </c>
      <c r="AD525" s="29">
        <v>43505</v>
      </c>
      <c r="AE525" s="29"/>
      <c r="AF525">
        <v>3</v>
      </c>
      <c r="AG525" t="s">
        <v>149</v>
      </c>
      <c r="AI525">
        <v>34</v>
      </c>
      <c r="AJ525">
        <v>1</v>
      </c>
      <c r="AK525" t="s">
        <v>170</v>
      </c>
      <c r="AL525" t="s">
        <v>77</v>
      </c>
      <c r="AM525">
        <f t="shared" si="40"/>
        <v>1</v>
      </c>
      <c r="AN525">
        <f t="shared" si="41"/>
        <v>2</v>
      </c>
      <c r="AO525" t="str">
        <f t="shared" si="42"/>
        <v/>
      </c>
      <c r="AP525" t="str">
        <f t="shared" si="43"/>
        <v/>
      </c>
      <c r="AQ525">
        <f t="shared" si="44"/>
        <v>2019</v>
      </c>
    </row>
    <row r="526" spans="1:43" x14ac:dyDescent="0.35">
      <c r="A526">
        <v>453</v>
      </c>
      <c r="B526">
        <v>40</v>
      </c>
      <c r="C526" t="s">
        <v>148</v>
      </c>
      <c r="D526" t="s">
        <v>145</v>
      </c>
      <c r="E526" t="s">
        <v>158</v>
      </c>
      <c r="F526" t="s">
        <v>36</v>
      </c>
      <c r="G526" t="s">
        <v>42</v>
      </c>
      <c r="H526" t="s">
        <v>82</v>
      </c>
      <c r="I526" t="s">
        <v>41</v>
      </c>
      <c r="J526" t="s">
        <v>159</v>
      </c>
      <c r="K526" t="s">
        <v>44</v>
      </c>
      <c r="L526" t="s">
        <v>152</v>
      </c>
      <c r="M526" t="s">
        <v>48</v>
      </c>
      <c r="N526" t="s">
        <v>160</v>
      </c>
      <c r="O526" t="s">
        <v>43</v>
      </c>
      <c r="P526" t="s">
        <v>144</v>
      </c>
      <c r="Q526">
        <v>22</v>
      </c>
      <c r="R526">
        <v>2</v>
      </c>
      <c r="S526">
        <v>6</v>
      </c>
      <c r="T526">
        <v>0</v>
      </c>
      <c r="U526">
        <v>2</v>
      </c>
      <c r="V526">
        <v>1</v>
      </c>
      <c r="W526">
        <v>57</v>
      </c>
      <c r="X526">
        <v>1124</v>
      </c>
      <c r="Y526">
        <v>13273</v>
      </c>
      <c r="Z526">
        <v>7457</v>
      </c>
      <c r="AA526">
        <v>2</v>
      </c>
      <c r="AB526" s="29">
        <v>44773</v>
      </c>
      <c r="AC526" s="29">
        <v>30227</v>
      </c>
      <c r="AD526" s="29">
        <v>43536</v>
      </c>
      <c r="AE526" s="29"/>
      <c r="AF526">
        <v>3</v>
      </c>
      <c r="AG526" t="s">
        <v>153</v>
      </c>
      <c r="AI526">
        <v>37</v>
      </c>
      <c r="AJ526">
        <v>1</v>
      </c>
      <c r="AK526" t="s">
        <v>170</v>
      </c>
      <c r="AL526" t="s">
        <v>77</v>
      </c>
      <c r="AM526">
        <f t="shared" si="40"/>
        <v>1</v>
      </c>
      <c r="AN526">
        <f t="shared" si="41"/>
        <v>3</v>
      </c>
      <c r="AO526" t="str">
        <f t="shared" si="42"/>
        <v/>
      </c>
      <c r="AP526" t="str">
        <f t="shared" si="43"/>
        <v/>
      </c>
      <c r="AQ526">
        <f t="shared" si="44"/>
        <v>2019</v>
      </c>
    </row>
    <row r="527" spans="1:43" x14ac:dyDescent="0.35">
      <c r="A527">
        <v>103</v>
      </c>
      <c r="B527">
        <v>46</v>
      </c>
      <c r="C527" t="s">
        <v>148</v>
      </c>
      <c r="D527" t="s">
        <v>145</v>
      </c>
      <c r="E527" t="s">
        <v>168</v>
      </c>
      <c r="F527" t="s">
        <v>36</v>
      </c>
      <c r="G527" t="s">
        <v>42</v>
      </c>
      <c r="H527" t="s">
        <v>82</v>
      </c>
      <c r="I527" t="s">
        <v>43</v>
      </c>
      <c r="J527" t="s">
        <v>168</v>
      </c>
      <c r="K527" t="s">
        <v>42</v>
      </c>
      <c r="L527" t="s">
        <v>152</v>
      </c>
      <c r="M527" t="s">
        <v>49</v>
      </c>
      <c r="N527" t="s">
        <v>96</v>
      </c>
      <c r="O527" t="s">
        <v>41</v>
      </c>
      <c r="P527" t="s">
        <v>144</v>
      </c>
      <c r="Q527">
        <v>22</v>
      </c>
      <c r="R527">
        <v>8</v>
      </c>
      <c r="S527">
        <v>16</v>
      </c>
      <c r="T527">
        <v>0</v>
      </c>
      <c r="U527">
        <v>2</v>
      </c>
      <c r="V527">
        <v>5</v>
      </c>
      <c r="W527">
        <v>80</v>
      </c>
      <c r="X527">
        <v>945</v>
      </c>
      <c r="Y527">
        <v>10425</v>
      </c>
      <c r="Z527">
        <v>5021</v>
      </c>
      <c r="AA527">
        <v>2</v>
      </c>
      <c r="AB527" s="29">
        <v>44773</v>
      </c>
      <c r="AC527" s="29">
        <v>28161</v>
      </c>
      <c r="AD527" s="29">
        <v>43607</v>
      </c>
      <c r="AE527" s="29"/>
      <c r="AF527">
        <v>3</v>
      </c>
      <c r="AG527" t="s">
        <v>153</v>
      </c>
      <c r="AI527">
        <v>43</v>
      </c>
      <c r="AJ527">
        <v>1</v>
      </c>
      <c r="AK527" t="s">
        <v>170</v>
      </c>
      <c r="AL527" t="s">
        <v>78</v>
      </c>
      <c r="AM527">
        <f t="shared" si="40"/>
        <v>2</v>
      </c>
      <c r="AN527">
        <f t="shared" si="41"/>
        <v>5</v>
      </c>
      <c r="AO527" t="str">
        <f t="shared" si="42"/>
        <v/>
      </c>
      <c r="AP527" t="str">
        <f t="shared" si="43"/>
        <v/>
      </c>
      <c r="AQ527">
        <f t="shared" si="44"/>
        <v>2019</v>
      </c>
    </row>
    <row r="528" spans="1:43" x14ac:dyDescent="0.35">
      <c r="A528">
        <v>1361</v>
      </c>
      <c r="B528">
        <v>40</v>
      </c>
      <c r="C528" t="s">
        <v>148</v>
      </c>
      <c r="D528" t="s">
        <v>145</v>
      </c>
      <c r="E528" t="s">
        <v>4</v>
      </c>
      <c r="F528" t="s">
        <v>37</v>
      </c>
      <c r="G528" t="s">
        <v>42</v>
      </c>
      <c r="H528" t="s">
        <v>82</v>
      </c>
      <c r="I528" t="s">
        <v>43</v>
      </c>
      <c r="J528" t="s">
        <v>155</v>
      </c>
      <c r="K528" t="s">
        <v>42</v>
      </c>
      <c r="L528" t="s">
        <v>152</v>
      </c>
      <c r="M528" t="s">
        <v>49</v>
      </c>
      <c r="N528" t="s">
        <v>160</v>
      </c>
      <c r="O528" t="s">
        <v>41</v>
      </c>
      <c r="P528" t="s">
        <v>148</v>
      </c>
      <c r="Q528">
        <v>22</v>
      </c>
      <c r="R528">
        <v>3</v>
      </c>
      <c r="S528">
        <v>7</v>
      </c>
      <c r="T528">
        <v>0</v>
      </c>
      <c r="U528">
        <v>3</v>
      </c>
      <c r="V528">
        <v>1</v>
      </c>
      <c r="W528">
        <v>88</v>
      </c>
      <c r="X528">
        <v>329</v>
      </c>
      <c r="Y528">
        <v>6762</v>
      </c>
      <c r="Z528">
        <v>2387</v>
      </c>
      <c r="AA528">
        <v>3</v>
      </c>
      <c r="AB528" s="29">
        <v>44773</v>
      </c>
      <c r="AC528" s="29">
        <v>30309</v>
      </c>
      <c r="AD528" s="29">
        <v>43625</v>
      </c>
      <c r="AE528" s="29"/>
      <c r="AF528">
        <v>3</v>
      </c>
      <c r="AG528" t="s">
        <v>153</v>
      </c>
      <c r="AI528">
        <v>37</v>
      </c>
      <c r="AJ528">
        <v>1</v>
      </c>
      <c r="AK528" t="s">
        <v>170</v>
      </c>
      <c r="AL528" t="s">
        <v>77</v>
      </c>
      <c r="AM528">
        <f t="shared" si="40"/>
        <v>2</v>
      </c>
      <c r="AN528">
        <f t="shared" si="41"/>
        <v>6</v>
      </c>
      <c r="AO528" t="str">
        <f t="shared" si="42"/>
        <v/>
      </c>
      <c r="AP528" t="str">
        <f t="shared" si="43"/>
        <v/>
      </c>
      <c r="AQ528">
        <f t="shared" si="44"/>
        <v>2019</v>
      </c>
    </row>
    <row r="529" spans="1:43" x14ac:dyDescent="0.35">
      <c r="A529">
        <v>1062</v>
      </c>
      <c r="B529">
        <v>37</v>
      </c>
      <c r="C529" t="s">
        <v>148</v>
      </c>
      <c r="D529" t="s">
        <v>145</v>
      </c>
      <c r="E529" t="s">
        <v>4</v>
      </c>
      <c r="F529" t="s">
        <v>38</v>
      </c>
      <c r="G529" t="s">
        <v>44</v>
      </c>
      <c r="H529" t="s">
        <v>81</v>
      </c>
      <c r="I529" t="s">
        <v>43</v>
      </c>
      <c r="J529" t="s">
        <v>161</v>
      </c>
      <c r="K529" t="s">
        <v>42</v>
      </c>
      <c r="L529" t="s">
        <v>48</v>
      </c>
      <c r="M529" t="s">
        <v>48</v>
      </c>
      <c r="N529" t="s">
        <v>95</v>
      </c>
      <c r="P529" t="s">
        <v>148</v>
      </c>
      <c r="Q529">
        <v>15</v>
      </c>
      <c r="R529">
        <v>3</v>
      </c>
      <c r="S529">
        <v>8</v>
      </c>
      <c r="T529">
        <v>0</v>
      </c>
      <c r="U529">
        <v>1</v>
      </c>
      <c r="V529">
        <v>3</v>
      </c>
      <c r="W529">
        <v>35</v>
      </c>
      <c r="X529">
        <v>124</v>
      </c>
      <c r="Y529">
        <v>13848</v>
      </c>
      <c r="Z529">
        <v>4107</v>
      </c>
      <c r="AA529">
        <v>3</v>
      </c>
      <c r="AB529" s="29">
        <v>44773</v>
      </c>
      <c r="AC529" s="29">
        <v>31615</v>
      </c>
      <c r="AD529" s="29">
        <v>43651</v>
      </c>
      <c r="AE529" s="29"/>
      <c r="AF529">
        <v>3</v>
      </c>
      <c r="AG529" t="s">
        <v>149</v>
      </c>
      <c r="AI529">
        <v>34</v>
      </c>
      <c r="AJ529">
        <v>2</v>
      </c>
      <c r="AK529" t="s">
        <v>170</v>
      </c>
      <c r="AL529" t="s">
        <v>78</v>
      </c>
      <c r="AM529">
        <f t="shared" si="40"/>
        <v>3</v>
      </c>
      <c r="AN529">
        <f t="shared" si="41"/>
        <v>7</v>
      </c>
      <c r="AO529" t="str">
        <f t="shared" si="42"/>
        <v/>
      </c>
      <c r="AP529" t="str">
        <f t="shared" si="43"/>
        <v/>
      </c>
      <c r="AQ529">
        <f t="shared" si="44"/>
        <v>2019</v>
      </c>
    </row>
    <row r="530" spans="1:43" x14ac:dyDescent="0.35">
      <c r="A530">
        <v>1802</v>
      </c>
      <c r="B530">
        <v>40</v>
      </c>
      <c r="C530" t="s">
        <v>148</v>
      </c>
      <c r="D530" t="s">
        <v>145</v>
      </c>
      <c r="E530" t="s">
        <v>4</v>
      </c>
      <c r="F530" t="s">
        <v>36</v>
      </c>
      <c r="G530" t="s">
        <v>43</v>
      </c>
      <c r="H530" t="s">
        <v>81</v>
      </c>
      <c r="I530" t="s">
        <v>43</v>
      </c>
      <c r="J530" t="s">
        <v>155</v>
      </c>
      <c r="K530" t="s">
        <v>41</v>
      </c>
      <c r="L530" t="s">
        <v>41</v>
      </c>
      <c r="M530" t="s">
        <v>48</v>
      </c>
      <c r="N530" t="s">
        <v>160</v>
      </c>
      <c r="O530" t="s">
        <v>41</v>
      </c>
      <c r="P530" t="s">
        <v>148</v>
      </c>
      <c r="Q530">
        <v>17</v>
      </c>
      <c r="R530">
        <v>4</v>
      </c>
      <c r="S530">
        <v>7</v>
      </c>
      <c r="T530">
        <v>0</v>
      </c>
      <c r="U530">
        <v>2</v>
      </c>
      <c r="V530">
        <v>2</v>
      </c>
      <c r="W530">
        <v>99</v>
      </c>
      <c r="X530">
        <v>616</v>
      </c>
      <c r="Y530">
        <v>25605</v>
      </c>
      <c r="Z530">
        <v>3377</v>
      </c>
      <c r="AA530">
        <v>5</v>
      </c>
      <c r="AB530" s="29">
        <v>44773</v>
      </c>
      <c r="AC530" s="29">
        <v>30245</v>
      </c>
      <c r="AD530" s="29">
        <v>43654</v>
      </c>
      <c r="AE530" s="29"/>
      <c r="AF530">
        <v>3</v>
      </c>
      <c r="AG530" t="s">
        <v>153</v>
      </c>
      <c r="AI530">
        <v>37</v>
      </c>
      <c r="AJ530">
        <v>1</v>
      </c>
      <c r="AK530" t="s">
        <v>170</v>
      </c>
      <c r="AL530" t="s">
        <v>77</v>
      </c>
      <c r="AM530">
        <f t="shared" si="40"/>
        <v>3</v>
      </c>
      <c r="AN530">
        <f t="shared" si="41"/>
        <v>7</v>
      </c>
      <c r="AO530" t="str">
        <f t="shared" si="42"/>
        <v/>
      </c>
      <c r="AP530" t="str">
        <f t="shared" si="43"/>
        <v/>
      </c>
      <c r="AQ530">
        <f t="shared" si="44"/>
        <v>2019</v>
      </c>
    </row>
    <row r="531" spans="1:43" x14ac:dyDescent="0.35">
      <c r="A531">
        <v>1835</v>
      </c>
      <c r="B531">
        <v>38</v>
      </c>
      <c r="C531" t="s">
        <v>148</v>
      </c>
      <c r="D531" t="s">
        <v>145</v>
      </c>
      <c r="E531" t="s">
        <v>158</v>
      </c>
      <c r="F531" t="s">
        <v>37</v>
      </c>
      <c r="G531" t="s">
        <v>42</v>
      </c>
      <c r="H531" t="s">
        <v>81</v>
      </c>
      <c r="I531" t="s">
        <v>41</v>
      </c>
      <c r="J531" t="s">
        <v>166</v>
      </c>
      <c r="K531" t="s">
        <v>44</v>
      </c>
      <c r="L531" t="s">
        <v>152</v>
      </c>
      <c r="M531" t="s">
        <v>48</v>
      </c>
      <c r="N531" t="s">
        <v>160</v>
      </c>
      <c r="O531" t="s">
        <v>156</v>
      </c>
      <c r="P531" t="s">
        <v>144</v>
      </c>
      <c r="Q531">
        <v>20</v>
      </c>
      <c r="R531">
        <v>2</v>
      </c>
      <c r="S531">
        <v>20</v>
      </c>
      <c r="T531">
        <v>0</v>
      </c>
      <c r="U531">
        <v>3</v>
      </c>
      <c r="V531">
        <v>2</v>
      </c>
      <c r="W531">
        <v>77</v>
      </c>
      <c r="X531">
        <v>723</v>
      </c>
      <c r="Y531">
        <v>4244</v>
      </c>
      <c r="Z531">
        <v>5405</v>
      </c>
      <c r="AA531">
        <v>4</v>
      </c>
      <c r="AB531" s="29">
        <v>44773</v>
      </c>
      <c r="AC531" s="29">
        <v>31103</v>
      </c>
      <c r="AD531" s="29">
        <v>43655</v>
      </c>
      <c r="AE531" s="29"/>
      <c r="AF531">
        <v>3</v>
      </c>
      <c r="AG531" t="s">
        <v>149</v>
      </c>
      <c r="AI531">
        <v>35</v>
      </c>
      <c r="AJ531">
        <v>1</v>
      </c>
      <c r="AK531" t="s">
        <v>170</v>
      </c>
      <c r="AL531" t="s">
        <v>77</v>
      </c>
      <c r="AM531">
        <f t="shared" si="40"/>
        <v>3</v>
      </c>
      <c r="AN531">
        <f t="shared" si="41"/>
        <v>7</v>
      </c>
      <c r="AO531" t="str">
        <f t="shared" si="42"/>
        <v/>
      </c>
      <c r="AP531" t="str">
        <f t="shared" si="43"/>
        <v/>
      </c>
      <c r="AQ531">
        <f t="shared" si="44"/>
        <v>2019</v>
      </c>
    </row>
    <row r="532" spans="1:43" x14ac:dyDescent="0.35">
      <c r="A532">
        <v>560</v>
      </c>
      <c r="B532">
        <v>26</v>
      </c>
      <c r="C532" t="s">
        <v>148</v>
      </c>
      <c r="D532" t="s">
        <v>145</v>
      </c>
      <c r="E532" t="s">
        <v>4</v>
      </c>
      <c r="F532" t="s">
        <v>38</v>
      </c>
      <c r="G532" t="s">
        <v>41</v>
      </c>
      <c r="H532" t="s">
        <v>81</v>
      </c>
      <c r="I532" t="s">
        <v>43</v>
      </c>
      <c r="J532" t="s">
        <v>146</v>
      </c>
      <c r="K532" t="s">
        <v>44</v>
      </c>
      <c r="L532" t="s">
        <v>152</v>
      </c>
      <c r="M532" t="s">
        <v>47</v>
      </c>
      <c r="N532" t="s">
        <v>96</v>
      </c>
      <c r="O532" t="s">
        <v>156</v>
      </c>
      <c r="P532" t="s">
        <v>148</v>
      </c>
      <c r="Q532">
        <v>22</v>
      </c>
      <c r="R532">
        <v>1</v>
      </c>
      <c r="S532">
        <v>5</v>
      </c>
      <c r="T532">
        <v>0</v>
      </c>
      <c r="U532">
        <v>2</v>
      </c>
      <c r="V532">
        <v>23</v>
      </c>
      <c r="W532">
        <v>90</v>
      </c>
      <c r="X532">
        <v>1349</v>
      </c>
      <c r="Y532">
        <v>3032</v>
      </c>
      <c r="Z532">
        <v>2886</v>
      </c>
      <c r="AA532">
        <v>3</v>
      </c>
      <c r="AB532" s="29">
        <v>44773</v>
      </c>
      <c r="AC532" s="29">
        <v>35365</v>
      </c>
      <c r="AD532" s="29">
        <v>43670</v>
      </c>
      <c r="AE532" s="29"/>
      <c r="AF532">
        <v>3</v>
      </c>
      <c r="AG532" t="s">
        <v>157</v>
      </c>
      <c r="AI532">
        <v>23</v>
      </c>
      <c r="AJ532">
        <v>1</v>
      </c>
      <c r="AK532" t="s">
        <v>170</v>
      </c>
      <c r="AL532" t="s">
        <v>77</v>
      </c>
      <c r="AM532">
        <f t="shared" si="40"/>
        <v>3</v>
      </c>
      <c r="AN532">
        <f t="shared" si="41"/>
        <v>7</v>
      </c>
      <c r="AO532" t="str">
        <f t="shared" si="42"/>
        <v/>
      </c>
      <c r="AP532" t="str">
        <f t="shared" si="43"/>
        <v/>
      </c>
      <c r="AQ532">
        <f t="shared" si="44"/>
        <v>2019</v>
      </c>
    </row>
    <row r="533" spans="1:43" x14ac:dyDescent="0.35">
      <c r="A533">
        <v>1718</v>
      </c>
      <c r="B533">
        <v>26</v>
      </c>
      <c r="C533" t="s">
        <v>148</v>
      </c>
      <c r="D533" t="s">
        <v>145</v>
      </c>
      <c r="E533" t="s">
        <v>4</v>
      </c>
      <c r="F533" t="s">
        <v>37</v>
      </c>
      <c r="G533" t="s">
        <v>44</v>
      </c>
      <c r="H533" t="s">
        <v>82</v>
      </c>
      <c r="I533" t="s">
        <v>41</v>
      </c>
      <c r="J533" t="s">
        <v>155</v>
      </c>
      <c r="K533" t="s">
        <v>43</v>
      </c>
      <c r="L533" t="s">
        <v>48</v>
      </c>
      <c r="M533" t="s">
        <v>50</v>
      </c>
      <c r="N533" t="s">
        <v>160</v>
      </c>
      <c r="O533" t="s">
        <v>43</v>
      </c>
      <c r="P533" t="s">
        <v>148</v>
      </c>
      <c r="Q533">
        <v>15</v>
      </c>
      <c r="R533">
        <v>1</v>
      </c>
      <c r="S533">
        <v>3</v>
      </c>
      <c r="T533">
        <v>0</v>
      </c>
      <c r="U533">
        <v>2</v>
      </c>
      <c r="V533">
        <v>17</v>
      </c>
      <c r="W533">
        <v>62</v>
      </c>
      <c r="X533">
        <v>390</v>
      </c>
      <c r="Y533">
        <v>6217</v>
      </c>
      <c r="Z533">
        <v>2305</v>
      </c>
      <c r="AA533">
        <v>3</v>
      </c>
      <c r="AB533" s="29">
        <v>44773</v>
      </c>
      <c r="AC533" s="29">
        <v>35479</v>
      </c>
      <c r="AD533" s="29">
        <v>43753</v>
      </c>
      <c r="AE533" s="29"/>
      <c r="AF533">
        <v>3</v>
      </c>
      <c r="AG533" t="s">
        <v>157</v>
      </c>
      <c r="AI533">
        <v>23</v>
      </c>
      <c r="AJ533">
        <v>1</v>
      </c>
      <c r="AK533" t="s">
        <v>170</v>
      </c>
      <c r="AL533" t="s">
        <v>77</v>
      </c>
      <c r="AM533">
        <f t="shared" si="40"/>
        <v>4</v>
      </c>
      <c r="AN533">
        <f t="shared" si="41"/>
        <v>10</v>
      </c>
      <c r="AO533" t="str">
        <f t="shared" si="42"/>
        <v/>
      </c>
      <c r="AP533" t="str">
        <f t="shared" si="43"/>
        <v/>
      </c>
      <c r="AQ533">
        <f t="shared" si="44"/>
        <v>2019</v>
      </c>
    </row>
    <row r="534" spans="1:43" x14ac:dyDescent="0.35">
      <c r="A534">
        <v>128</v>
      </c>
      <c r="B534">
        <v>24</v>
      </c>
      <c r="C534" t="s">
        <v>148</v>
      </c>
      <c r="D534" t="s">
        <v>145</v>
      </c>
      <c r="E534" t="s">
        <v>158</v>
      </c>
      <c r="F534" t="s">
        <v>36</v>
      </c>
      <c r="G534" t="s">
        <v>41</v>
      </c>
      <c r="H534" t="s">
        <v>81</v>
      </c>
      <c r="I534" t="s">
        <v>43</v>
      </c>
      <c r="J534" t="s">
        <v>159</v>
      </c>
      <c r="K534" t="s">
        <v>43</v>
      </c>
      <c r="L534" t="s">
        <v>152</v>
      </c>
      <c r="M534" t="s">
        <v>48</v>
      </c>
      <c r="N534" t="s">
        <v>160</v>
      </c>
      <c r="O534" t="s">
        <v>41</v>
      </c>
      <c r="P534" t="s">
        <v>148</v>
      </c>
      <c r="Q534">
        <v>21</v>
      </c>
      <c r="R534">
        <v>0</v>
      </c>
      <c r="S534">
        <v>4</v>
      </c>
      <c r="T534">
        <v>0</v>
      </c>
      <c r="U534">
        <v>2</v>
      </c>
      <c r="V534">
        <v>3</v>
      </c>
      <c r="W534">
        <v>33</v>
      </c>
      <c r="X534">
        <v>1353</v>
      </c>
      <c r="Y534">
        <v>17519</v>
      </c>
      <c r="Z534">
        <v>4999</v>
      </c>
      <c r="AA534">
        <v>2</v>
      </c>
      <c r="AB534" s="29">
        <v>44773</v>
      </c>
      <c r="AC534" s="29">
        <v>36055</v>
      </c>
      <c r="AD534" s="29">
        <v>43769</v>
      </c>
      <c r="AE534" s="29"/>
      <c r="AF534">
        <v>3</v>
      </c>
      <c r="AG534" t="s">
        <v>157</v>
      </c>
      <c r="AI534">
        <v>21</v>
      </c>
      <c r="AJ534">
        <v>1</v>
      </c>
      <c r="AK534" t="s">
        <v>170</v>
      </c>
      <c r="AL534" t="s">
        <v>77</v>
      </c>
      <c r="AM534">
        <f t="shared" si="40"/>
        <v>4</v>
      </c>
      <c r="AN534">
        <f t="shared" si="41"/>
        <v>10</v>
      </c>
      <c r="AO534" t="str">
        <f t="shared" si="42"/>
        <v/>
      </c>
      <c r="AP534" t="str">
        <f t="shared" si="43"/>
        <v/>
      </c>
      <c r="AQ534">
        <f t="shared" si="44"/>
        <v>2019</v>
      </c>
    </row>
    <row r="535" spans="1:43" x14ac:dyDescent="0.35">
      <c r="A535">
        <v>249</v>
      </c>
      <c r="B535">
        <v>50</v>
      </c>
      <c r="C535" t="s">
        <v>148</v>
      </c>
      <c r="D535" t="s">
        <v>145</v>
      </c>
      <c r="E535" t="s">
        <v>4</v>
      </c>
      <c r="F535" t="s">
        <v>38</v>
      </c>
      <c r="G535" t="s">
        <v>43</v>
      </c>
      <c r="H535" t="s">
        <v>82</v>
      </c>
      <c r="I535" t="s">
        <v>42</v>
      </c>
      <c r="J535" t="s">
        <v>155</v>
      </c>
      <c r="K535" t="s">
        <v>43</v>
      </c>
      <c r="L535" t="s">
        <v>48</v>
      </c>
      <c r="M535" t="s">
        <v>48</v>
      </c>
      <c r="N535" t="s">
        <v>160</v>
      </c>
      <c r="O535" t="s">
        <v>41</v>
      </c>
      <c r="P535" t="s">
        <v>148</v>
      </c>
      <c r="Q535">
        <v>15</v>
      </c>
      <c r="R535">
        <v>2</v>
      </c>
      <c r="S535">
        <v>5</v>
      </c>
      <c r="T535">
        <v>0</v>
      </c>
      <c r="U535">
        <v>2</v>
      </c>
      <c r="V535">
        <v>1</v>
      </c>
      <c r="W535">
        <v>86</v>
      </c>
      <c r="X535">
        <v>328</v>
      </c>
      <c r="Y535">
        <v>3425</v>
      </c>
      <c r="Z535">
        <v>3690</v>
      </c>
      <c r="AA535">
        <v>2</v>
      </c>
      <c r="AB535" s="29">
        <v>44773</v>
      </c>
      <c r="AC535" s="29">
        <v>26634</v>
      </c>
      <c r="AD535" s="29">
        <v>43841</v>
      </c>
      <c r="AE535" s="29"/>
      <c r="AF535">
        <v>3</v>
      </c>
      <c r="AG535" t="s">
        <v>167</v>
      </c>
      <c r="AI535">
        <v>47</v>
      </c>
      <c r="AJ535">
        <v>1</v>
      </c>
      <c r="AK535" t="s">
        <v>170</v>
      </c>
      <c r="AL535" t="s">
        <v>77</v>
      </c>
      <c r="AM535">
        <f t="shared" si="40"/>
        <v>1</v>
      </c>
      <c r="AN535">
        <f t="shared" si="41"/>
        <v>1</v>
      </c>
      <c r="AO535" t="str">
        <f t="shared" si="42"/>
        <v/>
      </c>
      <c r="AP535" t="str">
        <f t="shared" si="43"/>
        <v/>
      </c>
      <c r="AQ535">
        <f t="shared" si="44"/>
        <v>2020</v>
      </c>
    </row>
    <row r="536" spans="1:43" x14ac:dyDescent="0.35">
      <c r="A536">
        <v>1428</v>
      </c>
      <c r="B536">
        <v>30</v>
      </c>
      <c r="C536" t="s">
        <v>148</v>
      </c>
      <c r="D536" t="s">
        <v>145</v>
      </c>
      <c r="E536" t="s">
        <v>158</v>
      </c>
      <c r="F536" t="s">
        <v>37</v>
      </c>
      <c r="G536" t="s">
        <v>44</v>
      </c>
      <c r="H536" t="s">
        <v>81</v>
      </c>
      <c r="I536" t="s">
        <v>43</v>
      </c>
      <c r="J536" t="s">
        <v>159</v>
      </c>
      <c r="K536" t="s">
        <v>41</v>
      </c>
      <c r="L536" t="s">
        <v>48</v>
      </c>
      <c r="M536" t="s">
        <v>49</v>
      </c>
      <c r="N536" t="s">
        <v>96</v>
      </c>
      <c r="O536" t="s">
        <v>156</v>
      </c>
      <c r="P536" t="s">
        <v>148</v>
      </c>
      <c r="Q536">
        <v>14</v>
      </c>
      <c r="R536">
        <v>7</v>
      </c>
      <c r="S536">
        <v>8</v>
      </c>
      <c r="T536">
        <v>0</v>
      </c>
      <c r="U536">
        <v>2</v>
      </c>
      <c r="V536">
        <v>7</v>
      </c>
      <c r="W536">
        <v>73</v>
      </c>
      <c r="X536">
        <v>855</v>
      </c>
      <c r="Y536">
        <v>12761</v>
      </c>
      <c r="Z536">
        <v>4779</v>
      </c>
      <c r="AA536">
        <v>3</v>
      </c>
      <c r="AB536" s="29">
        <v>44773</v>
      </c>
      <c r="AC536" s="29">
        <v>34049</v>
      </c>
      <c r="AD536" s="29">
        <v>43841</v>
      </c>
      <c r="AE536" s="29"/>
      <c r="AF536">
        <v>3</v>
      </c>
      <c r="AG536" t="s">
        <v>149</v>
      </c>
      <c r="AI536">
        <v>27</v>
      </c>
      <c r="AJ536">
        <v>2</v>
      </c>
      <c r="AK536" t="s">
        <v>170</v>
      </c>
      <c r="AL536" t="s">
        <v>77</v>
      </c>
      <c r="AM536">
        <f t="shared" si="40"/>
        <v>1</v>
      </c>
      <c r="AN536">
        <f t="shared" si="41"/>
        <v>1</v>
      </c>
      <c r="AO536" t="str">
        <f t="shared" si="42"/>
        <v/>
      </c>
      <c r="AP536" t="str">
        <f t="shared" si="43"/>
        <v/>
      </c>
      <c r="AQ536">
        <f t="shared" si="44"/>
        <v>2020</v>
      </c>
    </row>
    <row r="537" spans="1:43" x14ac:dyDescent="0.35">
      <c r="A537">
        <v>874</v>
      </c>
      <c r="B537">
        <v>44</v>
      </c>
      <c r="C537" t="s">
        <v>148</v>
      </c>
      <c r="D537" t="s">
        <v>145</v>
      </c>
      <c r="E537" t="s">
        <v>4</v>
      </c>
      <c r="F537" t="s">
        <v>37</v>
      </c>
      <c r="G537" t="s">
        <v>41</v>
      </c>
      <c r="H537" t="s">
        <v>82</v>
      </c>
      <c r="I537" t="s">
        <v>44</v>
      </c>
      <c r="J537" t="s">
        <v>155</v>
      </c>
      <c r="K537" t="s">
        <v>44</v>
      </c>
      <c r="L537" t="s">
        <v>152</v>
      </c>
      <c r="M537" t="s">
        <v>48</v>
      </c>
      <c r="N537" t="s">
        <v>160</v>
      </c>
      <c r="O537" t="s">
        <v>41</v>
      </c>
      <c r="P537" t="s">
        <v>144</v>
      </c>
      <c r="Q537">
        <v>24</v>
      </c>
      <c r="R537">
        <v>2</v>
      </c>
      <c r="S537">
        <v>10</v>
      </c>
      <c r="T537">
        <v>0</v>
      </c>
      <c r="U537">
        <v>2</v>
      </c>
      <c r="V537">
        <v>8</v>
      </c>
      <c r="W537">
        <v>62</v>
      </c>
      <c r="X537">
        <v>986</v>
      </c>
      <c r="Y537">
        <v>5044</v>
      </c>
      <c r="Z537">
        <v>2818</v>
      </c>
      <c r="AA537">
        <v>2</v>
      </c>
      <c r="AB537" s="29">
        <v>44773</v>
      </c>
      <c r="AC537" s="29">
        <v>28863</v>
      </c>
      <c r="AD537" s="29">
        <v>43897</v>
      </c>
      <c r="AE537" s="29"/>
      <c r="AF537">
        <v>2</v>
      </c>
      <c r="AG537" t="s">
        <v>153</v>
      </c>
      <c r="AI537">
        <v>42</v>
      </c>
      <c r="AJ537">
        <v>1</v>
      </c>
      <c r="AK537" t="s">
        <v>170</v>
      </c>
      <c r="AL537" t="s">
        <v>78</v>
      </c>
      <c r="AM537">
        <f t="shared" si="40"/>
        <v>1</v>
      </c>
      <c r="AN537">
        <f t="shared" si="41"/>
        <v>3</v>
      </c>
      <c r="AO537" t="str">
        <f t="shared" si="42"/>
        <v/>
      </c>
      <c r="AP537" t="str">
        <f t="shared" si="43"/>
        <v/>
      </c>
      <c r="AQ537">
        <f t="shared" si="44"/>
        <v>2020</v>
      </c>
    </row>
    <row r="538" spans="1:43" x14ac:dyDescent="0.35">
      <c r="A538">
        <v>178</v>
      </c>
      <c r="B538">
        <v>36</v>
      </c>
      <c r="C538" t="s">
        <v>148</v>
      </c>
      <c r="D538" t="s">
        <v>145</v>
      </c>
      <c r="E538" t="s">
        <v>4</v>
      </c>
      <c r="F538" t="s">
        <v>36</v>
      </c>
      <c r="G538" t="s">
        <v>42</v>
      </c>
      <c r="H538" t="s">
        <v>82</v>
      </c>
      <c r="I538" t="s">
        <v>43</v>
      </c>
      <c r="J538" t="s">
        <v>165</v>
      </c>
      <c r="K538" t="s">
        <v>42</v>
      </c>
      <c r="L538" t="s">
        <v>152</v>
      </c>
      <c r="M538" t="s">
        <v>49</v>
      </c>
      <c r="N538" t="s">
        <v>96</v>
      </c>
      <c r="O538" t="s">
        <v>156</v>
      </c>
      <c r="P538" t="s">
        <v>148</v>
      </c>
      <c r="Q538">
        <v>20</v>
      </c>
      <c r="R538">
        <v>6</v>
      </c>
      <c r="S538">
        <v>7</v>
      </c>
      <c r="T538">
        <v>0</v>
      </c>
      <c r="U538">
        <v>1</v>
      </c>
      <c r="V538">
        <v>6</v>
      </c>
      <c r="W538">
        <v>84</v>
      </c>
      <c r="X538">
        <v>216</v>
      </c>
      <c r="Y538">
        <v>2819</v>
      </c>
      <c r="Z538">
        <v>4941</v>
      </c>
      <c r="AA538">
        <v>0</v>
      </c>
      <c r="AB538" s="29">
        <v>44773</v>
      </c>
      <c r="AC538" s="29">
        <v>31699</v>
      </c>
      <c r="AD538" s="29">
        <v>43956</v>
      </c>
      <c r="AE538" s="29"/>
      <c r="AF538">
        <v>2</v>
      </c>
      <c r="AG538" t="s">
        <v>149</v>
      </c>
      <c r="AI538">
        <v>34</v>
      </c>
      <c r="AJ538">
        <v>1</v>
      </c>
      <c r="AK538" t="s">
        <v>170</v>
      </c>
      <c r="AL538" t="s">
        <v>77</v>
      </c>
      <c r="AM538">
        <f t="shared" si="40"/>
        <v>2</v>
      </c>
      <c r="AN538">
        <f t="shared" si="41"/>
        <v>5</v>
      </c>
      <c r="AO538" t="str">
        <f t="shared" si="42"/>
        <v/>
      </c>
      <c r="AP538" t="str">
        <f t="shared" si="43"/>
        <v/>
      </c>
      <c r="AQ538">
        <f t="shared" si="44"/>
        <v>2020</v>
      </c>
    </row>
    <row r="539" spans="1:43" x14ac:dyDescent="0.35">
      <c r="A539">
        <v>805</v>
      </c>
      <c r="B539">
        <v>35</v>
      </c>
      <c r="C539" t="s">
        <v>148</v>
      </c>
      <c r="D539" t="s">
        <v>145</v>
      </c>
      <c r="E539" t="s">
        <v>158</v>
      </c>
      <c r="F539" t="s">
        <v>37</v>
      </c>
      <c r="G539" t="s">
        <v>41</v>
      </c>
      <c r="H539" t="s">
        <v>81</v>
      </c>
      <c r="I539" t="s">
        <v>43</v>
      </c>
      <c r="J539" t="s">
        <v>166</v>
      </c>
      <c r="K539" t="s">
        <v>44</v>
      </c>
      <c r="L539" t="s">
        <v>48</v>
      </c>
      <c r="M539" t="s">
        <v>48</v>
      </c>
      <c r="N539" t="s">
        <v>160</v>
      </c>
      <c r="O539" t="s">
        <v>41</v>
      </c>
      <c r="P539" t="s">
        <v>148</v>
      </c>
      <c r="Q539">
        <v>16</v>
      </c>
      <c r="R539">
        <v>1</v>
      </c>
      <c r="S539">
        <v>3</v>
      </c>
      <c r="T539">
        <v>0</v>
      </c>
      <c r="U539">
        <v>2</v>
      </c>
      <c r="V539">
        <v>8</v>
      </c>
      <c r="W539">
        <v>72</v>
      </c>
      <c r="X539">
        <v>384</v>
      </c>
      <c r="Y539">
        <v>20317</v>
      </c>
      <c r="Z539">
        <v>2572</v>
      </c>
      <c r="AA539">
        <v>1</v>
      </c>
      <c r="AB539" s="29">
        <v>44773</v>
      </c>
      <c r="AC539" s="29">
        <v>31992</v>
      </c>
      <c r="AD539" s="29">
        <v>43967</v>
      </c>
      <c r="AE539" s="29"/>
      <c r="AF539">
        <v>2</v>
      </c>
      <c r="AG539" t="s">
        <v>149</v>
      </c>
      <c r="AI539">
        <v>33</v>
      </c>
      <c r="AJ539">
        <v>2</v>
      </c>
      <c r="AK539" t="s">
        <v>170</v>
      </c>
      <c r="AL539" t="s">
        <v>77</v>
      </c>
      <c r="AM539">
        <f t="shared" si="40"/>
        <v>2</v>
      </c>
      <c r="AN539">
        <f t="shared" si="41"/>
        <v>5</v>
      </c>
      <c r="AO539" t="str">
        <f t="shared" si="42"/>
        <v/>
      </c>
      <c r="AP539" t="str">
        <f t="shared" si="43"/>
        <v/>
      </c>
      <c r="AQ539">
        <f t="shared" si="44"/>
        <v>2020</v>
      </c>
    </row>
    <row r="540" spans="1:43" x14ac:dyDescent="0.35">
      <c r="A540">
        <v>1195</v>
      </c>
      <c r="B540">
        <v>45</v>
      </c>
      <c r="C540" t="s">
        <v>148</v>
      </c>
      <c r="D540" t="s">
        <v>145</v>
      </c>
      <c r="E540" t="s">
        <v>4</v>
      </c>
      <c r="F540" t="s">
        <v>38</v>
      </c>
      <c r="G540" t="s">
        <v>41</v>
      </c>
      <c r="H540" t="s">
        <v>81</v>
      </c>
      <c r="I540" t="s">
        <v>43</v>
      </c>
      <c r="J540" t="s">
        <v>146</v>
      </c>
      <c r="K540" t="s">
        <v>43</v>
      </c>
      <c r="L540" t="s">
        <v>48</v>
      </c>
      <c r="M540" t="s">
        <v>48</v>
      </c>
      <c r="N540" t="s">
        <v>160</v>
      </c>
      <c r="O540" t="s">
        <v>41</v>
      </c>
      <c r="P540" t="s">
        <v>144</v>
      </c>
      <c r="Q540">
        <v>19</v>
      </c>
      <c r="R540">
        <v>4</v>
      </c>
      <c r="S540">
        <v>7</v>
      </c>
      <c r="T540">
        <v>0</v>
      </c>
      <c r="U540">
        <v>2</v>
      </c>
      <c r="V540">
        <v>7</v>
      </c>
      <c r="W540">
        <v>83</v>
      </c>
      <c r="X540">
        <v>1457</v>
      </c>
      <c r="Y540">
        <v>20100</v>
      </c>
      <c r="Z540">
        <v>4477</v>
      </c>
      <c r="AA540">
        <v>2</v>
      </c>
      <c r="AB540" s="29">
        <v>44773</v>
      </c>
      <c r="AC540" s="29">
        <v>28499</v>
      </c>
      <c r="AD540" s="29">
        <v>43984</v>
      </c>
      <c r="AE540" s="29"/>
      <c r="AF540">
        <v>2</v>
      </c>
      <c r="AG540" t="s">
        <v>153</v>
      </c>
      <c r="AI540">
        <v>43</v>
      </c>
      <c r="AJ540">
        <v>1</v>
      </c>
      <c r="AK540" t="s">
        <v>170</v>
      </c>
      <c r="AL540" t="s">
        <v>77</v>
      </c>
      <c r="AM540">
        <f t="shared" si="40"/>
        <v>2</v>
      </c>
      <c r="AN540">
        <f t="shared" si="41"/>
        <v>6</v>
      </c>
      <c r="AO540" t="str">
        <f t="shared" si="42"/>
        <v/>
      </c>
      <c r="AP540" t="str">
        <f t="shared" si="43"/>
        <v/>
      </c>
      <c r="AQ540">
        <f t="shared" si="44"/>
        <v>2020</v>
      </c>
    </row>
    <row r="541" spans="1:43" x14ac:dyDescent="0.35">
      <c r="A541">
        <v>544</v>
      </c>
      <c r="B541">
        <v>45</v>
      </c>
      <c r="C541" t="s">
        <v>148</v>
      </c>
      <c r="D541" t="s">
        <v>145</v>
      </c>
      <c r="E541" t="s">
        <v>4</v>
      </c>
      <c r="F541" t="s">
        <v>36</v>
      </c>
      <c r="G541" t="s">
        <v>41</v>
      </c>
      <c r="H541" t="s">
        <v>82</v>
      </c>
      <c r="I541" t="s">
        <v>43</v>
      </c>
      <c r="J541" t="s">
        <v>146</v>
      </c>
      <c r="K541" t="s">
        <v>44</v>
      </c>
      <c r="L541" t="s">
        <v>152</v>
      </c>
      <c r="M541" t="s">
        <v>48</v>
      </c>
      <c r="N541" t="s">
        <v>160</v>
      </c>
      <c r="O541" t="s">
        <v>156</v>
      </c>
      <c r="P541" t="s">
        <v>148</v>
      </c>
      <c r="Q541">
        <v>21</v>
      </c>
      <c r="R541">
        <v>3</v>
      </c>
      <c r="S541">
        <v>8</v>
      </c>
      <c r="T541">
        <v>0</v>
      </c>
      <c r="U541">
        <v>2</v>
      </c>
      <c r="V541">
        <v>10</v>
      </c>
      <c r="W541">
        <v>69</v>
      </c>
      <c r="X541">
        <v>192</v>
      </c>
      <c r="Y541">
        <v>9655</v>
      </c>
      <c r="Z541">
        <v>2654</v>
      </c>
      <c r="AA541">
        <v>3</v>
      </c>
      <c r="AB541" s="29">
        <v>44773</v>
      </c>
      <c r="AC541" s="29">
        <v>28571</v>
      </c>
      <c r="AD541" s="29">
        <v>44052</v>
      </c>
      <c r="AE541" s="29"/>
      <c r="AF541">
        <v>2</v>
      </c>
      <c r="AG541" t="s">
        <v>153</v>
      </c>
      <c r="AI541">
        <v>43</v>
      </c>
      <c r="AJ541">
        <v>1</v>
      </c>
      <c r="AK541" t="s">
        <v>170</v>
      </c>
      <c r="AL541" t="s">
        <v>77</v>
      </c>
      <c r="AM541">
        <f t="shared" si="40"/>
        <v>3</v>
      </c>
      <c r="AN541">
        <f t="shared" si="41"/>
        <v>8</v>
      </c>
      <c r="AO541" t="str">
        <f t="shared" si="42"/>
        <v/>
      </c>
      <c r="AP541" t="str">
        <f t="shared" si="43"/>
        <v/>
      </c>
      <c r="AQ541">
        <f t="shared" si="44"/>
        <v>2020</v>
      </c>
    </row>
    <row r="542" spans="1:43" x14ac:dyDescent="0.35">
      <c r="A542">
        <v>806</v>
      </c>
      <c r="B542">
        <v>30</v>
      </c>
      <c r="C542" t="s">
        <v>148</v>
      </c>
      <c r="D542" t="s">
        <v>145</v>
      </c>
      <c r="E542" t="s">
        <v>4</v>
      </c>
      <c r="F542" t="s">
        <v>38</v>
      </c>
      <c r="G542" t="s">
        <v>44</v>
      </c>
      <c r="H542" t="s">
        <v>82</v>
      </c>
      <c r="I542" t="s">
        <v>41</v>
      </c>
      <c r="J542" t="s">
        <v>155</v>
      </c>
      <c r="K542" t="s">
        <v>43</v>
      </c>
      <c r="L542" t="s">
        <v>152</v>
      </c>
      <c r="M542" t="s">
        <v>49</v>
      </c>
      <c r="N542" t="s">
        <v>160</v>
      </c>
      <c r="O542" t="s">
        <v>156</v>
      </c>
      <c r="P542" t="s">
        <v>148</v>
      </c>
      <c r="Q542">
        <v>21</v>
      </c>
      <c r="R542">
        <v>3</v>
      </c>
      <c r="S542">
        <v>7</v>
      </c>
      <c r="T542">
        <v>0</v>
      </c>
      <c r="U542">
        <v>2</v>
      </c>
      <c r="V542">
        <v>1</v>
      </c>
      <c r="W542">
        <v>38</v>
      </c>
      <c r="X542">
        <v>921</v>
      </c>
      <c r="Y542">
        <v>24375</v>
      </c>
      <c r="Z542">
        <v>3833</v>
      </c>
      <c r="AA542">
        <v>2</v>
      </c>
      <c r="AB542" s="29">
        <v>44773</v>
      </c>
      <c r="AC542" s="29">
        <v>33871</v>
      </c>
      <c r="AD542" s="29">
        <v>44072</v>
      </c>
      <c r="AE542" s="29"/>
      <c r="AF542">
        <v>2</v>
      </c>
      <c r="AG542" t="s">
        <v>149</v>
      </c>
      <c r="AI542">
        <v>28</v>
      </c>
      <c r="AJ542">
        <v>1</v>
      </c>
      <c r="AK542" t="s">
        <v>170</v>
      </c>
      <c r="AL542" t="s">
        <v>77</v>
      </c>
      <c r="AM542">
        <f t="shared" si="40"/>
        <v>3</v>
      </c>
      <c r="AN542">
        <f t="shared" si="41"/>
        <v>8</v>
      </c>
      <c r="AO542" t="str">
        <f t="shared" si="42"/>
        <v/>
      </c>
      <c r="AP542" t="str">
        <f t="shared" si="43"/>
        <v/>
      </c>
      <c r="AQ542">
        <f t="shared" si="44"/>
        <v>2020</v>
      </c>
    </row>
    <row r="543" spans="1:43" x14ac:dyDescent="0.35">
      <c r="A543">
        <v>1992</v>
      </c>
      <c r="B543">
        <v>25</v>
      </c>
      <c r="C543" t="s">
        <v>148</v>
      </c>
      <c r="D543" t="s">
        <v>145</v>
      </c>
      <c r="E543" t="s">
        <v>4</v>
      </c>
      <c r="F543" t="s">
        <v>35</v>
      </c>
      <c r="G543" t="s">
        <v>44</v>
      </c>
      <c r="H543" t="s">
        <v>82</v>
      </c>
      <c r="I543" t="s">
        <v>43</v>
      </c>
      <c r="J543" t="s">
        <v>155</v>
      </c>
      <c r="K543" t="s">
        <v>43</v>
      </c>
      <c r="L543" t="s">
        <v>41</v>
      </c>
      <c r="M543" t="s">
        <v>48</v>
      </c>
      <c r="N543" t="s">
        <v>96</v>
      </c>
      <c r="O543" t="s">
        <v>41</v>
      </c>
      <c r="P543" t="s">
        <v>144</v>
      </c>
      <c r="Q543">
        <v>19</v>
      </c>
      <c r="R543">
        <v>6</v>
      </c>
      <c r="S543">
        <v>7</v>
      </c>
      <c r="T543">
        <v>0</v>
      </c>
      <c r="U543">
        <v>2</v>
      </c>
      <c r="V543">
        <v>2</v>
      </c>
      <c r="W543">
        <v>57</v>
      </c>
      <c r="X543">
        <v>977</v>
      </c>
      <c r="Y543">
        <v>7298</v>
      </c>
      <c r="Z543">
        <v>3977</v>
      </c>
      <c r="AA543">
        <v>2</v>
      </c>
      <c r="AB543" s="29">
        <v>44773</v>
      </c>
      <c r="AC543" s="29">
        <v>35738</v>
      </c>
      <c r="AD543" s="29">
        <v>44072</v>
      </c>
      <c r="AE543" s="29"/>
      <c r="AF543">
        <v>2</v>
      </c>
      <c r="AG543" t="s">
        <v>157</v>
      </c>
      <c r="AI543">
        <v>23</v>
      </c>
      <c r="AJ543">
        <v>1</v>
      </c>
      <c r="AK543" t="s">
        <v>170</v>
      </c>
      <c r="AL543" t="s">
        <v>77</v>
      </c>
      <c r="AM543">
        <f t="shared" si="40"/>
        <v>3</v>
      </c>
      <c r="AN543">
        <f t="shared" si="41"/>
        <v>8</v>
      </c>
      <c r="AO543" t="str">
        <f t="shared" si="42"/>
        <v/>
      </c>
      <c r="AP543" t="str">
        <f t="shared" si="43"/>
        <v/>
      </c>
      <c r="AQ543">
        <f t="shared" si="44"/>
        <v>2020</v>
      </c>
    </row>
    <row r="544" spans="1:43" x14ac:dyDescent="0.35">
      <c r="A544">
        <v>1678</v>
      </c>
      <c r="B544">
        <v>41</v>
      </c>
      <c r="C544" t="s">
        <v>148</v>
      </c>
      <c r="D544" t="s">
        <v>145</v>
      </c>
      <c r="E544" t="s">
        <v>158</v>
      </c>
      <c r="F544" t="s">
        <v>36</v>
      </c>
      <c r="G544" t="s">
        <v>44</v>
      </c>
      <c r="H544" t="s">
        <v>82</v>
      </c>
      <c r="I544" t="s">
        <v>43</v>
      </c>
      <c r="J544" t="s">
        <v>159</v>
      </c>
      <c r="K544" t="s">
        <v>43</v>
      </c>
      <c r="L544" t="s">
        <v>41</v>
      </c>
      <c r="M544" t="s">
        <v>49</v>
      </c>
      <c r="N544" t="s">
        <v>95</v>
      </c>
      <c r="P544" t="s">
        <v>144</v>
      </c>
      <c r="Q544">
        <v>16</v>
      </c>
      <c r="R544">
        <v>3</v>
      </c>
      <c r="S544">
        <v>21</v>
      </c>
      <c r="T544">
        <v>0</v>
      </c>
      <c r="U544">
        <v>1</v>
      </c>
      <c r="V544">
        <v>23</v>
      </c>
      <c r="W544">
        <v>80</v>
      </c>
      <c r="X544">
        <v>1206</v>
      </c>
      <c r="Y544">
        <v>11591</v>
      </c>
      <c r="Z544">
        <v>7082</v>
      </c>
      <c r="AA544">
        <v>2</v>
      </c>
      <c r="AB544" s="29">
        <v>44773</v>
      </c>
      <c r="AC544" s="29">
        <v>30122</v>
      </c>
      <c r="AD544" s="29">
        <v>44279</v>
      </c>
      <c r="AE544" s="29"/>
      <c r="AF544">
        <v>1</v>
      </c>
      <c r="AG544" t="s">
        <v>153</v>
      </c>
      <c r="AI544">
        <v>40</v>
      </c>
      <c r="AJ544">
        <v>2</v>
      </c>
      <c r="AK544" t="s">
        <v>170</v>
      </c>
      <c r="AL544" t="s">
        <v>77</v>
      </c>
      <c r="AM544">
        <f t="shared" si="40"/>
        <v>1</v>
      </c>
      <c r="AN544">
        <f t="shared" si="41"/>
        <v>3</v>
      </c>
      <c r="AO544" t="str">
        <f t="shared" si="42"/>
        <v/>
      </c>
      <c r="AP544" t="str">
        <f t="shared" si="43"/>
        <v/>
      </c>
      <c r="AQ544">
        <f t="shared" si="44"/>
        <v>2021</v>
      </c>
    </row>
    <row r="545" spans="1:43" x14ac:dyDescent="0.35">
      <c r="A545">
        <v>1352</v>
      </c>
      <c r="B545">
        <v>51</v>
      </c>
      <c r="C545" t="s">
        <v>148</v>
      </c>
      <c r="D545" t="s">
        <v>145</v>
      </c>
      <c r="E545" t="s">
        <v>168</v>
      </c>
      <c r="F545" t="s">
        <v>38</v>
      </c>
      <c r="G545" t="s">
        <v>43</v>
      </c>
      <c r="H545" t="s">
        <v>82</v>
      </c>
      <c r="I545" t="s">
        <v>43</v>
      </c>
      <c r="J545" t="s">
        <v>169</v>
      </c>
      <c r="K545" t="s">
        <v>42</v>
      </c>
      <c r="L545" t="s">
        <v>147</v>
      </c>
      <c r="M545" t="s">
        <v>49</v>
      </c>
      <c r="N545" t="s">
        <v>96</v>
      </c>
      <c r="O545" t="s">
        <v>41</v>
      </c>
      <c r="P545" t="s">
        <v>144</v>
      </c>
      <c r="Q545">
        <v>11</v>
      </c>
      <c r="R545">
        <v>1</v>
      </c>
      <c r="S545">
        <v>33</v>
      </c>
      <c r="T545">
        <v>0</v>
      </c>
      <c r="U545">
        <v>10</v>
      </c>
      <c r="V545">
        <v>5</v>
      </c>
      <c r="W545">
        <v>84</v>
      </c>
      <c r="X545">
        <v>770</v>
      </c>
      <c r="Y545">
        <v>17588</v>
      </c>
      <c r="Z545">
        <v>14026</v>
      </c>
      <c r="AA545">
        <v>2</v>
      </c>
      <c r="AB545" s="29">
        <v>44773</v>
      </c>
      <c r="AC545" s="29">
        <v>26205</v>
      </c>
      <c r="AD545" s="29">
        <v>32924</v>
      </c>
      <c r="AE545" s="29"/>
      <c r="AF545">
        <v>32</v>
      </c>
      <c r="AG545" t="s">
        <v>167</v>
      </c>
      <c r="AI545">
        <v>19</v>
      </c>
      <c r="AJ545">
        <v>1</v>
      </c>
      <c r="AK545" t="s">
        <v>163</v>
      </c>
      <c r="AL545" t="s">
        <v>77</v>
      </c>
      <c r="AM545">
        <f t="shared" si="40"/>
        <v>1</v>
      </c>
      <c r="AN545">
        <f t="shared" si="41"/>
        <v>2</v>
      </c>
      <c r="AO545" t="str">
        <f t="shared" si="42"/>
        <v/>
      </c>
      <c r="AP545" t="str">
        <f t="shared" si="43"/>
        <v/>
      </c>
      <c r="AQ545">
        <f t="shared" si="44"/>
        <v>1990</v>
      </c>
    </row>
    <row r="546" spans="1:43" x14ac:dyDescent="0.35">
      <c r="A546">
        <v>638</v>
      </c>
      <c r="B546">
        <v>49</v>
      </c>
      <c r="C546" t="s">
        <v>148</v>
      </c>
      <c r="D546" t="s">
        <v>145</v>
      </c>
      <c r="E546" t="s">
        <v>4</v>
      </c>
      <c r="F546" t="s">
        <v>37</v>
      </c>
      <c r="G546" t="s">
        <v>44</v>
      </c>
      <c r="H546" t="s">
        <v>82</v>
      </c>
      <c r="I546" t="s">
        <v>42</v>
      </c>
      <c r="J546" t="s">
        <v>173</v>
      </c>
      <c r="K546" t="s">
        <v>43</v>
      </c>
      <c r="L546" t="s">
        <v>147</v>
      </c>
      <c r="M546" t="s">
        <v>49</v>
      </c>
      <c r="N546" t="s">
        <v>96</v>
      </c>
      <c r="O546" t="s">
        <v>41</v>
      </c>
      <c r="P546" t="s">
        <v>144</v>
      </c>
      <c r="Q546">
        <v>17</v>
      </c>
      <c r="R546">
        <v>1</v>
      </c>
      <c r="S546">
        <v>31</v>
      </c>
      <c r="T546">
        <v>0</v>
      </c>
      <c r="U546">
        <v>9</v>
      </c>
      <c r="V546">
        <v>18</v>
      </c>
      <c r="W546">
        <v>58</v>
      </c>
      <c r="X546">
        <v>1245</v>
      </c>
      <c r="Y546">
        <v>2125</v>
      </c>
      <c r="Z546">
        <v>19502</v>
      </c>
      <c r="AA546">
        <v>5</v>
      </c>
      <c r="AB546" s="29">
        <v>44773</v>
      </c>
      <c r="AC546" s="29">
        <v>27236</v>
      </c>
      <c r="AD546" s="29">
        <v>33615</v>
      </c>
      <c r="AE546" s="29"/>
      <c r="AF546">
        <v>31</v>
      </c>
      <c r="AG546" t="s">
        <v>153</v>
      </c>
      <c r="AI546">
        <v>18</v>
      </c>
      <c r="AJ546">
        <v>1</v>
      </c>
      <c r="AK546" t="s">
        <v>163</v>
      </c>
      <c r="AL546" t="s">
        <v>77</v>
      </c>
      <c r="AM546">
        <f t="shared" si="40"/>
        <v>1</v>
      </c>
      <c r="AN546">
        <f t="shared" si="41"/>
        <v>1</v>
      </c>
      <c r="AO546" t="str">
        <f t="shared" si="42"/>
        <v/>
      </c>
      <c r="AP546" t="str">
        <f t="shared" si="43"/>
        <v/>
      </c>
      <c r="AQ546">
        <f t="shared" si="44"/>
        <v>1992</v>
      </c>
    </row>
    <row r="547" spans="1:43" x14ac:dyDescent="0.35">
      <c r="A547">
        <v>1602</v>
      </c>
      <c r="B547">
        <v>46</v>
      </c>
      <c r="C547" t="s">
        <v>148</v>
      </c>
      <c r="D547" t="s">
        <v>145</v>
      </c>
      <c r="E547" t="s">
        <v>158</v>
      </c>
      <c r="F547" t="s">
        <v>37</v>
      </c>
      <c r="G547" t="s">
        <v>44</v>
      </c>
      <c r="H547" t="s">
        <v>82</v>
      </c>
      <c r="I547" t="s">
        <v>44</v>
      </c>
      <c r="J547" t="s">
        <v>169</v>
      </c>
      <c r="K547" t="s">
        <v>41</v>
      </c>
      <c r="L547" t="s">
        <v>147</v>
      </c>
      <c r="M547" t="s">
        <v>47</v>
      </c>
      <c r="N547" t="s">
        <v>95</v>
      </c>
      <c r="P547" t="s">
        <v>148</v>
      </c>
      <c r="Q547">
        <v>15</v>
      </c>
      <c r="R547">
        <v>1</v>
      </c>
      <c r="S547">
        <v>27</v>
      </c>
      <c r="T547">
        <v>0</v>
      </c>
      <c r="U547">
        <v>12</v>
      </c>
      <c r="V547">
        <v>1</v>
      </c>
      <c r="W547">
        <v>56</v>
      </c>
      <c r="X547">
        <v>563</v>
      </c>
      <c r="Y547">
        <v>3156</v>
      </c>
      <c r="Z547">
        <v>17567</v>
      </c>
      <c r="AA547">
        <v>5</v>
      </c>
      <c r="AB547" s="29">
        <v>44773</v>
      </c>
      <c r="AC547" s="29">
        <v>28168</v>
      </c>
      <c r="AD547" s="29">
        <v>35295</v>
      </c>
      <c r="AE547" s="29"/>
      <c r="AF547">
        <v>26</v>
      </c>
      <c r="AG547" t="s">
        <v>153</v>
      </c>
      <c r="AI547">
        <v>20</v>
      </c>
      <c r="AJ547">
        <v>1</v>
      </c>
      <c r="AK547" t="s">
        <v>163</v>
      </c>
      <c r="AL547" t="s">
        <v>77</v>
      </c>
      <c r="AM547">
        <f t="shared" si="40"/>
        <v>3</v>
      </c>
      <c r="AN547">
        <f t="shared" si="41"/>
        <v>8</v>
      </c>
      <c r="AO547" t="str">
        <f t="shared" si="42"/>
        <v/>
      </c>
      <c r="AP547" t="str">
        <f t="shared" si="43"/>
        <v/>
      </c>
      <c r="AQ547">
        <f t="shared" si="44"/>
        <v>1996</v>
      </c>
    </row>
    <row r="548" spans="1:43" x14ac:dyDescent="0.35">
      <c r="A548">
        <v>410</v>
      </c>
      <c r="B548">
        <v>41</v>
      </c>
      <c r="C548" t="s">
        <v>148</v>
      </c>
      <c r="D548" t="s">
        <v>145</v>
      </c>
      <c r="E548" t="s">
        <v>158</v>
      </c>
      <c r="F548" t="s">
        <v>37</v>
      </c>
      <c r="G548" t="s">
        <v>44</v>
      </c>
      <c r="H548" t="s">
        <v>82</v>
      </c>
      <c r="I548" t="s">
        <v>43</v>
      </c>
      <c r="J548" t="s">
        <v>169</v>
      </c>
      <c r="K548" t="s">
        <v>42</v>
      </c>
      <c r="L548" t="s">
        <v>147</v>
      </c>
      <c r="M548" t="s">
        <v>49</v>
      </c>
      <c r="N548" t="s">
        <v>95</v>
      </c>
      <c r="P548" t="s">
        <v>148</v>
      </c>
      <c r="Q548">
        <v>19</v>
      </c>
      <c r="R548">
        <v>1</v>
      </c>
      <c r="S548">
        <v>22</v>
      </c>
      <c r="T548">
        <v>0</v>
      </c>
      <c r="U548">
        <v>4</v>
      </c>
      <c r="V548">
        <v>2</v>
      </c>
      <c r="W548">
        <v>88</v>
      </c>
      <c r="X548">
        <v>334</v>
      </c>
      <c r="Y548">
        <v>15896</v>
      </c>
      <c r="Z548">
        <v>16015</v>
      </c>
      <c r="AA548">
        <v>2</v>
      </c>
      <c r="AB548" s="29">
        <v>44773</v>
      </c>
      <c r="AC548" s="29">
        <v>29878</v>
      </c>
      <c r="AD548" s="29">
        <v>37095</v>
      </c>
      <c r="AE548" s="29"/>
      <c r="AF548">
        <v>21</v>
      </c>
      <c r="AG548" t="s">
        <v>153</v>
      </c>
      <c r="AI548">
        <v>20</v>
      </c>
      <c r="AJ548">
        <v>1</v>
      </c>
      <c r="AK548" t="s">
        <v>163</v>
      </c>
      <c r="AL548" t="s">
        <v>78</v>
      </c>
      <c r="AM548">
        <f t="shared" si="40"/>
        <v>3</v>
      </c>
      <c r="AN548">
        <f t="shared" si="41"/>
        <v>7</v>
      </c>
      <c r="AO548" t="str">
        <f t="shared" si="42"/>
        <v/>
      </c>
      <c r="AP548" t="str">
        <f t="shared" si="43"/>
        <v/>
      </c>
      <c r="AQ548">
        <f t="shared" si="44"/>
        <v>2001</v>
      </c>
    </row>
    <row r="549" spans="1:43" x14ac:dyDescent="0.35">
      <c r="A549">
        <v>206</v>
      </c>
      <c r="B549">
        <v>45</v>
      </c>
      <c r="C549" t="s">
        <v>148</v>
      </c>
      <c r="D549" t="s">
        <v>145</v>
      </c>
      <c r="E549" t="s">
        <v>4</v>
      </c>
      <c r="F549" t="s">
        <v>38</v>
      </c>
      <c r="G549" t="s">
        <v>42</v>
      </c>
      <c r="H549" t="s">
        <v>82</v>
      </c>
      <c r="I549" t="s">
        <v>43</v>
      </c>
      <c r="J549" t="s">
        <v>155</v>
      </c>
      <c r="K549" t="s">
        <v>42</v>
      </c>
      <c r="L549" t="s">
        <v>147</v>
      </c>
      <c r="M549" t="s">
        <v>47</v>
      </c>
      <c r="N549" t="s">
        <v>96</v>
      </c>
      <c r="O549" t="s">
        <v>41</v>
      </c>
      <c r="P549" t="s">
        <v>148</v>
      </c>
      <c r="Q549">
        <v>18</v>
      </c>
      <c r="R549">
        <v>8</v>
      </c>
      <c r="S549">
        <v>20</v>
      </c>
      <c r="T549">
        <v>0</v>
      </c>
      <c r="U549">
        <v>15</v>
      </c>
      <c r="V549">
        <v>9</v>
      </c>
      <c r="W549">
        <v>60</v>
      </c>
      <c r="X549">
        <v>194</v>
      </c>
      <c r="Y549">
        <v>10901</v>
      </c>
      <c r="Z549">
        <v>2348</v>
      </c>
      <c r="AA549">
        <v>2</v>
      </c>
      <c r="AB549" s="29">
        <v>44773</v>
      </c>
      <c r="AC549" s="29">
        <v>28534</v>
      </c>
      <c r="AD549" s="29">
        <v>38811</v>
      </c>
      <c r="AE549" s="29"/>
      <c r="AF549">
        <v>16</v>
      </c>
      <c r="AG549" t="s">
        <v>153</v>
      </c>
      <c r="AI549">
        <v>29</v>
      </c>
      <c r="AJ549">
        <v>1</v>
      </c>
      <c r="AK549" t="s">
        <v>163</v>
      </c>
      <c r="AL549" t="s">
        <v>78</v>
      </c>
      <c r="AM549">
        <f t="shared" si="40"/>
        <v>2</v>
      </c>
      <c r="AN549">
        <f t="shared" si="41"/>
        <v>4</v>
      </c>
      <c r="AO549" t="str">
        <f t="shared" si="42"/>
        <v/>
      </c>
      <c r="AP549" t="str">
        <f t="shared" si="43"/>
        <v/>
      </c>
      <c r="AQ549">
        <f t="shared" si="44"/>
        <v>2006</v>
      </c>
    </row>
    <row r="550" spans="1:43" x14ac:dyDescent="0.35">
      <c r="A550">
        <v>464</v>
      </c>
      <c r="B550">
        <v>35</v>
      </c>
      <c r="C550" t="s">
        <v>148</v>
      </c>
      <c r="D550" t="s">
        <v>145</v>
      </c>
      <c r="E550" t="s">
        <v>4</v>
      </c>
      <c r="F550" t="s">
        <v>37</v>
      </c>
      <c r="G550" t="s">
        <v>43</v>
      </c>
      <c r="H550" t="s">
        <v>82</v>
      </c>
      <c r="I550" t="s">
        <v>43</v>
      </c>
      <c r="J550" t="s">
        <v>165</v>
      </c>
      <c r="K550" t="s">
        <v>42</v>
      </c>
      <c r="L550" t="s">
        <v>147</v>
      </c>
      <c r="M550" t="s">
        <v>49</v>
      </c>
      <c r="N550" t="s">
        <v>95</v>
      </c>
      <c r="P550" t="s">
        <v>148</v>
      </c>
      <c r="Q550">
        <v>13</v>
      </c>
      <c r="R550">
        <v>0</v>
      </c>
      <c r="S550">
        <v>17</v>
      </c>
      <c r="T550">
        <v>0</v>
      </c>
      <c r="U550">
        <v>13</v>
      </c>
      <c r="V550">
        <v>5</v>
      </c>
      <c r="W550">
        <v>62</v>
      </c>
      <c r="X550">
        <v>1296</v>
      </c>
      <c r="Y550">
        <v>18264</v>
      </c>
      <c r="Z550">
        <v>8095</v>
      </c>
      <c r="AA550">
        <v>5</v>
      </c>
      <c r="AB550" s="29">
        <v>44773</v>
      </c>
      <c r="AC550" s="29">
        <v>32183</v>
      </c>
      <c r="AD550" s="29">
        <v>39110</v>
      </c>
      <c r="AE550" s="29"/>
      <c r="AF550">
        <v>16</v>
      </c>
      <c r="AG550" t="s">
        <v>149</v>
      </c>
      <c r="AI550">
        <v>19</v>
      </c>
      <c r="AJ550">
        <v>1</v>
      </c>
      <c r="AK550" t="s">
        <v>163</v>
      </c>
      <c r="AL550" t="s">
        <v>77</v>
      </c>
      <c r="AM550">
        <f t="shared" si="40"/>
        <v>1</v>
      </c>
      <c r="AN550">
        <f t="shared" si="41"/>
        <v>1</v>
      </c>
      <c r="AO550" t="str">
        <f t="shared" si="42"/>
        <v/>
      </c>
      <c r="AP550" t="str">
        <f t="shared" si="43"/>
        <v/>
      </c>
      <c r="AQ550">
        <f t="shared" si="44"/>
        <v>2007</v>
      </c>
    </row>
    <row r="551" spans="1:43" x14ac:dyDescent="0.35">
      <c r="A551">
        <v>1047</v>
      </c>
      <c r="B551">
        <v>34</v>
      </c>
      <c r="C551" t="s">
        <v>148</v>
      </c>
      <c r="D551" t="s">
        <v>145</v>
      </c>
      <c r="E551" t="s">
        <v>158</v>
      </c>
      <c r="F551" t="s">
        <v>37</v>
      </c>
      <c r="G551" t="s">
        <v>42</v>
      </c>
      <c r="H551" t="s">
        <v>82</v>
      </c>
      <c r="I551" t="s">
        <v>44</v>
      </c>
      <c r="J551" t="s">
        <v>159</v>
      </c>
      <c r="K551" t="s">
        <v>44</v>
      </c>
      <c r="L551" t="s">
        <v>147</v>
      </c>
      <c r="M551" t="s">
        <v>48</v>
      </c>
      <c r="N551" t="s">
        <v>96</v>
      </c>
      <c r="O551" t="s">
        <v>41</v>
      </c>
      <c r="P551" t="s">
        <v>148</v>
      </c>
      <c r="Q551">
        <v>11</v>
      </c>
      <c r="R551">
        <v>0</v>
      </c>
      <c r="S551">
        <v>16</v>
      </c>
      <c r="T551">
        <v>0</v>
      </c>
      <c r="U551">
        <v>9</v>
      </c>
      <c r="V551">
        <v>1</v>
      </c>
      <c r="W551">
        <v>75</v>
      </c>
      <c r="X551">
        <v>216</v>
      </c>
      <c r="Y551">
        <v>12278</v>
      </c>
      <c r="Z551">
        <v>9725</v>
      </c>
      <c r="AA551">
        <v>2</v>
      </c>
      <c r="AB551" s="29">
        <v>44773</v>
      </c>
      <c r="AC551" s="29">
        <v>32495</v>
      </c>
      <c r="AD551" s="29">
        <v>39550</v>
      </c>
      <c r="AE551" s="29"/>
      <c r="AF551">
        <v>14</v>
      </c>
      <c r="AG551" t="s">
        <v>149</v>
      </c>
      <c r="AI551">
        <v>20</v>
      </c>
      <c r="AJ551">
        <v>1</v>
      </c>
      <c r="AK551" t="s">
        <v>154</v>
      </c>
      <c r="AL551" t="s">
        <v>77</v>
      </c>
      <c r="AM551">
        <f t="shared" si="40"/>
        <v>2</v>
      </c>
      <c r="AN551">
        <f t="shared" si="41"/>
        <v>4</v>
      </c>
      <c r="AO551" t="str">
        <f t="shared" si="42"/>
        <v/>
      </c>
      <c r="AP551" t="str">
        <f t="shared" si="43"/>
        <v/>
      </c>
      <c r="AQ551">
        <f t="shared" si="44"/>
        <v>2008</v>
      </c>
    </row>
    <row r="552" spans="1:43" x14ac:dyDescent="0.35">
      <c r="A552">
        <v>1280</v>
      </c>
      <c r="B552">
        <v>46</v>
      </c>
      <c r="C552" t="s">
        <v>148</v>
      </c>
      <c r="D552" t="s">
        <v>145</v>
      </c>
      <c r="E552" t="s">
        <v>158</v>
      </c>
      <c r="F552" t="s">
        <v>36</v>
      </c>
      <c r="G552" t="s">
        <v>44</v>
      </c>
      <c r="H552" t="s">
        <v>81</v>
      </c>
      <c r="I552" t="s">
        <v>42</v>
      </c>
      <c r="J552" t="s">
        <v>169</v>
      </c>
      <c r="K552" t="s">
        <v>42</v>
      </c>
      <c r="L552" t="s">
        <v>147</v>
      </c>
      <c r="M552" t="s">
        <v>49</v>
      </c>
      <c r="N552" t="s">
        <v>160</v>
      </c>
      <c r="O552" t="s">
        <v>41</v>
      </c>
      <c r="P552" t="s">
        <v>148</v>
      </c>
      <c r="Q552">
        <v>14</v>
      </c>
      <c r="R552">
        <v>2</v>
      </c>
      <c r="S552">
        <v>26</v>
      </c>
      <c r="T552">
        <v>0</v>
      </c>
      <c r="U552">
        <v>8</v>
      </c>
      <c r="V552">
        <v>4</v>
      </c>
      <c r="W552">
        <v>33</v>
      </c>
      <c r="X552">
        <v>168</v>
      </c>
      <c r="Y552">
        <v>9946</v>
      </c>
      <c r="Z552">
        <v>18789</v>
      </c>
      <c r="AA552">
        <v>2</v>
      </c>
      <c r="AB552" s="29">
        <v>44773</v>
      </c>
      <c r="AC552" s="29">
        <v>28194</v>
      </c>
      <c r="AD552" s="29">
        <v>41033</v>
      </c>
      <c r="AE552" s="29"/>
      <c r="AF552">
        <v>10</v>
      </c>
      <c r="AG552" t="s">
        <v>153</v>
      </c>
      <c r="AI552">
        <v>36</v>
      </c>
      <c r="AJ552">
        <v>1</v>
      </c>
      <c r="AK552" t="s">
        <v>154</v>
      </c>
      <c r="AL552" t="s">
        <v>77</v>
      </c>
      <c r="AM552">
        <f t="shared" si="40"/>
        <v>2</v>
      </c>
      <c r="AN552">
        <f t="shared" si="41"/>
        <v>5</v>
      </c>
      <c r="AO552" t="str">
        <f t="shared" si="42"/>
        <v/>
      </c>
      <c r="AP552" t="str">
        <f t="shared" si="43"/>
        <v/>
      </c>
      <c r="AQ552">
        <f t="shared" si="44"/>
        <v>2012</v>
      </c>
    </row>
    <row r="553" spans="1:43" x14ac:dyDescent="0.35">
      <c r="A553">
        <v>534</v>
      </c>
      <c r="B553">
        <v>41</v>
      </c>
      <c r="C553" t="s">
        <v>148</v>
      </c>
      <c r="D553" t="s">
        <v>145</v>
      </c>
      <c r="E553" t="s">
        <v>158</v>
      </c>
      <c r="F553" t="s">
        <v>38</v>
      </c>
      <c r="G553" t="s">
        <v>42</v>
      </c>
      <c r="H553" t="s">
        <v>82</v>
      </c>
      <c r="I553" t="s">
        <v>44</v>
      </c>
      <c r="J553" t="s">
        <v>159</v>
      </c>
      <c r="K553" t="s">
        <v>41</v>
      </c>
      <c r="L553" t="s">
        <v>147</v>
      </c>
      <c r="M553" t="s">
        <v>49</v>
      </c>
      <c r="N553" t="s">
        <v>160</v>
      </c>
      <c r="O553" t="s">
        <v>41</v>
      </c>
      <c r="P553" t="s">
        <v>148</v>
      </c>
      <c r="Q553">
        <v>16</v>
      </c>
      <c r="R553">
        <v>1</v>
      </c>
      <c r="S553">
        <v>10</v>
      </c>
      <c r="T553">
        <v>0</v>
      </c>
      <c r="U553">
        <v>7</v>
      </c>
      <c r="V553">
        <v>1</v>
      </c>
      <c r="W553">
        <v>49</v>
      </c>
      <c r="X553">
        <v>645</v>
      </c>
      <c r="Y553">
        <v>19566</v>
      </c>
      <c r="Z553">
        <v>8392</v>
      </c>
      <c r="AA553">
        <v>2</v>
      </c>
      <c r="AB553" s="29">
        <v>44773</v>
      </c>
      <c r="AC553" s="29">
        <v>29966</v>
      </c>
      <c r="AD553" s="29">
        <v>41134</v>
      </c>
      <c r="AE553" s="29"/>
      <c r="AF553">
        <v>10</v>
      </c>
      <c r="AG553" t="s">
        <v>153</v>
      </c>
      <c r="AI553">
        <v>31</v>
      </c>
      <c r="AJ553">
        <v>1</v>
      </c>
      <c r="AK553" t="s">
        <v>154</v>
      </c>
      <c r="AL553" t="s">
        <v>77</v>
      </c>
      <c r="AM553">
        <f t="shared" si="40"/>
        <v>3</v>
      </c>
      <c r="AN553">
        <f t="shared" si="41"/>
        <v>8</v>
      </c>
      <c r="AO553" t="str">
        <f t="shared" si="42"/>
        <v/>
      </c>
      <c r="AP553" t="str">
        <f t="shared" si="43"/>
        <v/>
      </c>
      <c r="AQ553">
        <f t="shared" si="44"/>
        <v>2012</v>
      </c>
    </row>
    <row r="554" spans="1:43" x14ac:dyDescent="0.35">
      <c r="A554">
        <v>722</v>
      </c>
      <c r="B554">
        <v>32</v>
      </c>
      <c r="C554" t="s">
        <v>148</v>
      </c>
      <c r="D554" t="s">
        <v>145</v>
      </c>
      <c r="E554" t="s">
        <v>158</v>
      </c>
      <c r="F554" t="s">
        <v>38</v>
      </c>
      <c r="G554" t="s">
        <v>44</v>
      </c>
      <c r="H554" t="s">
        <v>82</v>
      </c>
      <c r="I554" t="s">
        <v>43</v>
      </c>
      <c r="J554" t="s">
        <v>159</v>
      </c>
      <c r="K554" t="s">
        <v>44</v>
      </c>
      <c r="L554" t="s">
        <v>147</v>
      </c>
      <c r="M554" t="s">
        <v>48</v>
      </c>
      <c r="N554" t="s">
        <v>95</v>
      </c>
      <c r="P554" t="s">
        <v>148</v>
      </c>
      <c r="Q554">
        <v>12</v>
      </c>
      <c r="R554">
        <v>1</v>
      </c>
      <c r="S554">
        <v>10</v>
      </c>
      <c r="T554">
        <v>0</v>
      </c>
      <c r="U554">
        <v>8</v>
      </c>
      <c r="V554">
        <v>10</v>
      </c>
      <c r="W554">
        <v>55</v>
      </c>
      <c r="X554">
        <v>929</v>
      </c>
      <c r="Y554">
        <v>21703</v>
      </c>
      <c r="Z554">
        <v>5396</v>
      </c>
      <c r="AA554">
        <v>2</v>
      </c>
      <c r="AB554" s="29">
        <v>44773</v>
      </c>
      <c r="AC554" s="29">
        <v>33389</v>
      </c>
      <c r="AD554" s="29">
        <v>41139</v>
      </c>
      <c r="AE554" s="29"/>
      <c r="AF554">
        <v>10</v>
      </c>
      <c r="AG554" t="s">
        <v>149</v>
      </c>
      <c r="AI554">
        <v>22</v>
      </c>
      <c r="AJ554">
        <v>1</v>
      </c>
      <c r="AK554" t="s">
        <v>154</v>
      </c>
      <c r="AL554" t="s">
        <v>77</v>
      </c>
      <c r="AM554">
        <f t="shared" si="40"/>
        <v>3</v>
      </c>
      <c r="AN554">
        <f t="shared" si="41"/>
        <v>8</v>
      </c>
      <c r="AO554" t="str">
        <f t="shared" si="42"/>
        <v/>
      </c>
      <c r="AP554" t="str">
        <f t="shared" si="43"/>
        <v/>
      </c>
      <c r="AQ554">
        <f t="shared" si="44"/>
        <v>2012</v>
      </c>
    </row>
    <row r="555" spans="1:43" x14ac:dyDescent="0.35">
      <c r="A555">
        <v>1363</v>
      </c>
      <c r="B555">
        <v>48</v>
      </c>
      <c r="C555" t="s">
        <v>148</v>
      </c>
      <c r="D555" t="s">
        <v>145</v>
      </c>
      <c r="E555" t="s">
        <v>4</v>
      </c>
      <c r="F555" t="s">
        <v>38</v>
      </c>
      <c r="G555" t="s">
        <v>44</v>
      </c>
      <c r="H555" t="s">
        <v>82</v>
      </c>
      <c r="I555" t="s">
        <v>43</v>
      </c>
      <c r="J555" t="s">
        <v>165</v>
      </c>
      <c r="K555" t="s">
        <v>44</v>
      </c>
      <c r="L555" t="s">
        <v>147</v>
      </c>
      <c r="M555" t="s">
        <v>49</v>
      </c>
      <c r="N555" t="s">
        <v>95</v>
      </c>
      <c r="P555" t="s">
        <v>148</v>
      </c>
      <c r="Q555">
        <v>11</v>
      </c>
      <c r="R555">
        <v>1</v>
      </c>
      <c r="S555">
        <v>11</v>
      </c>
      <c r="T555">
        <v>0</v>
      </c>
      <c r="U555">
        <v>8</v>
      </c>
      <c r="V555">
        <v>4</v>
      </c>
      <c r="W555">
        <v>54</v>
      </c>
      <c r="X555">
        <v>855</v>
      </c>
      <c r="Y555">
        <v>18706</v>
      </c>
      <c r="Z555">
        <v>7898</v>
      </c>
      <c r="AA555">
        <v>2</v>
      </c>
      <c r="AB555" s="29">
        <v>44773</v>
      </c>
      <c r="AC555" s="29">
        <v>27519</v>
      </c>
      <c r="AD555" s="29">
        <v>41166</v>
      </c>
      <c r="AE555" s="29"/>
      <c r="AF555">
        <v>10</v>
      </c>
      <c r="AG555" t="s">
        <v>153</v>
      </c>
      <c r="AI555">
        <v>38</v>
      </c>
      <c r="AJ555">
        <v>1</v>
      </c>
      <c r="AK555" t="s">
        <v>154</v>
      </c>
      <c r="AL555" t="s">
        <v>78</v>
      </c>
      <c r="AM555">
        <f t="shared" si="40"/>
        <v>3</v>
      </c>
      <c r="AN555">
        <f t="shared" si="41"/>
        <v>9</v>
      </c>
      <c r="AO555" t="str">
        <f t="shared" si="42"/>
        <v/>
      </c>
      <c r="AP555" t="str">
        <f t="shared" si="43"/>
        <v/>
      </c>
      <c r="AQ555">
        <f t="shared" si="44"/>
        <v>2012</v>
      </c>
    </row>
    <row r="556" spans="1:43" x14ac:dyDescent="0.35">
      <c r="A556">
        <v>1971</v>
      </c>
      <c r="B556">
        <v>43</v>
      </c>
      <c r="C556" t="s">
        <v>148</v>
      </c>
      <c r="D556" t="s">
        <v>145</v>
      </c>
      <c r="E556" t="s">
        <v>4</v>
      </c>
      <c r="F556" t="s">
        <v>38</v>
      </c>
      <c r="G556" t="s">
        <v>41</v>
      </c>
      <c r="H556" t="s">
        <v>82</v>
      </c>
      <c r="I556" t="s">
        <v>43</v>
      </c>
      <c r="J556" t="s">
        <v>161</v>
      </c>
      <c r="K556" t="s">
        <v>43</v>
      </c>
      <c r="L556" t="s">
        <v>147</v>
      </c>
      <c r="M556" t="s">
        <v>49</v>
      </c>
      <c r="N556" t="s">
        <v>160</v>
      </c>
      <c r="O556" t="s">
        <v>41</v>
      </c>
      <c r="P556" t="s">
        <v>148</v>
      </c>
      <c r="Q556">
        <v>17</v>
      </c>
      <c r="R556">
        <v>1</v>
      </c>
      <c r="S556">
        <v>10</v>
      </c>
      <c r="T556">
        <v>0</v>
      </c>
      <c r="U556">
        <v>9</v>
      </c>
      <c r="V556">
        <v>11</v>
      </c>
      <c r="W556">
        <v>30</v>
      </c>
      <c r="X556">
        <v>574</v>
      </c>
      <c r="Y556">
        <v>16873</v>
      </c>
      <c r="Z556">
        <v>7510</v>
      </c>
      <c r="AA556">
        <v>1</v>
      </c>
      <c r="AB556" s="29">
        <v>44773</v>
      </c>
      <c r="AC556" s="29">
        <v>29262</v>
      </c>
      <c r="AD556" s="29">
        <v>41169</v>
      </c>
      <c r="AE556" s="29"/>
      <c r="AF556">
        <v>10</v>
      </c>
      <c r="AG556" t="s">
        <v>153</v>
      </c>
      <c r="AI556">
        <v>33</v>
      </c>
      <c r="AJ556">
        <v>1</v>
      </c>
      <c r="AK556" t="s">
        <v>154</v>
      </c>
      <c r="AL556" t="s">
        <v>77</v>
      </c>
      <c r="AM556">
        <f t="shared" si="40"/>
        <v>3</v>
      </c>
      <c r="AN556">
        <f t="shared" si="41"/>
        <v>9</v>
      </c>
      <c r="AO556" t="str">
        <f t="shared" si="42"/>
        <v/>
      </c>
      <c r="AP556" t="str">
        <f t="shared" si="43"/>
        <v/>
      </c>
      <c r="AQ556">
        <f t="shared" si="44"/>
        <v>2012</v>
      </c>
    </row>
    <row r="557" spans="1:43" x14ac:dyDescent="0.35">
      <c r="A557">
        <v>564</v>
      </c>
      <c r="B557">
        <v>29</v>
      </c>
      <c r="C557" t="s">
        <v>148</v>
      </c>
      <c r="D557" t="s">
        <v>145</v>
      </c>
      <c r="E557" t="s">
        <v>4</v>
      </c>
      <c r="F557" t="s">
        <v>37</v>
      </c>
      <c r="G557" t="s">
        <v>42</v>
      </c>
      <c r="H557" t="s">
        <v>82</v>
      </c>
      <c r="I557" t="s">
        <v>42</v>
      </c>
      <c r="J557" t="s">
        <v>173</v>
      </c>
      <c r="K557" t="s">
        <v>43</v>
      </c>
      <c r="L557" t="s">
        <v>147</v>
      </c>
      <c r="M557" t="s">
        <v>49</v>
      </c>
      <c r="N557" t="s">
        <v>160</v>
      </c>
      <c r="P557" t="s">
        <v>148</v>
      </c>
      <c r="Q557">
        <v>18</v>
      </c>
      <c r="R557">
        <v>1</v>
      </c>
      <c r="S557">
        <v>10</v>
      </c>
      <c r="T557">
        <v>0</v>
      </c>
      <c r="U557">
        <v>7</v>
      </c>
      <c r="V557">
        <v>3</v>
      </c>
      <c r="W557">
        <v>93</v>
      </c>
      <c r="X557">
        <v>986</v>
      </c>
      <c r="Y557">
        <v>21526</v>
      </c>
      <c r="Z557">
        <v>11935</v>
      </c>
      <c r="AA557">
        <v>2</v>
      </c>
      <c r="AB557" s="29">
        <v>44773</v>
      </c>
      <c r="AC557" s="29">
        <v>34243</v>
      </c>
      <c r="AD557" s="29">
        <v>41175</v>
      </c>
      <c r="AE557" s="29"/>
      <c r="AF557">
        <v>10</v>
      </c>
      <c r="AG557" t="s">
        <v>157</v>
      </c>
      <c r="AI557">
        <v>19</v>
      </c>
      <c r="AJ557">
        <v>1</v>
      </c>
      <c r="AK557" t="s">
        <v>154</v>
      </c>
      <c r="AL557" t="s">
        <v>78</v>
      </c>
      <c r="AM557">
        <f t="shared" si="40"/>
        <v>3</v>
      </c>
      <c r="AN557">
        <f t="shared" si="41"/>
        <v>9</v>
      </c>
      <c r="AO557" t="str">
        <f t="shared" si="42"/>
        <v/>
      </c>
      <c r="AP557" t="str">
        <f t="shared" si="43"/>
        <v/>
      </c>
      <c r="AQ557">
        <f t="shared" si="44"/>
        <v>2012</v>
      </c>
    </row>
    <row r="558" spans="1:43" x14ac:dyDescent="0.35">
      <c r="A558">
        <v>1732</v>
      </c>
      <c r="B558">
        <v>46</v>
      </c>
      <c r="C558" t="s">
        <v>148</v>
      </c>
      <c r="D558" t="s">
        <v>145</v>
      </c>
      <c r="E558" t="s">
        <v>158</v>
      </c>
      <c r="F558" t="s">
        <v>38</v>
      </c>
      <c r="G558" t="s">
        <v>43</v>
      </c>
      <c r="H558" t="s">
        <v>82</v>
      </c>
      <c r="I558" t="s">
        <v>43</v>
      </c>
      <c r="J558" t="s">
        <v>159</v>
      </c>
      <c r="K558" t="s">
        <v>44</v>
      </c>
      <c r="L558" t="s">
        <v>147</v>
      </c>
      <c r="M558" t="s">
        <v>48</v>
      </c>
      <c r="N558" t="s">
        <v>96</v>
      </c>
      <c r="O558" t="s">
        <v>41</v>
      </c>
      <c r="P558" t="s">
        <v>144</v>
      </c>
      <c r="Q558">
        <v>12</v>
      </c>
      <c r="R558">
        <v>4</v>
      </c>
      <c r="S558">
        <v>13</v>
      </c>
      <c r="T558">
        <v>0</v>
      </c>
      <c r="U558">
        <v>3</v>
      </c>
      <c r="V558">
        <v>2</v>
      </c>
      <c r="W558">
        <v>74</v>
      </c>
      <c r="X558">
        <v>1277</v>
      </c>
      <c r="Y558">
        <v>5596</v>
      </c>
      <c r="Z558">
        <v>10368</v>
      </c>
      <c r="AA558">
        <v>5</v>
      </c>
      <c r="AB558" s="29">
        <v>44773</v>
      </c>
      <c r="AC558" s="29">
        <v>28313</v>
      </c>
      <c r="AD558" s="29">
        <v>41203</v>
      </c>
      <c r="AE558" s="29"/>
      <c r="AF558">
        <v>10</v>
      </c>
      <c r="AG558" t="s">
        <v>153</v>
      </c>
      <c r="AI558">
        <v>36</v>
      </c>
      <c r="AJ558">
        <v>1</v>
      </c>
      <c r="AK558" t="s">
        <v>154</v>
      </c>
      <c r="AL558" t="s">
        <v>78</v>
      </c>
      <c r="AM558">
        <f t="shared" si="40"/>
        <v>4</v>
      </c>
      <c r="AN558">
        <f t="shared" si="41"/>
        <v>10</v>
      </c>
      <c r="AO558" t="str">
        <f t="shared" si="42"/>
        <v/>
      </c>
      <c r="AP558" t="str">
        <f t="shared" si="43"/>
        <v/>
      </c>
      <c r="AQ558">
        <f t="shared" si="44"/>
        <v>2012</v>
      </c>
    </row>
    <row r="559" spans="1:43" x14ac:dyDescent="0.35">
      <c r="A559">
        <v>1304</v>
      </c>
      <c r="B559">
        <v>32</v>
      </c>
      <c r="C559" t="s">
        <v>148</v>
      </c>
      <c r="D559" t="s">
        <v>145</v>
      </c>
      <c r="E559" t="s">
        <v>158</v>
      </c>
      <c r="F559" t="s">
        <v>38</v>
      </c>
      <c r="G559" t="s">
        <v>43</v>
      </c>
      <c r="H559" t="s">
        <v>82</v>
      </c>
      <c r="I559" t="s">
        <v>44</v>
      </c>
      <c r="J559" t="s">
        <v>159</v>
      </c>
      <c r="K559" t="s">
        <v>44</v>
      </c>
      <c r="L559" t="s">
        <v>147</v>
      </c>
      <c r="M559" t="s">
        <v>50</v>
      </c>
      <c r="N559" t="s">
        <v>160</v>
      </c>
      <c r="O559" t="s">
        <v>156</v>
      </c>
      <c r="P559" t="s">
        <v>148</v>
      </c>
      <c r="Q559">
        <v>15</v>
      </c>
      <c r="R559">
        <v>1</v>
      </c>
      <c r="S559">
        <v>10</v>
      </c>
      <c r="T559">
        <v>0</v>
      </c>
      <c r="U559">
        <v>8</v>
      </c>
      <c r="V559">
        <v>8</v>
      </c>
      <c r="W559">
        <v>56</v>
      </c>
      <c r="X559">
        <v>604</v>
      </c>
      <c r="Y559">
        <v>11693</v>
      </c>
      <c r="Z559">
        <v>6209</v>
      </c>
      <c r="AA559">
        <v>4</v>
      </c>
      <c r="AB559" s="29">
        <v>44773</v>
      </c>
      <c r="AC559" s="29">
        <v>33275</v>
      </c>
      <c r="AD559" s="29">
        <v>41233</v>
      </c>
      <c r="AE559" s="29"/>
      <c r="AF559">
        <v>10</v>
      </c>
      <c r="AG559" t="s">
        <v>149</v>
      </c>
      <c r="AI559">
        <v>22</v>
      </c>
      <c r="AJ559">
        <v>1</v>
      </c>
      <c r="AK559" t="s">
        <v>154</v>
      </c>
      <c r="AL559" t="s">
        <v>77</v>
      </c>
      <c r="AM559">
        <f t="shared" si="40"/>
        <v>4</v>
      </c>
      <c r="AN559">
        <f t="shared" si="41"/>
        <v>11</v>
      </c>
      <c r="AO559" t="str">
        <f t="shared" si="42"/>
        <v/>
      </c>
      <c r="AP559" t="str">
        <f t="shared" si="43"/>
        <v/>
      </c>
      <c r="AQ559">
        <f t="shared" si="44"/>
        <v>2012</v>
      </c>
    </row>
    <row r="560" spans="1:43" x14ac:dyDescent="0.35">
      <c r="A560">
        <v>1497</v>
      </c>
      <c r="B560">
        <v>29</v>
      </c>
      <c r="C560" t="s">
        <v>148</v>
      </c>
      <c r="D560" t="s">
        <v>145</v>
      </c>
      <c r="E560" t="s">
        <v>158</v>
      </c>
      <c r="F560" t="s">
        <v>38</v>
      </c>
      <c r="G560" t="s">
        <v>43</v>
      </c>
      <c r="H560" t="s">
        <v>82</v>
      </c>
      <c r="I560" t="s">
        <v>42</v>
      </c>
      <c r="J560" t="s">
        <v>159</v>
      </c>
      <c r="K560" t="s">
        <v>43</v>
      </c>
      <c r="L560" t="s">
        <v>147</v>
      </c>
      <c r="M560" t="s">
        <v>49</v>
      </c>
      <c r="N560" t="s">
        <v>96</v>
      </c>
      <c r="O560" t="s">
        <v>156</v>
      </c>
      <c r="P560" t="s">
        <v>148</v>
      </c>
      <c r="Q560">
        <v>14</v>
      </c>
      <c r="R560">
        <v>1</v>
      </c>
      <c r="S560">
        <v>10</v>
      </c>
      <c r="T560">
        <v>0</v>
      </c>
      <c r="U560">
        <v>4</v>
      </c>
      <c r="V560">
        <v>19</v>
      </c>
      <c r="W560">
        <v>77</v>
      </c>
      <c r="X560">
        <v>1246</v>
      </c>
      <c r="Y560">
        <v>23757</v>
      </c>
      <c r="Z560">
        <v>8620</v>
      </c>
      <c r="AA560">
        <v>3</v>
      </c>
      <c r="AB560" s="29">
        <v>44773</v>
      </c>
      <c r="AC560" s="29">
        <v>34284</v>
      </c>
      <c r="AD560" s="29">
        <v>41245</v>
      </c>
      <c r="AE560" s="29"/>
      <c r="AF560">
        <v>10</v>
      </c>
      <c r="AG560" t="s">
        <v>157</v>
      </c>
      <c r="AI560">
        <v>19</v>
      </c>
      <c r="AJ560">
        <v>1</v>
      </c>
      <c r="AK560" t="s">
        <v>154</v>
      </c>
      <c r="AL560" t="s">
        <v>77</v>
      </c>
      <c r="AM560">
        <f t="shared" si="40"/>
        <v>4</v>
      </c>
      <c r="AN560">
        <f t="shared" si="41"/>
        <v>12</v>
      </c>
      <c r="AO560" t="str">
        <f t="shared" si="42"/>
        <v/>
      </c>
      <c r="AP560" t="str">
        <f t="shared" si="43"/>
        <v/>
      </c>
      <c r="AQ560">
        <f t="shared" si="44"/>
        <v>2012</v>
      </c>
    </row>
    <row r="561" spans="1:43" x14ac:dyDescent="0.35">
      <c r="A561">
        <v>421</v>
      </c>
      <c r="B561">
        <v>38</v>
      </c>
      <c r="C561" t="s">
        <v>148</v>
      </c>
      <c r="D561" t="s">
        <v>145</v>
      </c>
      <c r="E561" t="s">
        <v>4</v>
      </c>
      <c r="F561" t="s">
        <v>36</v>
      </c>
      <c r="G561" t="s">
        <v>41</v>
      </c>
      <c r="H561" t="s">
        <v>81</v>
      </c>
      <c r="I561" t="s">
        <v>42</v>
      </c>
      <c r="J561" t="s">
        <v>173</v>
      </c>
      <c r="K561" t="s">
        <v>42</v>
      </c>
      <c r="L561" t="s">
        <v>147</v>
      </c>
      <c r="M561" t="s">
        <v>49</v>
      </c>
      <c r="N561" t="s">
        <v>160</v>
      </c>
      <c r="O561" t="s">
        <v>41</v>
      </c>
      <c r="P561" t="s">
        <v>148</v>
      </c>
      <c r="Q561">
        <v>17</v>
      </c>
      <c r="R561">
        <v>3</v>
      </c>
      <c r="S561">
        <v>19</v>
      </c>
      <c r="T561">
        <v>0</v>
      </c>
      <c r="U561">
        <v>1</v>
      </c>
      <c r="V561">
        <v>25</v>
      </c>
      <c r="W561">
        <v>81</v>
      </c>
      <c r="X561">
        <v>849</v>
      </c>
      <c r="Y561">
        <v>26707</v>
      </c>
      <c r="Z561">
        <v>12061</v>
      </c>
      <c r="AA561">
        <v>2</v>
      </c>
      <c r="AB561" s="29">
        <v>44773</v>
      </c>
      <c r="AC561" s="29">
        <v>31112</v>
      </c>
      <c r="AD561" s="29">
        <v>41261</v>
      </c>
      <c r="AE561" s="29"/>
      <c r="AF561">
        <v>10</v>
      </c>
      <c r="AG561" t="s">
        <v>149</v>
      </c>
      <c r="AI561">
        <v>28</v>
      </c>
      <c r="AJ561">
        <v>1</v>
      </c>
      <c r="AK561" t="s">
        <v>154</v>
      </c>
      <c r="AL561" t="s">
        <v>77</v>
      </c>
      <c r="AM561">
        <f t="shared" si="40"/>
        <v>4</v>
      </c>
      <c r="AN561">
        <f t="shared" si="41"/>
        <v>12</v>
      </c>
      <c r="AO561" t="str">
        <f t="shared" si="42"/>
        <v/>
      </c>
      <c r="AP561" t="str">
        <f t="shared" si="43"/>
        <v/>
      </c>
      <c r="AQ561">
        <f t="shared" si="44"/>
        <v>2012</v>
      </c>
    </row>
    <row r="562" spans="1:43" x14ac:dyDescent="0.35">
      <c r="A562">
        <v>96</v>
      </c>
      <c r="B562">
        <v>32</v>
      </c>
      <c r="C562" t="s">
        <v>148</v>
      </c>
      <c r="D562" t="s">
        <v>145</v>
      </c>
      <c r="E562" t="s">
        <v>4</v>
      </c>
      <c r="F562" t="s">
        <v>38</v>
      </c>
      <c r="G562" t="s">
        <v>42</v>
      </c>
      <c r="H562" t="s">
        <v>82</v>
      </c>
      <c r="I562" t="s">
        <v>43</v>
      </c>
      <c r="J562" t="s">
        <v>146</v>
      </c>
      <c r="K562" t="s">
        <v>42</v>
      </c>
      <c r="L562" t="s">
        <v>147</v>
      </c>
      <c r="M562" t="s">
        <v>49</v>
      </c>
      <c r="N562" t="s">
        <v>160</v>
      </c>
      <c r="O562" t="s">
        <v>156</v>
      </c>
      <c r="P562" t="s">
        <v>148</v>
      </c>
      <c r="Q562">
        <v>17</v>
      </c>
      <c r="R562">
        <v>1</v>
      </c>
      <c r="S562">
        <v>10</v>
      </c>
      <c r="T562">
        <v>0</v>
      </c>
      <c r="U562">
        <v>9</v>
      </c>
      <c r="V562">
        <v>1</v>
      </c>
      <c r="W562">
        <v>66</v>
      </c>
      <c r="X562">
        <v>548</v>
      </c>
      <c r="Y562">
        <v>7346</v>
      </c>
      <c r="Z562">
        <v>6220</v>
      </c>
      <c r="AA562">
        <v>3</v>
      </c>
      <c r="AB562" s="29">
        <v>44773</v>
      </c>
      <c r="AC562" s="29">
        <v>33235</v>
      </c>
      <c r="AD562" s="29">
        <v>41279</v>
      </c>
      <c r="AE562" s="29"/>
      <c r="AF562">
        <v>10</v>
      </c>
      <c r="AG562" t="s">
        <v>149</v>
      </c>
      <c r="AI562">
        <v>22</v>
      </c>
      <c r="AJ562">
        <v>1</v>
      </c>
      <c r="AK562" t="s">
        <v>154</v>
      </c>
      <c r="AL562" t="s">
        <v>77</v>
      </c>
      <c r="AM562">
        <f t="shared" si="40"/>
        <v>1</v>
      </c>
      <c r="AN562">
        <f t="shared" si="41"/>
        <v>1</v>
      </c>
      <c r="AO562" t="str">
        <f t="shared" si="42"/>
        <v/>
      </c>
      <c r="AP562" t="str">
        <f t="shared" si="43"/>
        <v/>
      </c>
      <c r="AQ562">
        <f t="shared" si="44"/>
        <v>2013</v>
      </c>
    </row>
    <row r="563" spans="1:43" x14ac:dyDescent="0.35">
      <c r="A563">
        <v>1729</v>
      </c>
      <c r="B563">
        <v>30</v>
      </c>
      <c r="C563" t="s">
        <v>148</v>
      </c>
      <c r="D563" t="s">
        <v>145</v>
      </c>
      <c r="E563" t="s">
        <v>4</v>
      </c>
      <c r="F563" t="s">
        <v>35</v>
      </c>
      <c r="G563" t="s">
        <v>42</v>
      </c>
      <c r="H563" t="s">
        <v>82</v>
      </c>
      <c r="I563" t="s">
        <v>43</v>
      </c>
      <c r="J563" t="s">
        <v>146</v>
      </c>
      <c r="K563" t="s">
        <v>44</v>
      </c>
      <c r="L563" t="s">
        <v>147</v>
      </c>
      <c r="M563" t="s">
        <v>48</v>
      </c>
      <c r="N563" t="s">
        <v>160</v>
      </c>
      <c r="O563" t="s">
        <v>41</v>
      </c>
      <c r="P563" t="s">
        <v>148</v>
      </c>
      <c r="Q563">
        <v>12</v>
      </c>
      <c r="R563">
        <v>1</v>
      </c>
      <c r="S563">
        <v>10</v>
      </c>
      <c r="T563">
        <v>0</v>
      </c>
      <c r="U563">
        <v>8</v>
      </c>
      <c r="V563">
        <v>16</v>
      </c>
      <c r="W563">
        <v>33</v>
      </c>
      <c r="X563">
        <v>793</v>
      </c>
      <c r="Y563">
        <v>3811</v>
      </c>
      <c r="Z563">
        <v>2862</v>
      </c>
      <c r="AA563">
        <v>2</v>
      </c>
      <c r="AB563" s="29">
        <v>44773</v>
      </c>
      <c r="AC563" s="29">
        <v>34018</v>
      </c>
      <c r="AD563" s="29">
        <v>41326</v>
      </c>
      <c r="AE563" s="29"/>
      <c r="AF563">
        <v>9</v>
      </c>
      <c r="AG563" t="s">
        <v>149</v>
      </c>
      <c r="AI563">
        <v>21</v>
      </c>
      <c r="AJ563">
        <v>1</v>
      </c>
      <c r="AK563" t="s">
        <v>150</v>
      </c>
      <c r="AL563" t="s">
        <v>77</v>
      </c>
      <c r="AM563">
        <f t="shared" si="40"/>
        <v>1</v>
      </c>
      <c r="AN563">
        <f t="shared" si="41"/>
        <v>2</v>
      </c>
      <c r="AO563" t="str">
        <f t="shared" si="42"/>
        <v/>
      </c>
      <c r="AP563" t="str">
        <f t="shared" si="43"/>
        <v/>
      </c>
      <c r="AQ563">
        <f t="shared" si="44"/>
        <v>2013</v>
      </c>
    </row>
    <row r="564" spans="1:43" x14ac:dyDescent="0.35">
      <c r="A564">
        <v>1013</v>
      </c>
      <c r="B564">
        <v>54</v>
      </c>
      <c r="C564" t="s">
        <v>148</v>
      </c>
      <c r="D564" t="s">
        <v>145</v>
      </c>
      <c r="E564" t="s">
        <v>4</v>
      </c>
      <c r="F564" t="s">
        <v>38</v>
      </c>
      <c r="G564" t="s">
        <v>43</v>
      </c>
      <c r="H564" t="s">
        <v>81</v>
      </c>
      <c r="I564" t="s">
        <v>43</v>
      </c>
      <c r="J564" t="s">
        <v>165</v>
      </c>
      <c r="K564" t="s">
        <v>43</v>
      </c>
      <c r="L564" t="s">
        <v>147</v>
      </c>
      <c r="M564" t="s">
        <v>49</v>
      </c>
      <c r="N564" t="s">
        <v>160</v>
      </c>
      <c r="O564" t="s">
        <v>41</v>
      </c>
      <c r="P564" t="s">
        <v>148</v>
      </c>
      <c r="Q564">
        <v>11</v>
      </c>
      <c r="R564">
        <v>8</v>
      </c>
      <c r="S564">
        <v>22</v>
      </c>
      <c r="T564">
        <v>0</v>
      </c>
      <c r="U564">
        <v>8</v>
      </c>
      <c r="V564">
        <v>17</v>
      </c>
      <c r="W564">
        <v>56</v>
      </c>
      <c r="X564">
        <v>1441</v>
      </c>
      <c r="Y564">
        <v>13943</v>
      </c>
      <c r="Z564">
        <v>10739</v>
      </c>
      <c r="AA564">
        <v>2</v>
      </c>
      <c r="AB564" s="29">
        <v>44773</v>
      </c>
      <c r="AC564" s="29">
        <v>25070</v>
      </c>
      <c r="AD564" s="29">
        <v>41341</v>
      </c>
      <c r="AE564" s="29"/>
      <c r="AF564">
        <v>9</v>
      </c>
      <c r="AG564" t="s">
        <v>167</v>
      </c>
      <c r="AI564">
        <v>45</v>
      </c>
      <c r="AJ564">
        <v>2</v>
      </c>
      <c r="AK564" t="s">
        <v>150</v>
      </c>
      <c r="AL564" t="s">
        <v>77</v>
      </c>
      <c r="AM564">
        <f t="shared" si="40"/>
        <v>1</v>
      </c>
      <c r="AN564">
        <f t="shared" si="41"/>
        <v>3</v>
      </c>
      <c r="AO564" t="str">
        <f t="shared" si="42"/>
        <v/>
      </c>
      <c r="AP564" t="str">
        <f t="shared" si="43"/>
        <v/>
      </c>
      <c r="AQ564">
        <f t="shared" si="44"/>
        <v>2013</v>
      </c>
    </row>
    <row r="565" spans="1:43" x14ac:dyDescent="0.35">
      <c r="A565">
        <v>1419</v>
      </c>
      <c r="B565">
        <v>29</v>
      </c>
      <c r="C565" t="s">
        <v>148</v>
      </c>
      <c r="D565" t="s">
        <v>145</v>
      </c>
      <c r="E565" t="s">
        <v>168</v>
      </c>
      <c r="F565" t="s">
        <v>38</v>
      </c>
      <c r="G565" t="s">
        <v>42</v>
      </c>
      <c r="H565" t="s">
        <v>82</v>
      </c>
      <c r="I565" t="s">
        <v>42</v>
      </c>
      <c r="J565" t="s">
        <v>168</v>
      </c>
      <c r="K565" t="s">
        <v>41</v>
      </c>
      <c r="L565" t="s">
        <v>147</v>
      </c>
      <c r="M565" t="s">
        <v>48</v>
      </c>
      <c r="N565" t="s">
        <v>95</v>
      </c>
      <c r="P565" t="s">
        <v>148</v>
      </c>
      <c r="Q565">
        <v>13</v>
      </c>
      <c r="R565">
        <v>1</v>
      </c>
      <c r="S565">
        <v>10</v>
      </c>
      <c r="T565">
        <v>0</v>
      </c>
      <c r="U565">
        <v>9</v>
      </c>
      <c r="V565">
        <v>17</v>
      </c>
      <c r="W565">
        <v>51</v>
      </c>
      <c r="X565">
        <v>332</v>
      </c>
      <c r="Y565">
        <v>9769</v>
      </c>
      <c r="Z565">
        <v>7988</v>
      </c>
      <c r="AA565">
        <v>3</v>
      </c>
      <c r="AB565" s="29">
        <v>44773</v>
      </c>
      <c r="AC565" s="29">
        <v>34418</v>
      </c>
      <c r="AD565" s="29">
        <v>41350</v>
      </c>
      <c r="AE565" s="29"/>
      <c r="AF565">
        <v>9</v>
      </c>
      <c r="AG565" t="s">
        <v>157</v>
      </c>
      <c r="AI565">
        <v>20</v>
      </c>
      <c r="AJ565">
        <v>1</v>
      </c>
      <c r="AK565" t="s">
        <v>150</v>
      </c>
      <c r="AL565" t="s">
        <v>77</v>
      </c>
      <c r="AM565">
        <f t="shared" si="40"/>
        <v>1</v>
      </c>
      <c r="AN565">
        <f t="shared" si="41"/>
        <v>3</v>
      </c>
      <c r="AO565" t="str">
        <f t="shared" si="42"/>
        <v/>
      </c>
      <c r="AP565" t="str">
        <f t="shared" si="43"/>
        <v/>
      </c>
      <c r="AQ565">
        <f t="shared" si="44"/>
        <v>2013</v>
      </c>
    </row>
    <row r="566" spans="1:43" x14ac:dyDescent="0.35">
      <c r="A566">
        <v>2008</v>
      </c>
      <c r="B566">
        <v>35</v>
      </c>
      <c r="C566" t="s">
        <v>148</v>
      </c>
      <c r="D566" t="s">
        <v>145</v>
      </c>
      <c r="E566" t="s">
        <v>4</v>
      </c>
      <c r="F566" t="s">
        <v>37</v>
      </c>
      <c r="G566" t="s">
        <v>42</v>
      </c>
      <c r="H566" t="s">
        <v>82</v>
      </c>
      <c r="I566" t="s">
        <v>43</v>
      </c>
      <c r="J566" t="s">
        <v>146</v>
      </c>
      <c r="K566" t="s">
        <v>43</v>
      </c>
      <c r="L566" t="s">
        <v>147</v>
      </c>
      <c r="M566" t="s">
        <v>49</v>
      </c>
      <c r="N566" t="s">
        <v>95</v>
      </c>
      <c r="P566" t="s">
        <v>148</v>
      </c>
      <c r="Q566">
        <v>19</v>
      </c>
      <c r="R566">
        <v>1</v>
      </c>
      <c r="S566">
        <v>10</v>
      </c>
      <c r="T566">
        <v>0</v>
      </c>
      <c r="U566">
        <v>8</v>
      </c>
      <c r="V566">
        <v>9</v>
      </c>
      <c r="W566">
        <v>48</v>
      </c>
      <c r="X566">
        <v>1395</v>
      </c>
      <c r="Y566">
        <v>18698</v>
      </c>
      <c r="Z566">
        <v>5098</v>
      </c>
      <c r="AA566">
        <v>5</v>
      </c>
      <c r="AB566" s="29">
        <v>44773</v>
      </c>
      <c r="AC566" s="29">
        <v>32087</v>
      </c>
      <c r="AD566" s="29">
        <v>41358</v>
      </c>
      <c r="AE566" s="29"/>
      <c r="AF566">
        <v>9</v>
      </c>
      <c r="AG566" t="s">
        <v>149</v>
      </c>
      <c r="AI566">
        <v>26</v>
      </c>
      <c r="AJ566">
        <v>2</v>
      </c>
      <c r="AK566" t="s">
        <v>150</v>
      </c>
      <c r="AL566" t="s">
        <v>77</v>
      </c>
      <c r="AM566">
        <f t="shared" si="40"/>
        <v>1</v>
      </c>
      <c r="AN566">
        <f t="shared" si="41"/>
        <v>3</v>
      </c>
      <c r="AO566" t="str">
        <f t="shared" si="42"/>
        <v/>
      </c>
      <c r="AP566" t="str">
        <f t="shared" si="43"/>
        <v/>
      </c>
      <c r="AQ566">
        <f t="shared" si="44"/>
        <v>2013</v>
      </c>
    </row>
    <row r="567" spans="1:43" x14ac:dyDescent="0.35">
      <c r="A567">
        <v>1727</v>
      </c>
      <c r="B567">
        <v>46</v>
      </c>
      <c r="C567" t="s">
        <v>148</v>
      </c>
      <c r="D567" t="s">
        <v>145</v>
      </c>
      <c r="E567" t="s">
        <v>4</v>
      </c>
      <c r="F567" t="s">
        <v>37</v>
      </c>
      <c r="G567" t="s">
        <v>43</v>
      </c>
      <c r="H567" t="s">
        <v>82</v>
      </c>
      <c r="I567" t="s">
        <v>43</v>
      </c>
      <c r="J567" t="s">
        <v>161</v>
      </c>
      <c r="K567" t="s">
        <v>42</v>
      </c>
      <c r="L567" t="s">
        <v>147</v>
      </c>
      <c r="M567" t="s">
        <v>49</v>
      </c>
      <c r="N567" t="s">
        <v>95</v>
      </c>
      <c r="P567" t="s">
        <v>148</v>
      </c>
      <c r="Q567">
        <v>14</v>
      </c>
      <c r="R567">
        <v>6</v>
      </c>
      <c r="S567">
        <v>19</v>
      </c>
      <c r="T567">
        <v>0</v>
      </c>
      <c r="U567">
        <v>9</v>
      </c>
      <c r="V567">
        <v>13</v>
      </c>
      <c r="W567">
        <v>34</v>
      </c>
      <c r="X567">
        <v>717</v>
      </c>
      <c r="Y567">
        <v>9697</v>
      </c>
      <c r="Z567">
        <v>5562</v>
      </c>
      <c r="AA567">
        <v>3</v>
      </c>
      <c r="AB567" s="29">
        <v>44773</v>
      </c>
      <c r="AC567" s="29">
        <v>28115</v>
      </c>
      <c r="AD567" s="29">
        <v>41363</v>
      </c>
      <c r="AE567" s="29"/>
      <c r="AF567">
        <v>9</v>
      </c>
      <c r="AG567" t="s">
        <v>153</v>
      </c>
      <c r="AI567">
        <v>37</v>
      </c>
      <c r="AJ567">
        <v>1</v>
      </c>
      <c r="AK567" t="s">
        <v>150</v>
      </c>
      <c r="AL567" t="s">
        <v>77</v>
      </c>
      <c r="AM567">
        <f t="shared" si="40"/>
        <v>1</v>
      </c>
      <c r="AN567">
        <f t="shared" si="41"/>
        <v>3</v>
      </c>
      <c r="AO567" t="str">
        <f t="shared" si="42"/>
        <v/>
      </c>
      <c r="AP567" t="str">
        <f t="shared" si="43"/>
        <v/>
      </c>
      <c r="AQ567">
        <f t="shared" si="44"/>
        <v>2013</v>
      </c>
    </row>
    <row r="568" spans="1:43" x14ac:dyDescent="0.35">
      <c r="A568">
        <v>1673</v>
      </c>
      <c r="B568">
        <v>31</v>
      </c>
      <c r="C568" t="s">
        <v>148</v>
      </c>
      <c r="D568" t="s">
        <v>145</v>
      </c>
      <c r="E568" t="s">
        <v>158</v>
      </c>
      <c r="F568" t="s">
        <v>37</v>
      </c>
      <c r="G568" t="s">
        <v>41</v>
      </c>
      <c r="H568" t="s">
        <v>81</v>
      </c>
      <c r="I568" t="s">
        <v>43</v>
      </c>
      <c r="J568" t="s">
        <v>159</v>
      </c>
      <c r="K568" t="s">
        <v>44</v>
      </c>
      <c r="L568" t="s">
        <v>147</v>
      </c>
      <c r="M568" t="s">
        <v>49</v>
      </c>
      <c r="N568" t="s">
        <v>160</v>
      </c>
      <c r="O568" t="s">
        <v>156</v>
      </c>
      <c r="P568" t="s">
        <v>148</v>
      </c>
      <c r="Q568">
        <v>11</v>
      </c>
      <c r="R568">
        <v>1</v>
      </c>
      <c r="S568">
        <v>10</v>
      </c>
      <c r="T568">
        <v>0</v>
      </c>
      <c r="U568">
        <v>2</v>
      </c>
      <c r="V568">
        <v>5</v>
      </c>
      <c r="W568">
        <v>67</v>
      </c>
      <c r="X568">
        <v>1112</v>
      </c>
      <c r="Y568">
        <v>22589</v>
      </c>
      <c r="Z568">
        <v>5476</v>
      </c>
      <c r="AA568">
        <v>2</v>
      </c>
      <c r="AB568" s="29">
        <v>44773</v>
      </c>
      <c r="AC568" s="29">
        <v>33460</v>
      </c>
      <c r="AD568" s="29">
        <v>41370</v>
      </c>
      <c r="AE568" s="29"/>
      <c r="AF568">
        <v>9</v>
      </c>
      <c r="AG568" t="s">
        <v>149</v>
      </c>
      <c r="AI568">
        <v>22</v>
      </c>
      <c r="AJ568">
        <v>2</v>
      </c>
      <c r="AK568" t="s">
        <v>150</v>
      </c>
      <c r="AL568" t="s">
        <v>77</v>
      </c>
      <c r="AM568">
        <f t="shared" si="40"/>
        <v>2</v>
      </c>
      <c r="AN568">
        <f t="shared" si="41"/>
        <v>4</v>
      </c>
      <c r="AO568" t="str">
        <f t="shared" si="42"/>
        <v/>
      </c>
      <c r="AP568" t="str">
        <f t="shared" si="43"/>
        <v/>
      </c>
      <c r="AQ568">
        <f t="shared" si="44"/>
        <v>2013</v>
      </c>
    </row>
    <row r="569" spans="1:43" x14ac:dyDescent="0.35">
      <c r="A569">
        <v>1627</v>
      </c>
      <c r="B569">
        <v>39</v>
      </c>
      <c r="C569" t="s">
        <v>148</v>
      </c>
      <c r="D569" t="s">
        <v>145</v>
      </c>
      <c r="E569" t="s">
        <v>4</v>
      </c>
      <c r="F569" t="s">
        <v>36</v>
      </c>
      <c r="G569" t="s">
        <v>43</v>
      </c>
      <c r="H569" t="s">
        <v>82</v>
      </c>
      <c r="I569" t="s">
        <v>42</v>
      </c>
      <c r="J569" t="s">
        <v>155</v>
      </c>
      <c r="K569" t="s">
        <v>43</v>
      </c>
      <c r="L569" t="s">
        <v>147</v>
      </c>
      <c r="M569" t="s">
        <v>49</v>
      </c>
      <c r="N569" t="s">
        <v>96</v>
      </c>
      <c r="O569" t="s">
        <v>41</v>
      </c>
      <c r="P569" t="s">
        <v>148</v>
      </c>
      <c r="Q569">
        <v>15</v>
      </c>
      <c r="R569">
        <v>0</v>
      </c>
      <c r="S569">
        <v>11</v>
      </c>
      <c r="T569">
        <v>0</v>
      </c>
      <c r="U569">
        <v>7</v>
      </c>
      <c r="V569">
        <v>3</v>
      </c>
      <c r="W569">
        <v>76</v>
      </c>
      <c r="X569">
        <v>170</v>
      </c>
      <c r="Y569">
        <v>10302</v>
      </c>
      <c r="Z569">
        <v>3069</v>
      </c>
      <c r="AA569">
        <v>3</v>
      </c>
      <c r="AB569" s="29">
        <v>44773</v>
      </c>
      <c r="AC569" s="29">
        <v>30884</v>
      </c>
      <c r="AD569" s="29">
        <v>41371</v>
      </c>
      <c r="AE569" s="29"/>
      <c r="AF569">
        <v>9</v>
      </c>
      <c r="AG569" t="s">
        <v>149</v>
      </c>
      <c r="AI569">
        <v>30</v>
      </c>
      <c r="AJ569">
        <v>1</v>
      </c>
      <c r="AK569" t="s">
        <v>150</v>
      </c>
      <c r="AL569" t="s">
        <v>77</v>
      </c>
      <c r="AM569">
        <f t="shared" si="40"/>
        <v>2</v>
      </c>
      <c r="AN569">
        <f t="shared" si="41"/>
        <v>4</v>
      </c>
      <c r="AO569" t="str">
        <f t="shared" si="42"/>
        <v/>
      </c>
      <c r="AP569" t="str">
        <f t="shared" si="43"/>
        <v/>
      </c>
      <c r="AQ569">
        <f t="shared" si="44"/>
        <v>2013</v>
      </c>
    </row>
    <row r="570" spans="1:43" x14ac:dyDescent="0.35">
      <c r="A570">
        <v>550</v>
      </c>
      <c r="B570">
        <v>46</v>
      </c>
      <c r="C570" t="s">
        <v>148</v>
      </c>
      <c r="D570" t="s">
        <v>145</v>
      </c>
      <c r="E570" t="s">
        <v>4</v>
      </c>
      <c r="F570" t="s">
        <v>38</v>
      </c>
      <c r="G570" t="s">
        <v>43</v>
      </c>
      <c r="H570" t="s">
        <v>81</v>
      </c>
      <c r="I570" t="s">
        <v>43</v>
      </c>
      <c r="J570" t="s">
        <v>165</v>
      </c>
      <c r="K570" t="s">
        <v>43</v>
      </c>
      <c r="L570" t="s">
        <v>147</v>
      </c>
      <c r="M570" t="s">
        <v>48</v>
      </c>
      <c r="N570" t="s">
        <v>96</v>
      </c>
      <c r="O570" t="s">
        <v>41</v>
      </c>
      <c r="P570" t="s">
        <v>148</v>
      </c>
      <c r="Q570">
        <v>14</v>
      </c>
      <c r="R570">
        <v>2</v>
      </c>
      <c r="S570">
        <v>19</v>
      </c>
      <c r="T570">
        <v>0</v>
      </c>
      <c r="U570">
        <v>8</v>
      </c>
      <c r="V570">
        <v>18</v>
      </c>
      <c r="W570">
        <v>87</v>
      </c>
      <c r="X570">
        <v>1485</v>
      </c>
      <c r="Y570">
        <v>26314</v>
      </c>
      <c r="Z570">
        <v>4810</v>
      </c>
      <c r="AA570">
        <v>5</v>
      </c>
      <c r="AB570" s="29">
        <v>44773</v>
      </c>
      <c r="AC570" s="29">
        <v>28290</v>
      </c>
      <c r="AD570" s="29">
        <v>41377</v>
      </c>
      <c r="AE570" s="29"/>
      <c r="AF570">
        <v>9</v>
      </c>
      <c r="AG570" t="s">
        <v>153</v>
      </c>
      <c r="AI570">
        <v>37</v>
      </c>
      <c r="AJ570">
        <v>1</v>
      </c>
      <c r="AK570" t="s">
        <v>150</v>
      </c>
      <c r="AL570" t="s">
        <v>77</v>
      </c>
      <c r="AM570">
        <f t="shared" si="40"/>
        <v>2</v>
      </c>
      <c r="AN570">
        <f t="shared" si="41"/>
        <v>4</v>
      </c>
      <c r="AO570" t="str">
        <f t="shared" si="42"/>
        <v/>
      </c>
      <c r="AP570" t="str">
        <f t="shared" si="43"/>
        <v/>
      </c>
      <c r="AQ570">
        <f t="shared" si="44"/>
        <v>2013</v>
      </c>
    </row>
    <row r="571" spans="1:43" x14ac:dyDescent="0.35">
      <c r="A571">
        <v>389</v>
      </c>
      <c r="B571">
        <v>55</v>
      </c>
      <c r="C571" t="s">
        <v>148</v>
      </c>
      <c r="D571" t="s">
        <v>145</v>
      </c>
      <c r="E571" t="s">
        <v>4</v>
      </c>
      <c r="F571" t="s">
        <v>36</v>
      </c>
      <c r="G571" t="s">
        <v>42</v>
      </c>
      <c r="H571" t="s">
        <v>82</v>
      </c>
      <c r="I571" t="s">
        <v>43</v>
      </c>
      <c r="J571" t="s">
        <v>155</v>
      </c>
      <c r="K571" t="s">
        <v>44</v>
      </c>
      <c r="L571" t="s">
        <v>147</v>
      </c>
      <c r="M571" t="s">
        <v>49</v>
      </c>
      <c r="N571" t="s">
        <v>160</v>
      </c>
      <c r="O571" t="s">
        <v>41</v>
      </c>
      <c r="P571" t="s">
        <v>144</v>
      </c>
      <c r="Q571">
        <v>19</v>
      </c>
      <c r="R571">
        <v>3</v>
      </c>
      <c r="S571">
        <v>12</v>
      </c>
      <c r="T571">
        <v>0</v>
      </c>
      <c r="U571">
        <v>8</v>
      </c>
      <c r="V571">
        <v>20</v>
      </c>
      <c r="W571">
        <v>37</v>
      </c>
      <c r="X571">
        <v>147</v>
      </c>
      <c r="Y571">
        <v>15972</v>
      </c>
      <c r="Z571">
        <v>5415</v>
      </c>
      <c r="AA571">
        <v>4</v>
      </c>
      <c r="AB571" s="29">
        <v>44773</v>
      </c>
      <c r="AC571" s="29">
        <v>24790</v>
      </c>
      <c r="AD571" s="29">
        <v>41394</v>
      </c>
      <c r="AE571" s="29"/>
      <c r="AF571">
        <v>9</v>
      </c>
      <c r="AG571" t="s">
        <v>167</v>
      </c>
      <c r="AI571">
        <v>46</v>
      </c>
      <c r="AJ571">
        <v>1</v>
      </c>
      <c r="AK571" t="s">
        <v>150</v>
      </c>
      <c r="AL571" t="s">
        <v>77</v>
      </c>
      <c r="AM571">
        <f t="shared" si="40"/>
        <v>2</v>
      </c>
      <c r="AN571">
        <f t="shared" si="41"/>
        <v>4</v>
      </c>
      <c r="AO571" t="str">
        <f t="shared" si="42"/>
        <v/>
      </c>
      <c r="AP571" t="str">
        <f t="shared" si="43"/>
        <v/>
      </c>
      <c r="AQ571">
        <f t="shared" si="44"/>
        <v>2013</v>
      </c>
    </row>
    <row r="572" spans="1:43" x14ac:dyDescent="0.35">
      <c r="A572">
        <v>1250</v>
      </c>
      <c r="B572">
        <v>54</v>
      </c>
      <c r="C572" t="s">
        <v>148</v>
      </c>
      <c r="D572" t="s">
        <v>145</v>
      </c>
      <c r="E572" t="s">
        <v>4</v>
      </c>
      <c r="F572" t="s">
        <v>38</v>
      </c>
      <c r="G572" t="s">
        <v>44</v>
      </c>
      <c r="H572" t="s">
        <v>82</v>
      </c>
      <c r="I572" t="s">
        <v>43</v>
      </c>
      <c r="J572" t="s">
        <v>173</v>
      </c>
      <c r="K572" t="s">
        <v>44</v>
      </c>
      <c r="L572" t="s">
        <v>147</v>
      </c>
      <c r="M572" t="s">
        <v>49</v>
      </c>
      <c r="N572" t="s">
        <v>160</v>
      </c>
      <c r="P572" t="s">
        <v>148</v>
      </c>
      <c r="Q572">
        <v>14</v>
      </c>
      <c r="R572">
        <v>3</v>
      </c>
      <c r="S572">
        <v>36</v>
      </c>
      <c r="T572">
        <v>0</v>
      </c>
      <c r="U572">
        <v>9</v>
      </c>
      <c r="V572">
        <v>3</v>
      </c>
      <c r="W572">
        <v>85</v>
      </c>
      <c r="X572">
        <v>685</v>
      </c>
      <c r="Y572">
        <v>23474</v>
      </c>
      <c r="Z572">
        <v>17779</v>
      </c>
      <c r="AA572">
        <v>2</v>
      </c>
      <c r="AB572" s="29">
        <v>44773</v>
      </c>
      <c r="AC572" s="29">
        <v>25227</v>
      </c>
      <c r="AD572" s="29">
        <v>41397</v>
      </c>
      <c r="AE572" s="29"/>
      <c r="AF572">
        <v>9</v>
      </c>
      <c r="AG572" t="s">
        <v>167</v>
      </c>
      <c r="AI572">
        <v>45</v>
      </c>
      <c r="AJ572">
        <v>1</v>
      </c>
      <c r="AK572" t="s">
        <v>150</v>
      </c>
      <c r="AL572" t="s">
        <v>77</v>
      </c>
      <c r="AM572">
        <f t="shared" si="40"/>
        <v>2</v>
      </c>
      <c r="AN572">
        <f t="shared" si="41"/>
        <v>5</v>
      </c>
      <c r="AO572" t="str">
        <f t="shared" si="42"/>
        <v/>
      </c>
      <c r="AP572" t="str">
        <f t="shared" si="43"/>
        <v/>
      </c>
      <c r="AQ572">
        <f t="shared" si="44"/>
        <v>2013</v>
      </c>
    </row>
    <row r="573" spans="1:43" x14ac:dyDescent="0.35">
      <c r="A573">
        <v>1962</v>
      </c>
      <c r="B573">
        <v>35</v>
      </c>
      <c r="C573" t="s">
        <v>148</v>
      </c>
      <c r="D573" t="s">
        <v>145</v>
      </c>
      <c r="E573" t="s">
        <v>158</v>
      </c>
      <c r="F573" t="s">
        <v>37</v>
      </c>
      <c r="G573" t="s">
        <v>43</v>
      </c>
      <c r="H573" t="s">
        <v>81</v>
      </c>
      <c r="I573" t="s">
        <v>43</v>
      </c>
      <c r="J573" t="s">
        <v>159</v>
      </c>
      <c r="K573" t="s">
        <v>44</v>
      </c>
      <c r="L573" t="s">
        <v>147</v>
      </c>
      <c r="M573" t="s">
        <v>49</v>
      </c>
      <c r="N573" t="s">
        <v>160</v>
      </c>
      <c r="P573" t="s">
        <v>144</v>
      </c>
      <c r="Q573">
        <v>11</v>
      </c>
      <c r="R573">
        <v>1</v>
      </c>
      <c r="S573">
        <v>10</v>
      </c>
      <c r="T573">
        <v>0</v>
      </c>
      <c r="U573">
        <v>9</v>
      </c>
      <c r="V573">
        <v>7</v>
      </c>
      <c r="W573">
        <v>55</v>
      </c>
      <c r="X573">
        <v>1224</v>
      </c>
      <c r="Y573">
        <v>13586</v>
      </c>
      <c r="Z573">
        <v>5204</v>
      </c>
      <c r="AA573">
        <v>2</v>
      </c>
      <c r="AB573" s="29">
        <v>44773</v>
      </c>
      <c r="AC573" s="29">
        <v>32033</v>
      </c>
      <c r="AD573" s="29">
        <v>41425</v>
      </c>
      <c r="AE573" s="29"/>
      <c r="AF573">
        <v>9</v>
      </c>
      <c r="AG573" t="s">
        <v>149</v>
      </c>
      <c r="AI573">
        <v>26</v>
      </c>
      <c r="AJ573">
        <v>1</v>
      </c>
      <c r="AK573" t="s">
        <v>150</v>
      </c>
      <c r="AL573" t="s">
        <v>77</v>
      </c>
      <c r="AM573">
        <f t="shared" si="40"/>
        <v>2</v>
      </c>
      <c r="AN573">
        <f t="shared" si="41"/>
        <v>5</v>
      </c>
      <c r="AO573" t="str">
        <f t="shared" si="42"/>
        <v/>
      </c>
      <c r="AP573" t="str">
        <f t="shared" si="43"/>
        <v/>
      </c>
      <c r="AQ573">
        <f t="shared" si="44"/>
        <v>2013</v>
      </c>
    </row>
    <row r="574" spans="1:43" x14ac:dyDescent="0.35">
      <c r="A574">
        <v>984</v>
      </c>
      <c r="B574">
        <v>35</v>
      </c>
      <c r="C574" t="s">
        <v>148</v>
      </c>
      <c r="D574" t="s">
        <v>145</v>
      </c>
      <c r="E574" t="s">
        <v>158</v>
      </c>
      <c r="F574" t="s">
        <v>37</v>
      </c>
      <c r="G574" t="s">
        <v>44</v>
      </c>
      <c r="H574" t="s">
        <v>82</v>
      </c>
      <c r="I574" t="s">
        <v>43</v>
      </c>
      <c r="J574" t="s">
        <v>159</v>
      </c>
      <c r="K574" t="s">
        <v>44</v>
      </c>
      <c r="L574" t="s">
        <v>147</v>
      </c>
      <c r="M574" t="s">
        <v>49</v>
      </c>
      <c r="N574" t="s">
        <v>96</v>
      </c>
      <c r="O574" t="s">
        <v>41</v>
      </c>
      <c r="P574" t="s">
        <v>148</v>
      </c>
      <c r="Q574">
        <v>13</v>
      </c>
      <c r="R574">
        <v>6</v>
      </c>
      <c r="S574">
        <v>12</v>
      </c>
      <c r="T574">
        <v>0</v>
      </c>
      <c r="U574">
        <v>8</v>
      </c>
      <c r="V574">
        <v>3</v>
      </c>
      <c r="W574">
        <v>92</v>
      </c>
      <c r="X574">
        <v>882</v>
      </c>
      <c r="Y574">
        <v>6812</v>
      </c>
      <c r="Z574">
        <v>7823</v>
      </c>
      <c r="AA574">
        <v>2</v>
      </c>
      <c r="AB574" s="29">
        <v>44773</v>
      </c>
      <c r="AC574" s="29">
        <v>32286</v>
      </c>
      <c r="AD574" s="29">
        <v>41430</v>
      </c>
      <c r="AE574" s="29"/>
      <c r="AF574">
        <v>9</v>
      </c>
      <c r="AG574" t="s">
        <v>149</v>
      </c>
      <c r="AI574">
        <v>26</v>
      </c>
      <c r="AJ574">
        <v>1</v>
      </c>
      <c r="AK574" t="s">
        <v>150</v>
      </c>
      <c r="AL574" t="s">
        <v>77</v>
      </c>
      <c r="AM574">
        <f t="shared" si="40"/>
        <v>2</v>
      </c>
      <c r="AN574">
        <f t="shared" si="41"/>
        <v>6</v>
      </c>
      <c r="AO574" t="str">
        <f t="shared" si="42"/>
        <v/>
      </c>
      <c r="AP574" t="str">
        <f t="shared" si="43"/>
        <v/>
      </c>
      <c r="AQ574">
        <f t="shared" si="44"/>
        <v>2013</v>
      </c>
    </row>
    <row r="575" spans="1:43" x14ac:dyDescent="0.35">
      <c r="A575">
        <v>204</v>
      </c>
      <c r="B575">
        <v>35</v>
      </c>
      <c r="C575" t="s">
        <v>148</v>
      </c>
      <c r="D575" t="s">
        <v>145</v>
      </c>
      <c r="E575" t="s">
        <v>158</v>
      </c>
      <c r="F575" t="s">
        <v>34</v>
      </c>
      <c r="G575" t="s">
        <v>43</v>
      </c>
      <c r="H575" t="s">
        <v>82</v>
      </c>
      <c r="I575" t="s">
        <v>43</v>
      </c>
      <c r="J575" t="s">
        <v>159</v>
      </c>
      <c r="K575" t="s">
        <v>42</v>
      </c>
      <c r="L575" t="s">
        <v>147</v>
      </c>
      <c r="M575" t="s">
        <v>49</v>
      </c>
      <c r="N575" t="s">
        <v>160</v>
      </c>
      <c r="O575" t="s">
        <v>156</v>
      </c>
      <c r="P575" t="s">
        <v>148</v>
      </c>
      <c r="Q575">
        <v>13</v>
      </c>
      <c r="R575">
        <v>1</v>
      </c>
      <c r="S575">
        <v>10</v>
      </c>
      <c r="T575">
        <v>0</v>
      </c>
      <c r="U575">
        <v>6</v>
      </c>
      <c r="V575">
        <v>1</v>
      </c>
      <c r="W575">
        <v>94</v>
      </c>
      <c r="X575">
        <v>662</v>
      </c>
      <c r="Y575">
        <v>11439</v>
      </c>
      <c r="Z575">
        <v>7295</v>
      </c>
      <c r="AA575">
        <v>3</v>
      </c>
      <c r="AB575" s="29">
        <v>44773</v>
      </c>
      <c r="AC575" s="29">
        <v>32164</v>
      </c>
      <c r="AD575" s="29">
        <v>41460</v>
      </c>
      <c r="AE575" s="29"/>
      <c r="AF575">
        <v>9</v>
      </c>
      <c r="AG575" t="s">
        <v>149</v>
      </c>
      <c r="AI575">
        <v>26</v>
      </c>
      <c r="AJ575">
        <v>1</v>
      </c>
      <c r="AK575" t="s">
        <v>150</v>
      </c>
      <c r="AL575" t="s">
        <v>77</v>
      </c>
      <c r="AM575">
        <f t="shared" si="40"/>
        <v>3</v>
      </c>
      <c r="AN575">
        <f t="shared" si="41"/>
        <v>7</v>
      </c>
      <c r="AO575" t="str">
        <f t="shared" si="42"/>
        <v/>
      </c>
      <c r="AP575" t="str">
        <f t="shared" si="43"/>
        <v/>
      </c>
      <c r="AQ575">
        <f t="shared" si="44"/>
        <v>2013</v>
      </c>
    </row>
    <row r="576" spans="1:43" x14ac:dyDescent="0.35">
      <c r="A576">
        <v>1924</v>
      </c>
      <c r="B576">
        <v>33</v>
      </c>
      <c r="C576" t="s">
        <v>148</v>
      </c>
      <c r="D576" t="s">
        <v>145</v>
      </c>
      <c r="E576" t="s">
        <v>158</v>
      </c>
      <c r="F576" t="s">
        <v>37</v>
      </c>
      <c r="G576" t="s">
        <v>42</v>
      </c>
      <c r="H576" t="s">
        <v>82</v>
      </c>
      <c r="I576" t="s">
        <v>43</v>
      </c>
      <c r="J576" t="s">
        <v>159</v>
      </c>
      <c r="K576" t="s">
        <v>43</v>
      </c>
      <c r="L576" t="s">
        <v>147</v>
      </c>
      <c r="M576" t="s">
        <v>48</v>
      </c>
      <c r="N576" t="s">
        <v>95</v>
      </c>
      <c r="P576" t="s">
        <v>148</v>
      </c>
      <c r="Q576">
        <v>14</v>
      </c>
      <c r="R576">
        <v>1</v>
      </c>
      <c r="S576">
        <v>10</v>
      </c>
      <c r="T576">
        <v>0</v>
      </c>
      <c r="U576">
        <v>9</v>
      </c>
      <c r="V576">
        <v>10</v>
      </c>
      <c r="W576">
        <v>43</v>
      </c>
      <c r="X576">
        <v>217</v>
      </c>
      <c r="Y576">
        <v>10410</v>
      </c>
      <c r="Z576">
        <v>5487</v>
      </c>
      <c r="AA576">
        <v>2</v>
      </c>
      <c r="AB576" s="29">
        <v>44773</v>
      </c>
      <c r="AC576" s="29">
        <v>32992</v>
      </c>
      <c r="AD576" s="29">
        <v>41466</v>
      </c>
      <c r="AE576" s="29"/>
      <c r="AF576">
        <v>9</v>
      </c>
      <c r="AG576" t="s">
        <v>149</v>
      </c>
      <c r="AI576">
        <v>24</v>
      </c>
      <c r="AJ576">
        <v>1</v>
      </c>
      <c r="AK576" t="s">
        <v>150</v>
      </c>
      <c r="AL576" t="s">
        <v>77</v>
      </c>
      <c r="AM576">
        <f t="shared" si="40"/>
        <v>3</v>
      </c>
      <c r="AN576">
        <f t="shared" si="41"/>
        <v>7</v>
      </c>
      <c r="AO576" t="str">
        <f t="shared" si="42"/>
        <v/>
      </c>
      <c r="AP576" t="str">
        <f t="shared" si="43"/>
        <v/>
      </c>
      <c r="AQ576">
        <f t="shared" si="44"/>
        <v>2013</v>
      </c>
    </row>
    <row r="577" spans="1:43" x14ac:dyDescent="0.35">
      <c r="A577">
        <v>1192</v>
      </c>
      <c r="B577">
        <v>29</v>
      </c>
      <c r="C577" t="s">
        <v>148</v>
      </c>
      <c r="D577" t="s">
        <v>145</v>
      </c>
      <c r="E577" t="s">
        <v>4</v>
      </c>
      <c r="F577" t="s">
        <v>35</v>
      </c>
      <c r="G577" t="s">
        <v>42</v>
      </c>
      <c r="H577" t="s">
        <v>81</v>
      </c>
      <c r="I577" t="s">
        <v>43</v>
      </c>
      <c r="J577" t="s">
        <v>155</v>
      </c>
      <c r="K577" t="s">
        <v>44</v>
      </c>
      <c r="L577" t="s">
        <v>147</v>
      </c>
      <c r="M577" t="s">
        <v>49</v>
      </c>
      <c r="N577" t="s">
        <v>160</v>
      </c>
      <c r="O577" t="s">
        <v>41</v>
      </c>
      <c r="P577" t="s">
        <v>148</v>
      </c>
      <c r="Q577">
        <v>13</v>
      </c>
      <c r="R577">
        <v>1</v>
      </c>
      <c r="S577">
        <v>10</v>
      </c>
      <c r="T577">
        <v>0</v>
      </c>
      <c r="U577">
        <v>8</v>
      </c>
      <c r="V577">
        <v>6</v>
      </c>
      <c r="W577">
        <v>54</v>
      </c>
      <c r="X577">
        <v>1401</v>
      </c>
      <c r="Y577">
        <v>26342</v>
      </c>
      <c r="Z577">
        <v>3131</v>
      </c>
      <c r="AA577">
        <v>5</v>
      </c>
      <c r="AB577" s="29">
        <v>44773</v>
      </c>
      <c r="AC577" s="29">
        <v>34300</v>
      </c>
      <c r="AD577" s="29">
        <v>41474</v>
      </c>
      <c r="AE577" s="29"/>
      <c r="AF577">
        <v>9</v>
      </c>
      <c r="AG577" t="s">
        <v>157</v>
      </c>
      <c r="AI577">
        <v>20</v>
      </c>
      <c r="AJ577">
        <v>2</v>
      </c>
      <c r="AK577" t="s">
        <v>150</v>
      </c>
      <c r="AL577" t="s">
        <v>77</v>
      </c>
      <c r="AM577">
        <f t="shared" si="40"/>
        <v>3</v>
      </c>
      <c r="AN577">
        <f t="shared" si="41"/>
        <v>7</v>
      </c>
      <c r="AO577" t="str">
        <f t="shared" si="42"/>
        <v/>
      </c>
      <c r="AP577" t="str">
        <f t="shared" si="43"/>
        <v/>
      </c>
      <c r="AQ577">
        <f t="shared" si="44"/>
        <v>2013</v>
      </c>
    </row>
    <row r="578" spans="1:43" x14ac:dyDescent="0.35">
      <c r="A578">
        <v>844</v>
      </c>
      <c r="B578">
        <v>27</v>
      </c>
      <c r="C578" t="s">
        <v>148</v>
      </c>
      <c r="D578" t="s">
        <v>145</v>
      </c>
      <c r="E578" t="s">
        <v>4</v>
      </c>
      <c r="F578" t="s">
        <v>35</v>
      </c>
      <c r="G578" t="s">
        <v>43</v>
      </c>
      <c r="H578" t="s">
        <v>82</v>
      </c>
      <c r="I578" t="s">
        <v>42</v>
      </c>
      <c r="J578" t="s">
        <v>173</v>
      </c>
      <c r="K578" t="s">
        <v>44</v>
      </c>
      <c r="L578" t="s">
        <v>147</v>
      </c>
      <c r="M578" t="s">
        <v>49</v>
      </c>
      <c r="N578" t="s">
        <v>96</v>
      </c>
      <c r="O578" t="s">
        <v>41</v>
      </c>
      <c r="P578" t="s">
        <v>144</v>
      </c>
      <c r="Q578">
        <v>16</v>
      </c>
      <c r="R578">
        <v>1</v>
      </c>
      <c r="S578">
        <v>9</v>
      </c>
      <c r="T578">
        <v>0</v>
      </c>
      <c r="U578">
        <v>8</v>
      </c>
      <c r="V578">
        <v>5</v>
      </c>
      <c r="W578">
        <v>42</v>
      </c>
      <c r="X578">
        <v>269</v>
      </c>
      <c r="Y578">
        <v>8842</v>
      </c>
      <c r="Z578">
        <v>12808</v>
      </c>
      <c r="AA578">
        <v>3</v>
      </c>
      <c r="AB578" s="29">
        <v>44773</v>
      </c>
      <c r="AC578" s="29">
        <v>34933</v>
      </c>
      <c r="AD578" s="29">
        <v>41560</v>
      </c>
      <c r="AE578" s="29"/>
      <c r="AF578">
        <v>9</v>
      </c>
      <c r="AG578" t="s">
        <v>157</v>
      </c>
      <c r="AI578">
        <v>18</v>
      </c>
      <c r="AJ578">
        <v>1</v>
      </c>
      <c r="AK578" t="s">
        <v>150</v>
      </c>
      <c r="AL578" t="s">
        <v>78</v>
      </c>
      <c r="AM578">
        <f t="shared" ref="AM578:AM641" si="45">ROUNDUP(MONTH(AD578)/3,0)</f>
        <v>4</v>
      </c>
      <c r="AN578">
        <f t="shared" ref="AN578:AN641" si="46">MONTH(AD578)</f>
        <v>10</v>
      </c>
      <c r="AO578" t="str">
        <f t="shared" ref="AO578:AO641" si="47">IF(C578="Yes",ROUNDUP(MONTH(AE578)/3,0),"")</f>
        <v/>
      </c>
      <c r="AP578" t="str">
        <f t="shared" ref="AP578:AP641" si="48">IF(C578="Yes",MONTH(AE578),"")</f>
        <v/>
      </c>
      <c r="AQ578">
        <f t="shared" ref="AQ578:AQ641" si="49">YEAR(AD578)</f>
        <v>2013</v>
      </c>
    </row>
    <row r="579" spans="1:43" x14ac:dyDescent="0.35">
      <c r="A579">
        <v>1268</v>
      </c>
      <c r="B579">
        <v>33</v>
      </c>
      <c r="C579" t="s">
        <v>148</v>
      </c>
      <c r="D579" t="s">
        <v>145</v>
      </c>
      <c r="E579" t="s">
        <v>158</v>
      </c>
      <c r="F579" t="s">
        <v>34</v>
      </c>
      <c r="G579" t="s">
        <v>44</v>
      </c>
      <c r="H579" t="s">
        <v>82</v>
      </c>
      <c r="I579" t="s">
        <v>44</v>
      </c>
      <c r="J579" t="s">
        <v>159</v>
      </c>
      <c r="K579" t="s">
        <v>43</v>
      </c>
      <c r="L579" t="s">
        <v>147</v>
      </c>
      <c r="M579" t="s">
        <v>49</v>
      </c>
      <c r="N579" t="s">
        <v>96</v>
      </c>
      <c r="O579" t="s">
        <v>156</v>
      </c>
      <c r="P579" t="s">
        <v>144</v>
      </c>
      <c r="Q579">
        <v>14</v>
      </c>
      <c r="R579">
        <v>0</v>
      </c>
      <c r="S579">
        <v>10</v>
      </c>
      <c r="T579">
        <v>0</v>
      </c>
      <c r="U579">
        <v>8</v>
      </c>
      <c r="V579">
        <v>10</v>
      </c>
      <c r="W579">
        <v>82</v>
      </c>
      <c r="X579">
        <v>536</v>
      </c>
      <c r="Y579">
        <v>21708</v>
      </c>
      <c r="Z579">
        <v>8380</v>
      </c>
      <c r="AA579">
        <v>3</v>
      </c>
      <c r="AB579" s="29">
        <v>44773</v>
      </c>
      <c r="AC579" s="29">
        <v>32982</v>
      </c>
      <c r="AD579" s="29">
        <v>41560</v>
      </c>
      <c r="AE579" s="29"/>
      <c r="AF579">
        <v>9</v>
      </c>
      <c r="AG579" t="s">
        <v>149</v>
      </c>
      <c r="AI579">
        <v>24</v>
      </c>
      <c r="AJ579">
        <v>1</v>
      </c>
      <c r="AK579" t="s">
        <v>150</v>
      </c>
      <c r="AL579" t="s">
        <v>77</v>
      </c>
      <c r="AM579">
        <f t="shared" si="45"/>
        <v>4</v>
      </c>
      <c r="AN579">
        <f t="shared" si="46"/>
        <v>10</v>
      </c>
      <c r="AO579" t="str">
        <f t="shared" si="47"/>
        <v/>
      </c>
      <c r="AP579" t="str">
        <f t="shared" si="48"/>
        <v/>
      </c>
      <c r="AQ579">
        <f t="shared" si="49"/>
        <v>2013</v>
      </c>
    </row>
    <row r="580" spans="1:43" x14ac:dyDescent="0.35">
      <c r="A580">
        <v>823</v>
      </c>
      <c r="B580">
        <v>36</v>
      </c>
      <c r="C580" t="s">
        <v>148</v>
      </c>
      <c r="D580" t="s">
        <v>145</v>
      </c>
      <c r="E580" t="s">
        <v>4</v>
      </c>
      <c r="F580" t="s">
        <v>38</v>
      </c>
      <c r="G580" t="s">
        <v>43</v>
      </c>
      <c r="H580" t="s">
        <v>81</v>
      </c>
      <c r="I580" t="s">
        <v>43</v>
      </c>
      <c r="J580" t="s">
        <v>165</v>
      </c>
      <c r="K580" t="s">
        <v>42</v>
      </c>
      <c r="L580" t="s">
        <v>147</v>
      </c>
      <c r="M580" t="s">
        <v>49</v>
      </c>
      <c r="N580" t="s">
        <v>160</v>
      </c>
      <c r="O580" t="s">
        <v>41</v>
      </c>
      <c r="P580" t="s">
        <v>148</v>
      </c>
      <c r="Q580">
        <v>15</v>
      </c>
      <c r="R580">
        <v>0</v>
      </c>
      <c r="S580">
        <v>10</v>
      </c>
      <c r="T580">
        <v>0</v>
      </c>
      <c r="U580">
        <v>5</v>
      </c>
      <c r="V580">
        <v>1</v>
      </c>
      <c r="W580">
        <v>35</v>
      </c>
      <c r="X580">
        <v>676</v>
      </c>
      <c r="Y580">
        <v>23361</v>
      </c>
      <c r="Z580">
        <v>5228</v>
      </c>
      <c r="AA580">
        <v>2</v>
      </c>
      <c r="AB580" s="29">
        <v>44773</v>
      </c>
      <c r="AC580" s="29">
        <v>31627</v>
      </c>
      <c r="AD580" s="29">
        <v>41590</v>
      </c>
      <c r="AE580" s="29"/>
      <c r="AF580">
        <v>9</v>
      </c>
      <c r="AG580" t="s">
        <v>149</v>
      </c>
      <c r="AI580">
        <v>27</v>
      </c>
      <c r="AJ580">
        <v>2</v>
      </c>
      <c r="AK580" t="s">
        <v>150</v>
      </c>
      <c r="AL580" t="s">
        <v>77</v>
      </c>
      <c r="AM580">
        <f t="shared" si="45"/>
        <v>4</v>
      </c>
      <c r="AN580">
        <f t="shared" si="46"/>
        <v>11</v>
      </c>
      <c r="AO580" t="str">
        <f t="shared" si="47"/>
        <v/>
      </c>
      <c r="AP580" t="str">
        <f t="shared" si="48"/>
        <v/>
      </c>
      <c r="AQ580">
        <f t="shared" si="49"/>
        <v>2013</v>
      </c>
    </row>
    <row r="581" spans="1:43" x14ac:dyDescent="0.35">
      <c r="A581">
        <v>1003</v>
      </c>
      <c r="B581">
        <v>47</v>
      </c>
      <c r="C581" t="s">
        <v>148</v>
      </c>
      <c r="D581" t="s">
        <v>145</v>
      </c>
      <c r="E581" t="s">
        <v>158</v>
      </c>
      <c r="F581" t="s">
        <v>36</v>
      </c>
      <c r="G581" t="s">
        <v>44</v>
      </c>
      <c r="H581" t="s">
        <v>81</v>
      </c>
      <c r="I581" t="s">
        <v>43</v>
      </c>
      <c r="J581" t="s">
        <v>159</v>
      </c>
      <c r="K581" t="s">
        <v>44</v>
      </c>
      <c r="L581" t="s">
        <v>147</v>
      </c>
      <c r="M581" t="s">
        <v>49</v>
      </c>
      <c r="N581" t="s">
        <v>95</v>
      </c>
      <c r="P581" t="s">
        <v>144</v>
      </c>
      <c r="Q581">
        <v>17</v>
      </c>
      <c r="R581">
        <v>1</v>
      </c>
      <c r="S581">
        <v>9</v>
      </c>
      <c r="T581">
        <v>0</v>
      </c>
      <c r="U581">
        <v>7</v>
      </c>
      <c r="V581">
        <v>4</v>
      </c>
      <c r="W581">
        <v>83</v>
      </c>
      <c r="X581">
        <v>955</v>
      </c>
      <c r="Y581">
        <v>8571</v>
      </c>
      <c r="Z581">
        <v>4163</v>
      </c>
      <c r="AA581">
        <v>0</v>
      </c>
      <c r="AB581" s="29">
        <v>44773</v>
      </c>
      <c r="AC581" s="29">
        <v>27626</v>
      </c>
      <c r="AD581" s="29">
        <v>41691</v>
      </c>
      <c r="AE581" s="29"/>
      <c r="AF581">
        <v>8</v>
      </c>
      <c r="AG581" t="s">
        <v>153</v>
      </c>
      <c r="AI581">
        <v>39</v>
      </c>
      <c r="AJ581">
        <v>1</v>
      </c>
      <c r="AK581" t="s">
        <v>150</v>
      </c>
      <c r="AL581" t="s">
        <v>77</v>
      </c>
      <c r="AM581">
        <f t="shared" si="45"/>
        <v>1</v>
      </c>
      <c r="AN581">
        <f t="shared" si="46"/>
        <v>2</v>
      </c>
      <c r="AO581" t="str">
        <f t="shared" si="47"/>
        <v/>
      </c>
      <c r="AP581" t="str">
        <f t="shared" si="48"/>
        <v/>
      </c>
      <c r="AQ581">
        <f t="shared" si="49"/>
        <v>2014</v>
      </c>
    </row>
    <row r="582" spans="1:43" x14ac:dyDescent="0.35">
      <c r="A582">
        <v>176</v>
      </c>
      <c r="B582">
        <v>41</v>
      </c>
      <c r="C582" t="s">
        <v>148</v>
      </c>
      <c r="D582" t="s">
        <v>145</v>
      </c>
      <c r="E582" t="s">
        <v>158</v>
      </c>
      <c r="F582" t="s">
        <v>35</v>
      </c>
      <c r="G582" t="s">
        <v>43</v>
      </c>
      <c r="H582" t="s">
        <v>82</v>
      </c>
      <c r="I582" t="s">
        <v>43</v>
      </c>
      <c r="J582" t="s">
        <v>159</v>
      </c>
      <c r="K582" t="s">
        <v>43</v>
      </c>
      <c r="L582" t="s">
        <v>147</v>
      </c>
      <c r="M582" t="s">
        <v>49</v>
      </c>
      <c r="N582" t="s">
        <v>96</v>
      </c>
      <c r="O582" t="s">
        <v>41</v>
      </c>
      <c r="P582" t="s">
        <v>144</v>
      </c>
      <c r="Q582">
        <v>13</v>
      </c>
      <c r="R582">
        <v>3</v>
      </c>
      <c r="S582">
        <v>12</v>
      </c>
      <c r="T582">
        <v>0</v>
      </c>
      <c r="U582">
        <v>7</v>
      </c>
      <c r="V582">
        <v>9</v>
      </c>
      <c r="W582">
        <v>96</v>
      </c>
      <c r="X582">
        <v>802</v>
      </c>
      <c r="Y582">
        <v>21196</v>
      </c>
      <c r="Z582">
        <v>8189</v>
      </c>
      <c r="AA582">
        <v>2</v>
      </c>
      <c r="AB582" s="29">
        <v>44773</v>
      </c>
      <c r="AC582" s="29">
        <v>30130</v>
      </c>
      <c r="AD582" s="29">
        <v>41708</v>
      </c>
      <c r="AE582" s="29"/>
      <c r="AF582">
        <v>8</v>
      </c>
      <c r="AG582" t="s">
        <v>153</v>
      </c>
      <c r="AI582">
        <v>33</v>
      </c>
      <c r="AJ582">
        <v>1</v>
      </c>
      <c r="AK582" t="s">
        <v>150</v>
      </c>
      <c r="AL582" t="s">
        <v>77</v>
      </c>
      <c r="AM582">
        <f t="shared" si="45"/>
        <v>1</v>
      </c>
      <c r="AN582">
        <f t="shared" si="46"/>
        <v>3</v>
      </c>
      <c r="AO582" t="str">
        <f t="shared" si="47"/>
        <v/>
      </c>
      <c r="AP582" t="str">
        <f t="shared" si="48"/>
        <v/>
      </c>
      <c r="AQ582">
        <f t="shared" si="49"/>
        <v>2014</v>
      </c>
    </row>
    <row r="583" spans="1:43" x14ac:dyDescent="0.35">
      <c r="A583">
        <v>412</v>
      </c>
      <c r="B583">
        <v>28</v>
      </c>
      <c r="C583" t="s">
        <v>148</v>
      </c>
      <c r="D583" t="s">
        <v>145</v>
      </c>
      <c r="E583" t="s">
        <v>4</v>
      </c>
      <c r="F583" t="s">
        <v>36</v>
      </c>
      <c r="G583" t="s">
        <v>42</v>
      </c>
      <c r="H583" t="s">
        <v>82</v>
      </c>
      <c r="I583" t="s">
        <v>44</v>
      </c>
      <c r="J583" t="s">
        <v>161</v>
      </c>
      <c r="K583" t="s">
        <v>41</v>
      </c>
      <c r="L583" t="s">
        <v>147</v>
      </c>
      <c r="M583" t="s">
        <v>49</v>
      </c>
      <c r="N583" t="s">
        <v>95</v>
      </c>
      <c r="P583" t="s">
        <v>148</v>
      </c>
      <c r="Q583">
        <v>19</v>
      </c>
      <c r="R583">
        <v>0</v>
      </c>
      <c r="S583">
        <v>9</v>
      </c>
      <c r="T583">
        <v>0</v>
      </c>
      <c r="U583">
        <v>7</v>
      </c>
      <c r="V583">
        <v>16</v>
      </c>
      <c r="W583">
        <v>68</v>
      </c>
      <c r="X583">
        <v>1476</v>
      </c>
      <c r="Y583">
        <v>4824</v>
      </c>
      <c r="Z583">
        <v>5661</v>
      </c>
      <c r="AA583">
        <v>2</v>
      </c>
      <c r="AB583" s="29">
        <v>44773</v>
      </c>
      <c r="AC583" s="29">
        <v>34729</v>
      </c>
      <c r="AD583" s="29">
        <v>41904</v>
      </c>
      <c r="AE583" s="29"/>
      <c r="AF583">
        <v>8</v>
      </c>
      <c r="AG583" t="s">
        <v>157</v>
      </c>
      <c r="AI583">
        <v>20</v>
      </c>
      <c r="AJ583">
        <v>1</v>
      </c>
      <c r="AK583" t="s">
        <v>150</v>
      </c>
      <c r="AL583" t="s">
        <v>77</v>
      </c>
      <c r="AM583">
        <f t="shared" si="45"/>
        <v>3</v>
      </c>
      <c r="AN583">
        <f t="shared" si="46"/>
        <v>9</v>
      </c>
      <c r="AO583" t="str">
        <f t="shared" si="47"/>
        <v/>
      </c>
      <c r="AP583" t="str">
        <f t="shared" si="48"/>
        <v/>
      </c>
      <c r="AQ583">
        <f t="shared" si="49"/>
        <v>2014</v>
      </c>
    </row>
    <row r="584" spans="1:43" x14ac:dyDescent="0.35">
      <c r="A584">
        <v>1255</v>
      </c>
      <c r="B584">
        <v>43</v>
      </c>
      <c r="C584" t="s">
        <v>148</v>
      </c>
      <c r="D584" t="s">
        <v>145</v>
      </c>
      <c r="E584" t="s">
        <v>4</v>
      </c>
      <c r="F584" t="s">
        <v>38</v>
      </c>
      <c r="G584" t="s">
        <v>43</v>
      </c>
      <c r="H584" t="s">
        <v>82</v>
      </c>
      <c r="I584" t="s">
        <v>41</v>
      </c>
      <c r="J584" t="s">
        <v>173</v>
      </c>
      <c r="K584" t="s">
        <v>44</v>
      </c>
      <c r="L584" t="s">
        <v>147</v>
      </c>
      <c r="M584" t="s">
        <v>49</v>
      </c>
      <c r="N584" t="s">
        <v>160</v>
      </c>
      <c r="O584" t="s">
        <v>41</v>
      </c>
      <c r="P584" t="s">
        <v>148</v>
      </c>
      <c r="Q584">
        <v>14</v>
      </c>
      <c r="R584">
        <v>3</v>
      </c>
      <c r="S584">
        <v>25</v>
      </c>
      <c r="T584">
        <v>0</v>
      </c>
      <c r="U584">
        <v>7</v>
      </c>
      <c r="V584">
        <v>3</v>
      </c>
      <c r="W584">
        <v>96</v>
      </c>
      <c r="X584">
        <v>920</v>
      </c>
      <c r="Y584">
        <v>18625</v>
      </c>
      <c r="Z584">
        <v>19740</v>
      </c>
      <c r="AA584">
        <v>2</v>
      </c>
      <c r="AB584" s="29">
        <v>44773</v>
      </c>
      <c r="AC584" s="29">
        <v>29191</v>
      </c>
      <c r="AD584" s="29">
        <v>41935</v>
      </c>
      <c r="AE584" s="29"/>
      <c r="AF584">
        <v>8</v>
      </c>
      <c r="AG584" t="s">
        <v>153</v>
      </c>
      <c r="AI584">
        <v>35</v>
      </c>
      <c r="AJ584">
        <v>1</v>
      </c>
      <c r="AK584" t="s">
        <v>150</v>
      </c>
      <c r="AL584" t="s">
        <v>77</v>
      </c>
      <c r="AM584">
        <f t="shared" si="45"/>
        <v>4</v>
      </c>
      <c r="AN584">
        <f t="shared" si="46"/>
        <v>10</v>
      </c>
      <c r="AO584" t="str">
        <f t="shared" si="47"/>
        <v/>
      </c>
      <c r="AP584" t="str">
        <f t="shared" si="48"/>
        <v/>
      </c>
      <c r="AQ584">
        <f t="shared" si="49"/>
        <v>2014</v>
      </c>
    </row>
    <row r="585" spans="1:43" x14ac:dyDescent="0.35">
      <c r="A585">
        <v>1007</v>
      </c>
      <c r="B585">
        <v>46</v>
      </c>
      <c r="C585" t="s">
        <v>148</v>
      </c>
      <c r="D585" t="s">
        <v>145</v>
      </c>
      <c r="E585" t="s">
        <v>4</v>
      </c>
      <c r="F585" t="s">
        <v>36</v>
      </c>
      <c r="G585" t="s">
        <v>44</v>
      </c>
      <c r="H585" t="s">
        <v>82</v>
      </c>
      <c r="I585" t="s">
        <v>43</v>
      </c>
      <c r="J585" t="s">
        <v>165</v>
      </c>
      <c r="K585" t="s">
        <v>43</v>
      </c>
      <c r="L585" t="s">
        <v>147</v>
      </c>
      <c r="M585" t="s">
        <v>49</v>
      </c>
      <c r="N585" t="s">
        <v>96</v>
      </c>
      <c r="O585" t="s">
        <v>41</v>
      </c>
      <c r="P585" t="s">
        <v>148</v>
      </c>
      <c r="Q585">
        <v>13</v>
      </c>
      <c r="R585">
        <v>6</v>
      </c>
      <c r="S585">
        <v>13</v>
      </c>
      <c r="T585">
        <v>0</v>
      </c>
      <c r="U585">
        <v>7</v>
      </c>
      <c r="V585">
        <v>7</v>
      </c>
      <c r="W585">
        <v>75</v>
      </c>
      <c r="X585">
        <v>566</v>
      </c>
      <c r="Y585">
        <v>24208</v>
      </c>
      <c r="Z585">
        <v>10845</v>
      </c>
      <c r="AA585">
        <v>3</v>
      </c>
      <c r="AB585" s="29">
        <v>44773</v>
      </c>
      <c r="AC585" s="29">
        <v>27975</v>
      </c>
      <c r="AD585" s="29">
        <v>41939</v>
      </c>
      <c r="AE585" s="29"/>
      <c r="AF585">
        <v>8</v>
      </c>
      <c r="AG585" t="s">
        <v>153</v>
      </c>
      <c r="AI585">
        <v>38</v>
      </c>
      <c r="AJ585">
        <v>2</v>
      </c>
      <c r="AK585" t="s">
        <v>150</v>
      </c>
      <c r="AL585" t="s">
        <v>77</v>
      </c>
      <c r="AM585">
        <f t="shared" si="45"/>
        <v>4</v>
      </c>
      <c r="AN585">
        <f t="shared" si="46"/>
        <v>10</v>
      </c>
      <c r="AO585" t="str">
        <f t="shared" si="47"/>
        <v/>
      </c>
      <c r="AP585" t="str">
        <f t="shared" si="48"/>
        <v/>
      </c>
      <c r="AQ585">
        <f t="shared" si="49"/>
        <v>2014</v>
      </c>
    </row>
    <row r="586" spans="1:43" x14ac:dyDescent="0.35">
      <c r="A586">
        <v>458</v>
      </c>
      <c r="B586">
        <v>27</v>
      </c>
      <c r="C586" t="s">
        <v>148</v>
      </c>
      <c r="D586" t="s">
        <v>145</v>
      </c>
      <c r="E586" t="s">
        <v>158</v>
      </c>
      <c r="F586" t="s">
        <v>37</v>
      </c>
      <c r="G586" t="s">
        <v>42</v>
      </c>
      <c r="H586" t="s">
        <v>81</v>
      </c>
      <c r="I586" t="s">
        <v>43</v>
      </c>
      <c r="J586" t="s">
        <v>159</v>
      </c>
      <c r="K586" t="s">
        <v>42</v>
      </c>
      <c r="L586" t="s">
        <v>147</v>
      </c>
      <c r="M586" t="s">
        <v>49</v>
      </c>
      <c r="N586" t="s">
        <v>160</v>
      </c>
      <c r="O586" t="s">
        <v>41</v>
      </c>
      <c r="P586" t="s">
        <v>148</v>
      </c>
      <c r="Q586">
        <v>18</v>
      </c>
      <c r="R586">
        <v>1</v>
      </c>
      <c r="S586">
        <v>8</v>
      </c>
      <c r="T586">
        <v>0</v>
      </c>
      <c r="U586">
        <v>7</v>
      </c>
      <c r="V586">
        <v>8</v>
      </c>
      <c r="W586">
        <v>56</v>
      </c>
      <c r="X586">
        <v>1130</v>
      </c>
      <c r="Y586">
        <v>3415</v>
      </c>
      <c r="Z586">
        <v>6214</v>
      </c>
      <c r="AA586">
        <v>3</v>
      </c>
      <c r="AB586" s="29">
        <v>44773</v>
      </c>
      <c r="AC586" s="29">
        <v>34991</v>
      </c>
      <c r="AD586" s="29">
        <v>42007</v>
      </c>
      <c r="AE586" s="29"/>
      <c r="AF586">
        <v>8</v>
      </c>
      <c r="AG586" t="s">
        <v>157</v>
      </c>
      <c r="AI586">
        <v>19</v>
      </c>
      <c r="AJ586">
        <v>1</v>
      </c>
      <c r="AK586" t="s">
        <v>150</v>
      </c>
      <c r="AL586" t="s">
        <v>77</v>
      </c>
      <c r="AM586">
        <f t="shared" si="45"/>
        <v>1</v>
      </c>
      <c r="AN586">
        <f t="shared" si="46"/>
        <v>1</v>
      </c>
      <c r="AO586" t="str">
        <f t="shared" si="47"/>
        <v/>
      </c>
      <c r="AP586" t="str">
        <f t="shared" si="48"/>
        <v/>
      </c>
      <c r="AQ586">
        <f t="shared" si="49"/>
        <v>2015</v>
      </c>
    </row>
    <row r="587" spans="1:43" x14ac:dyDescent="0.35">
      <c r="A587">
        <v>1484</v>
      </c>
      <c r="B587">
        <v>49</v>
      </c>
      <c r="C587" t="s">
        <v>148</v>
      </c>
      <c r="D587" t="s">
        <v>145</v>
      </c>
      <c r="E587" t="s">
        <v>4</v>
      </c>
      <c r="F587" t="s">
        <v>37</v>
      </c>
      <c r="G587" t="s">
        <v>43</v>
      </c>
      <c r="H587" t="s">
        <v>82</v>
      </c>
      <c r="I587" t="s">
        <v>43</v>
      </c>
      <c r="J587" t="s">
        <v>161</v>
      </c>
      <c r="K587" t="s">
        <v>42</v>
      </c>
      <c r="L587" t="s">
        <v>147</v>
      </c>
      <c r="M587" t="s">
        <v>49</v>
      </c>
      <c r="N587" t="s">
        <v>96</v>
      </c>
      <c r="O587" t="s">
        <v>156</v>
      </c>
      <c r="P587" t="s">
        <v>148</v>
      </c>
      <c r="Q587">
        <v>14</v>
      </c>
      <c r="R587">
        <v>3</v>
      </c>
      <c r="S587">
        <v>29</v>
      </c>
      <c r="T587">
        <v>0</v>
      </c>
      <c r="U587">
        <v>7</v>
      </c>
      <c r="V587">
        <v>7</v>
      </c>
      <c r="W587">
        <v>35</v>
      </c>
      <c r="X587">
        <v>1490</v>
      </c>
      <c r="Y587">
        <v>20948</v>
      </c>
      <c r="Z587">
        <v>10466</v>
      </c>
      <c r="AA587">
        <v>3</v>
      </c>
      <c r="AB587" s="29">
        <v>44773</v>
      </c>
      <c r="AC587" s="29">
        <v>26901</v>
      </c>
      <c r="AD587" s="29">
        <v>42016</v>
      </c>
      <c r="AE587" s="29"/>
      <c r="AF587">
        <v>8</v>
      </c>
      <c r="AG587" t="s">
        <v>153</v>
      </c>
      <c r="AI587">
        <v>41</v>
      </c>
      <c r="AJ587">
        <v>1</v>
      </c>
      <c r="AK587" t="s">
        <v>150</v>
      </c>
      <c r="AL587" t="s">
        <v>77</v>
      </c>
      <c r="AM587">
        <f t="shared" si="45"/>
        <v>1</v>
      </c>
      <c r="AN587">
        <f t="shared" si="46"/>
        <v>1</v>
      </c>
      <c r="AO587" t="str">
        <f t="shared" si="47"/>
        <v/>
      </c>
      <c r="AP587" t="str">
        <f t="shared" si="48"/>
        <v/>
      </c>
      <c r="AQ587">
        <f t="shared" si="49"/>
        <v>2015</v>
      </c>
    </row>
    <row r="588" spans="1:43" x14ac:dyDescent="0.35">
      <c r="A588">
        <v>471</v>
      </c>
      <c r="B588">
        <v>32</v>
      </c>
      <c r="C588" t="s">
        <v>148</v>
      </c>
      <c r="D588" t="s">
        <v>145</v>
      </c>
      <c r="E588" t="s">
        <v>4</v>
      </c>
      <c r="F588" t="s">
        <v>38</v>
      </c>
      <c r="G588" t="s">
        <v>43</v>
      </c>
      <c r="H588" t="s">
        <v>81</v>
      </c>
      <c r="I588" t="s">
        <v>43</v>
      </c>
      <c r="J588" t="s">
        <v>155</v>
      </c>
      <c r="K588" t="s">
        <v>42</v>
      </c>
      <c r="L588" t="s">
        <v>147</v>
      </c>
      <c r="M588" t="s">
        <v>49</v>
      </c>
      <c r="N588" t="s">
        <v>160</v>
      </c>
      <c r="O588" t="s">
        <v>41</v>
      </c>
      <c r="P588" t="s">
        <v>148</v>
      </c>
      <c r="Q588">
        <v>13</v>
      </c>
      <c r="R588">
        <v>1</v>
      </c>
      <c r="S588">
        <v>8</v>
      </c>
      <c r="T588">
        <v>0</v>
      </c>
      <c r="U588">
        <v>7</v>
      </c>
      <c r="V588">
        <v>2</v>
      </c>
      <c r="W588">
        <v>75</v>
      </c>
      <c r="X588">
        <v>1062</v>
      </c>
      <c r="Y588">
        <v>3956</v>
      </c>
      <c r="Z588">
        <v>2370</v>
      </c>
      <c r="AA588">
        <v>4</v>
      </c>
      <c r="AB588" s="29">
        <v>44773</v>
      </c>
      <c r="AC588" s="29">
        <v>33317</v>
      </c>
      <c r="AD588" s="29">
        <v>42029</v>
      </c>
      <c r="AE588" s="29"/>
      <c r="AF588">
        <v>8</v>
      </c>
      <c r="AG588" t="s">
        <v>149</v>
      </c>
      <c r="AI588">
        <v>24</v>
      </c>
      <c r="AJ588">
        <v>2</v>
      </c>
      <c r="AK588" t="s">
        <v>150</v>
      </c>
      <c r="AL588" t="s">
        <v>78</v>
      </c>
      <c r="AM588">
        <f t="shared" si="45"/>
        <v>1</v>
      </c>
      <c r="AN588">
        <f t="shared" si="46"/>
        <v>1</v>
      </c>
      <c r="AO588" t="str">
        <f t="shared" si="47"/>
        <v/>
      </c>
      <c r="AP588" t="str">
        <f t="shared" si="48"/>
        <v/>
      </c>
      <c r="AQ588">
        <f t="shared" si="49"/>
        <v>2015</v>
      </c>
    </row>
    <row r="589" spans="1:43" x14ac:dyDescent="0.35">
      <c r="A589">
        <v>666</v>
      </c>
      <c r="B589">
        <v>34</v>
      </c>
      <c r="C589" t="s">
        <v>148</v>
      </c>
      <c r="D589" t="s">
        <v>145</v>
      </c>
      <c r="E589" t="s">
        <v>158</v>
      </c>
      <c r="F589" t="s">
        <v>38</v>
      </c>
      <c r="G589" t="s">
        <v>43</v>
      </c>
      <c r="H589" t="s">
        <v>81</v>
      </c>
      <c r="I589" t="s">
        <v>43</v>
      </c>
      <c r="J589" t="s">
        <v>166</v>
      </c>
      <c r="K589" t="s">
        <v>43</v>
      </c>
      <c r="L589" t="s">
        <v>147</v>
      </c>
      <c r="M589" t="s">
        <v>49</v>
      </c>
      <c r="N589" t="s">
        <v>96</v>
      </c>
      <c r="O589" t="s">
        <v>156</v>
      </c>
      <c r="P589" t="s">
        <v>144</v>
      </c>
      <c r="Q589">
        <v>18</v>
      </c>
      <c r="R589">
        <v>1</v>
      </c>
      <c r="S589">
        <v>8</v>
      </c>
      <c r="T589">
        <v>0</v>
      </c>
      <c r="U589">
        <v>6</v>
      </c>
      <c r="V589">
        <v>14</v>
      </c>
      <c r="W589">
        <v>31</v>
      </c>
      <c r="X589">
        <v>204</v>
      </c>
      <c r="Y589">
        <v>2912</v>
      </c>
      <c r="Z589">
        <v>2579</v>
      </c>
      <c r="AA589">
        <v>3</v>
      </c>
      <c r="AB589" s="29">
        <v>44773</v>
      </c>
      <c r="AC589" s="29">
        <v>32356</v>
      </c>
      <c r="AD589" s="29">
        <v>42047</v>
      </c>
      <c r="AE589" s="29"/>
      <c r="AF589">
        <v>7</v>
      </c>
      <c r="AG589" t="s">
        <v>149</v>
      </c>
      <c r="AI589">
        <v>27</v>
      </c>
      <c r="AJ589">
        <v>1</v>
      </c>
      <c r="AK589" t="s">
        <v>150</v>
      </c>
      <c r="AL589" t="s">
        <v>77</v>
      </c>
      <c r="AM589">
        <f t="shared" si="45"/>
        <v>1</v>
      </c>
      <c r="AN589">
        <f t="shared" si="46"/>
        <v>2</v>
      </c>
      <c r="AO589" t="str">
        <f t="shared" si="47"/>
        <v/>
      </c>
      <c r="AP589" t="str">
        <f t="shared" si="48"/>
        <v/>
      </c>
      <c r="AQ589">
        <f t="shared" si="49"/>
        <v>2015</v>
      </c>
    </row>
    <row r="590" spans="1:43" x14ac:dyDescent="0.35">
      <c r="A590">
        <v>1898</v>
      </c>
      <c r="B590">
        <v>27</v>
      </c>
      <c r="C590" t="s">
        <v>148</v>
      </c>
      <c r="D590" t="s">
        <v>145</v>
      </c>
      <c r="E590" t="s">
        <v>158</v>
      </c>
      <c r="F590" t="s">
        <v>36</v>
      </c>
      <c r="G590" t="s">
        <v>41</v>
      </c>
      <c r="H590" t="s">
        <v>81</v>
      </c>
      <c r="I590" t="s">
        <v>44</v>
      </c>
      <c r="J590" t="s">
        <v>159</v>
      </c>
      <c r="K590" t="s">
        <v>43</v>
      </c>
      <c r="L590" t="s">
        <v>147</v>
      </c>
      <c r="M590" t="s">
        <v>48</v>
      </c>
      <c r="N590" t="s">
        <v>95</v>
      </c>
      <c r="P590" t="s">
        <v>148</v>
      </c>
      <c r="Q590">
        <v>14</v>
      </c>
      <c r="R590">
        <v>0</v>
      </c>
      <c r="S590">
        <v>9</v>
      </c>
      <c r="T590">
        <v>0</v>
      </c>
      <c r="U590">
        <v>7</v>
      </c>
      <c r="V590">
        <v>2</v>
      </c>
      <c r="W590">
        <v>89</v>
      </c>
      <c r="X590">
        <v>511</v>
      </c>
      <c r="Y590">
        <v>26997</v>
      </c>
      <c r="Z590">
        <v>6500</v>
      </c>
      <c r="AA590">
        <v>5</v>
      </c>
      <c r="AB590" s="29">
        <v>44773</v>
      </c>
      <c r="AC590" s="29">
        <v>35061</v>
      </c>
      <c r="AD590" s="29">
        <v>42137</v>
      </c>
      <c r="AE590" s="29"/>
      <c r="AF590">
        <v>7</v>
      </c>
      <c r="AG590" t="s">
        <v>157</v>
      </c>
      <c r="AI590">
        <v>20</v>
      </c>
      <c r="AJ590">
        <v>1</v>
      </c>
      <c r="AK590" t="s">
        <v>150</v>
      </c>
      <c r="AL590" t="s">
        <v>77</v>
      </c>
      <c r="AM590">
        <f t="shared" si="45"/>
        <v>2</v>
      </c>
      <c r="AN590">
        <f t="shared" si="46"/>
        <v>5</v>
      </c>
      <c r="AO590" t="str">
        <f t="shared" si="47"/>
        <v/>
      </c>
      <c r="AP590" t="str">
        <f t="shared" si="48"/>
        <v/>
      </c>
      <c r="AQ590">
        <f t="shared" si="49"/>
        <v>2015</v>
      </c>
    </row>
    <row r="591" spans="1:43" x14ac:dyDescent="0.35">
      <c r="A591">
        <v>1417</v>
      </c>
      <c r="B591">
        <v>26</v>
      </c>
      <c r="C591" t="s">
        <v>148</v>
      </c>
      <c r="D591" t="s">
        <v>145</v>
      </c>
      <c r="E591" t="s">
        <v>4</v>
      </c>
      <c r="F591" t="s">
        <v>38</v>
      </c>
      <c r="G591" t="s">
        <v>43</v>
      </c>
      <c r="H591" t="s">
        <v>82</v>
      </c>
      <c r="I591" t="s">
        <v>44</v>
      </c>
      <c r="J591" t="s">
        <v>155</v>
      </c>
      <c r="K591" t="s">
        <v>41</v>
      </c>
      <c r="L591" t="s">
        <v>147</v>
      </c>
      <c r="M591" t="s">
        <v>49</v>
      </c>
      <c r="N591" t="s">
        <v>95</v>
      </c>
      <c r="P591" t="s">
        <v>148</v>
      </c>
      <c r="Q591">
        <v>12</v>
      </c>
      <c r="R591">
        <v>0</v>
      </c>
      <c r="S591">
        <v>8</v>
      </c>
      <c r="T591">
        <v>0</v>
      </c>
      <c r="U591">
        <v>7</v>
      </c>
      <c r="V591">
        <v>7</v>
      </c>
      <c r="W591">
        <v>100</v>
      </c>
      <c r="X591">
        <v>652</v>
      </c>
      <c r="Y591">
        <v>23577</v>
      </c>
      <c r="Z591">
        <v>3578</v>
      </c>
      <c r="AA591">
        <v>2</v>
      </c>
      <c r="AB591" s="29">
        <v>44773</v>
      </c>
      <c r="AC591" s="29">
        <v>35284</v>
      </c>
      <c r="AD591" s="29">
        <v>42255</v>
      </c>
      <c r="AE591" s="29"/>
      <c r="AF591">
        <v>7</v>
      </c>
      <c r="AG591" t="s">
        <v>157</v>
      </c>
      <c r="AI591">
        <v>19</v>
      </c>
      <c r="AJ591">
        <v>1</v>
      </c>
      <c r="AK591" t="s">
        <v>150</v>
      </c>
      <c r="AL591" t="s">
        <v>77</v>
      </c>
      <c r="AM591">
        <f t="shared" si="45"/>
        <v>3</v>
      </c>
      <c r="AN591">
        <f t="shared" si="46"/>
        <v>9</v>
      </c>
      <c r="AO591" t="str">
        <f t="shared" si="47"/>
        <v/>
      </c>
      <c r="AP591" t="str">
        <f t="shared" si="48"/>
        <v/>
      </c>
      <c r="AQ591">
        <f t="shared" si="49"/>
        <v>2015</v>
      </c>
    </row>
    <row r="592" spans="1:43" x14ac:dyDescent="0.35">
      <c r="A592">
        <v>431</v>
      </c>
      <c r="B592">
        <v>49</v>
      </c>
      <c r="C592" t="s">
        <v>148</v>
      </c>
      <c r="D592" t="s">
        <v>145</v>
      </c>
      <c r="E592" t="s">
        <v>4</v>
      </c>
      <c r="F592" t="s">
        <v>36</v>
      </c>
      <c r="G592" t="s">
        <v>43</v>
      </c>
      <c r="H592" t="s">
        <v>81</v>
      </c>
      <c r="I592" t="s">
        <v>42</v>
      </c>
      <c r="J592" t="s">
        <v>161</v>
      </c>
      <c r="K592" t="s">
        <v>43</v>
      </c>
      <c r="L592" t="s">
        <v>147</v>
      </c>
      <c r="M592" t="s">
        <v>49</v>
      </c>
      <c r="N592" t="s">
        <v>95</v>
      </c>
      <c r="P592" t="s">
        <v>144</v>
      </c>
      <c r="Q592">
        <v>12</v>
      </c>
      <c r="R592">
        <v>7</v>
      </c>
      <c r="S592">
        <v>25</v>
      </c>
      <c r="T592">
        <v>0</v>
      </c>
      <c r="U592">
        <v>7</v>
      </c>
      <c r="V592">
        <v>1</v>
      </c>
      <c r="W592">
        <v>90</v>
      </c>
      <c r="X592">
        <v>1091</v>
      </c>
      <c r="Y592">
        <v>17810</v>
      </c>
      <c r="Z592">
        <v>13964</v>
      </c>
      <c r="AA592">
        <v>2</v>
      </c>
      <c r="AB592" s="29">
        <v>44773</v>
      </c>
      <c r="AC592" s="29">
        <v>27130</v>
      </c>
      <c r="AD592" s="29">
        <v>42303</v>
      </c>
      <c r="AE592" s="29"/>
      <c r="AF592">
        <v>7</v>
      </c>
      <c r="AG592" t="s">
        <v>153</v>
      </c>
      <c r="AI592">
        <v>42</v>
      </c>
      <c r="AJ592">
        <v>1</v>
      </c>
      <c r="AK592" t="s">
        <v>150</v>
      </c>
      <c r="AL592" t="s">
        <v>77</v>
      </c>
      <c r="AM592">
        <f t="shared" si="45"/>
        <v>4</v>
      </c>
      <c r="AN592">
        <f t="shared" si="46"/>
        <v>10</v>
      </c>
      <c r="AO592" t="str">
        <f t="shared" si="47"/>
        <v/>
      </c>
      <c r="AP592" t="str">
        <f t="shared" si="48"/>
        <v/>
      </c>
      <c r="AQ592">
        <f t="shared" si="49"/>
        <v>2015</v>
      </c>
    </row>
    <row r="593" spans="1:43" x14ac:dyDescent="0.35">
      <c r="A593">
        <v>323</v>
      </c>
      <c r="B593">
        <v>50</v>
      </c>
      <c r="C593" t="s">
        <v>148</v>
      </c>
      <c r="D593" t="s">
        <v>145</v>
      </c>
      <c r="E593" t="s">
        <v>158</v>
      </c>
      <c r="F593" t="s">
        <v>37</v>
      </c>
      <c r="G593" t="s">
        <v>44</v>
      </c>
      <c r="H593" t="s">
        <v>81</v>
      </c>
      <c r="I593" t="s">
        <v>43</v>
      </c>
      <c r="J593" t="s">
        <v>169</v>
      </c>
      <c r="K593" t="s">
        <v>44</v>
      </c>
      <c r="L593" t="s">
        <v>147</v>
      </c>
      <c r="M593" t="s">
        <v>48</v>
      </c>
      <c r="N593" t="s">
        <v>96</v>
      </c>
      <c r="O593" t="s">
        <v>41</v>
      </c>
      <c r="P593" t="s">
        <v>148</v>
      </c>
      <c r="Q593">
        <v>11</v>
      </c>
      <c r="R593">
        <v>3</v>
      </c>
      <c r="S593">
        <v>32</v>
      </c>
      <c r="T593">
        <v>0</v>
      </c>
      <c r="U593">
        <v>6</v>
      </c>
      <c r="V593">
        <v>1</v>
      </c>
      <c r="W593">
        <v>68</v>
      </c>
      <c r="X593">
        <v>854</v>
      </c>
      <c r="Y593">
        <v>24118</v>
      </c>
      <c r="Z593">
        <v>19517</v>
      </c>
      <c r="AA593">
        <v>3</v>
      </c>
      <c r="AB593" s="29">
        <v>44773</v>
      </c>
      <c r="AC593" s="29">
        <v>26566</v>
      </c>
      <c r="AD593" s="29">
        <v>42358</v>
      </c>
      <c r="AE593" s="29"/>
      <c r="AF593">
        <v>7</v>
      </c>
      <c r="AG593" t="s">
        <v>167</v>
      </c>
      <c r="AI593">
        <v>43</v>
      </c>
      <c r="AJ593">
        <v>2</v>
      </c>
      <c r="AK593" t="s">
        <v>150</v>
      </c>
      <c r="AL593" t="s">
        <v>77</v>
      </c>
      <c r="AM593">
        <f t="shared" si="45"/>
        <v>4</v>
      </c>
      <c r="AN593">
        <f t="shared" si="46"/>
        <v>12</v>
      </c>
      <c r="AO593" t="str">
        <f t="shared" si="47"/>
        <v/>
      </c>
      <c r="AP593" t="str">
        <f t="shared" si="48"/>
        <v/>
      </c>
      <c r="AQ593">
        <f t="shared" si="49"/>
        <v>2015</v>
      </c>
    </row>
    <row r="594" spans="1:43" x14ac:dyDescent="0.35">
      <c r="A594">
        <v>1965</v>
      </c>
      <c r="B594">
        <v>27</v>
      </c>
      <c r="C594" t="s">
        <v>148</v>
      </c>
      <c r="D594" t="s">
        <v>145</v>
      </c>
      <c r="E594" t="s">
        <v>158</v>
      </c>
      <c r="F594" t="s">
        <v>38</v>
      </c>
      <c r="G594" t="s">
        <v>44</v>
      </c>
      <c r="H594" t="s">
        <v>82</v>
      </c>
      <c r="I594" t="s">
        <v>43</v>
      </c>
      <c r="J594" t="s">
        <v>159</v>
      </c>
      <c r="K594" t="s">
        <v>44</v>
      </c>
      <c r="L594" t="s">
        <v>147</v>
      </c>
      <c r="M594" t="s">
        <v>49</v>
      </c>
      <c r="N594" t="s">
        <v>95</v>
      </c>
      <c r="P594" t="s">
        <v>148</v>
      </c>
      <c r="Q594">
        <v>14</v>
      </c>
      <c r="R594">
        <v>1</v>
      </c>
      <c r="S594">
        <v>7</v>
      </c>
      <c r="T594">
        <v>0</v>
      </c>
      <c r="U594">
        <v>7</v>
      </c>
      <c r="V594">
        <v>9</v>
      </c>
      <c r="W594">
        <v>44</v>
      </c>
      <c r="X594">
        <v>954</v>
      </c>
      <c r="Y594">
        <v>5099</v>
      </c>
      <c r="Z594">
        <v>4105</v>
      </c>
      <c r="AA594">
        <v>5</v>
      </c>
      <c r="AB594" s="29">
        <v>44773</v>
      </c>
      <c r="AC594" s="29">
        <v>35150</v>
      </c>
      <c r="AD594" s="29">
        <v>42362</v>
      </c>
      <c r="AE594" s="29"/>
      <c r="AF594">
        <v>7</v>
      </c>
      <c r="AG594" t="s">
        <v>157</v>
      </c>
      <c r="AI594">
        <v>20</v>
      </c>
      <c r="AJ594">
        <v>2</v>
      </c>
      <c r="AK594" t="s">
        <v>150</v>
      </c>
      <c r="AL594" t="s">
        <v>77</v>
      </c>
      <c r="AM594">
        <f t="shared" si="45"/>
        <v>4</v>
      </c>
      <c r="AN594">
        <f t="shared" si="46"/>
        <v>12</v>
      </c>
      <c r="AO594" t="str">
        <f t="shared" si="47"/>
        <v/>
      </c>
      <c r="AP594" t="str">
        <f t="shared" si="48"/>
        <v/>
      </c>
      <c r="AQ594">
        <f t="shared" si="49"/>
        <v>2015</v>
      </c>
    </row>
    <row r="595" spans="1:43" x14ac:dyDescent="0.35">
      <c r="A595">
        <v>1816</v>
      </c>
      <c r="B595">
        <v>30</v>
      </c>
      <c r="C595" t="s">
        <v>148</v>
      </c>
      <c r="D595" t="s">
        <v>145</v>
      </c>
      <c r="E595" t="s">
        <v>4</v>
      </c>
      <c r="F595" t="s">
        <v>38</v>
      </c>
      <c r="G595" t="s">
        <v>41</v>
      </c>
      <c r="H595" t="s">
        <v>81</v>
      </c>
      <c r="I595" t="s">
        <v>43</v>
      </c>
      <c r="J595" t="s">
        <v>165</v>
      </c>
      <c r="K595" t="s">
        <v>43</v>
      </c>
      <c r="L595" t="s">
        <v>147</v>
      </c>
      <c r="M595" t="s">
        <v>49</v>
      </c>
      <c r="N595" t="s">
        <v>95</v>
      </c>
      <c r="P595" t="s">
        <v>148</v>
      </c>
      <c r="Q595">
        <v>14</v>
      </c>
      <c r="R595">
        <v>9</v>
      </c>
      <c r="S595">
        <v>9</v>
      </c>
      <c r="T595">
        <v>0</v>
      </c>
      <c r="U595">
        <v>2</v>
      </c>
      <c r="V595">
        <v>10</v>
      </c>
      <c r="W595">
        <v>64</v>
      </c>
      <c r="X595">
        <v>1092</v>
      </c>
      <c r="Y595">
        <v>2739</v>
      </c>
      <c r="Z595">
        <v>9667</v>
      </c>
      <c r="AA595">
        <v>3</v>
      </c>
      <c r="AB595" s="29">
        <v>44773</v>
      </c>
      <c r="AC595" s="29">
        <v>34057</v>
      </c>
      <c r="AD595" s="29">
        <v>42379</v>
      </c>
      <c r="AE595" s="29"/>
      <c r="AF595">
        <v>7</v>
      </c>
      <c r="AG595" t="s">
        <v>149</v>
      </c>
      <c r="AI595">
        <v>23</v>
      </c>
      <c r="AJ595">
        <v>1</v>
      </c>
      <c r="AK595" t="s">
        <v>150</v>
      </c>
      <c r="AL595" t="s">
        <v>77</v>
      </c>
      <c r="AM595">
        <f t="shared" si="45"/>
        <v>1</v>
      </c>
      <c r="AN595">
        <f t="shared" si="46"/>
        <v>1</v>
      </c>
      <c r="AO595" t="str">
        <f t="shared" si="47"/>
        <v/>
      </c>
      <c r="AP595" t="str">
        <f t="shared" si="48"/>
        <v/>
      </c>
      <c r="AQ595">
        <f t="shared" si="49"/>
        <v>2016</v>
      </c>
    </row>
    <row r="596" spans="1:43" x14ac:dyDescent="0.35">
      <c r="A596">
        <v>1544</v>
      </c>
      <c r="B596">
        <v>29</v>
      </c>
      <c r="C596" t="s">
        <v>148</v>
      </c>
      <c r="D596" t="s">
        <v>145</v>
      </c>
      <c r="E596" t="s">
        <v>4</v>
      </c>
      <c r="F596" t="s">
        <v>35</v>
      </c>
      <c r="G596" t="s">
        <v>43</v>
      </c>
      <c r="H596" t="s">
        <v>81</v>
      </c>
      <c r="I596" t="s">
        <v>41</v>
      </c>
      <c r="J596" t="s">
        <v>161</v>
      </c>
      <c r="K596" t="s">
        <v>41</v>
      </c>
      <c r="L596" t="s">
        <v>147</v>
      </c>
      <c r="M596" t="s">
        <v>49</v>
      </c>
      <c r="N596" t="s">
        <v>160</v>
      </c>
      <c r="O596" t="s">
        <v>41</v>
      </c>
      <c r="P596" t="s">
        <v>148</v>
      </c>
      <c r="Q596">
        <v>13</v>
      </c>
      <c r="R596">
        <v>3</v>
      </c>
      <c r="S596">
        <v>9</v>
      </c>
      <c r="T596">
        <v>0</v>
      </c>
      <c r="U596">
        <v>7</v>
      </c>
      <c r="V596">
        <v>8</v>
      </c>
      <c r="W596">
        <v>39</v>
      </c>
      <c r="X596">
        <v>441</v>
      </c>
      <c r="Y596">
        <v>7288</v>
      </c>
      <c r="Z596">
        <v>9715</v>
      </c>
      <c r="AA596">
        <v>3</v>
      </c>
      <c r="AB596" s="29">
        <v>44773</v>
      </c>
      <c r="AC596" s="29">
        <v>34471</v>
      </c>
      <c r="AD596" s="29">
        <v>42394</v>
      </c>
      <c r="AE596" s="29"/>
      <c r="AF596">
        <v>7</v>
      </c>
      <c r="AG596" t="s">
        <v>157</v>
      </c>
      <c r="AI596">
        <v>22</v>
      </c>
      <c r="AJ596">
        <v>1</v>
      </c>
      <c r="AK596" t="s">
        <v>150</v>
      </c>
      <c r="AL596" t="s">
        <v>77</v>
      </c>
      <c r="AM596">
        <f t="shared" si="45"/>
        <v>1</v>
      </c>
      <c r="AN596">
        <f t="shared" si="46"/>
        <v>1</v>
      </c>
      <c r="AO596" t="str">
        <f t="shared" si="47"/>
        <v/>
      </c>
      <c r="AP596" t="str">
        <f t="shared" si="48"/>
        <v/>
      </c>
      <c r="AQ596">
        <f t="shared" si="49"/>
        <v>2016</v>
      </c>
    </row>
    <row r="597" spans="1:43" x14ac:dyDescent="0.35">
      <c r="A597">
        <v>439</v>
      </c>
      <c r="B597">
        <v>32</v>
      </c>
      <c r="C597" t="s">
        <v>148</v>
      </c>
      <c r="D597" t="s">
        <v>145</v>
      </c>
      <c r="E597" t="s">
        <v>4</v>
      </c>
      <c r="F597" t="s">
        <v>37</v>
      </c>
      <c r="G597" t="s">
        <v>41</v>
      </c>
      <c r="H597" t="s">
        <v>81</v>
      </c>
      <c r="I597" t="s">
        <v>44</v>
      </c>
      <c r="J597" t="s">
        <v>146</v>
      </c>
      <c r="K597" t="s">
        <v>44</v>
      </c>
      <c r="L597" t="s">
        <v>147</v>
      </c>
      <c r="M597" t="s">
        <v>48</v>
      </c>
      <c r="N597" t="s">
        <v>95</v>
      </c>
      <c r="P597" t="s">
        <v>148</v>
      </c>
      <c r="Q597">
        <v>16</v>
      </c>
      <c r="R597">
        <v>7</v>
      </c>
      <c r="S597">
        <v>10</v>
      </c>
      <c r="T597">
        <v>0</v>
      </c>
      <c r="U597">
        <v>4</v>
      </c>
      <c r="V597">
        <v>2</v>
      </c>
      <c r="W597">
        <v>74</v>
      </c>
      <c r="X597">
        <v>1018</v>
      </c>
      <c r="Y597">
        <v>10557</v>
      </c>
      <c r="Z597">
        <v>5055</v>
      </c>
      <c r="AA597">
        <v>0</v>
      </c>
      <c r="AB597" s="29">
        <v>44773</v>
      </c>
      <c r="AC597" s="29">
        <v>33271</v>
      </c>
      <c r="AD597" s="29">
        <v>42443</v>
      </c>
      <c r="AE597" s="29"/>
      <c r="AF597">
        <v>6</v>
      </c>
      <c r="AG597" t="s">
        <v>149</v>
      </c>
      <c r="AI597">
        <v>26</v>
      </c>
      <c r="AJ597">
        <v>2</v>
      </c>
      <c r="AK597" t="s">
        <v>150</v>
      </c>
      <c r="AL597" t="s">
        <v>77</v>
      </c>
      <c r="AM597">
        <f t="shared" si="45"/>
        <v>1</v>
      </c>
      <c r="AN597">
        <f t="shared" si="46"/>
        <v>3</v>
      </c>
      <c r="AO597" t="str">
        <f t="shared" si="47"/>
        <v/>
      </c>
      <c r="AP597" t="str">
        <f t="shared" si="48"/>
        <v/>
      </c>
      <c r="AQ597">
        <f t="shared" si="49"/>
        <v>2016</v>
      </c>
    </row>
    <row r="598" spans="1:43" x14ac:dyDescent="0.35">
      <c r="A598">
        <v>500</v>
      </c>
      <c r="B598">
        <v>51</v>
      </c>
      <c r="C598" t="s">
        <v>148</v>
      </c>
      <c r="D598" t="s">
        <v>145</v>
      </c>
      <c r="E598" t="s">
        <v>158</v>
      </c>
      <c r="F598" t="s">
        <v>36</v>
      </c>
      <c r="G598" t="s">
        <v>43</v>
      </c>
      <c r="H598" t="s">
        <v>81</v>
      </c>
      <c r="I598" t="s">
        <v>43</v>
      </c>
      <c r="J598" t="s">
        <v>159</v>
      </c>
      <c r="K598" t="s">
        <v>44</v>
      </c>
      <c r="L598" t="s">
        <v>147</v>
      </c>
      <c r="M598" t="s">
        <v>48</v>
      </c>
      <c r="N598" t="s">
        <v>160</v>
      </c>
      <c r="O598" t="s">
        <v>41</v>
      </c>
      <c r="P598" t="s">
        <v>148</v>
      </c>
      <c r="Q598">
        <v>11</v>
      </c>
      <c r="R598">
        <v>4</v>
      </c>
      <c r="S598">
        <v>18</v>
      </c>
      <c r="T598">
        <v>0</v>
      </c>
      <c r="U598">
        <v>3</v>
      </c>
      <c r="V598">
        <v>14</v>
      </c>
      <c r="W598">
        <v>87</v>
      </c>
      <c r="X598">
        <v>1178</v>
      </c>
      <c r="Y598">
        <v>14862</v>
      </c>
      <c r="Z598">
        <v>4936</v>
      </c>
      <c r="AA598">
        <v>2</v>
      </c>
      <c r="AB598" s="29">
        <v>44773</v>
      </c>
      <c r="AC598" s="29">
        <v>26408</v>
      </c>
      <c r="AD598" s="29">
        <v>42457</v>
      </c>
      <c r="AE598" s="29"/>
      <c r="AF598">
        <v>6</v>
      </c>
      <c r="AG598" t="s">
        <v>167</v>
      </c>
      <c r="AI598">
        <v>45</v>
      </c>
      <c r="AJ598">
        <v>1</v>
      </c>
      <c r="AK598" t="s">
        <v>150</v>
      </c>
      <c r="AL598" t="s">
        <v>77</v>
      </c>
      <c r="AM598">
        <f t="shared" si="45"/>
        <v>1</v>
      </c>
      <c r="AN598">
        <f t="shared" si="46"/>
        <v>3</v>
      </c>
      <c r="AO598" t="str">
        <f t="shared" si="47"/>
        <v/>
      </c>
      <c r="AP598" t="str">
        <f t="shared" si="48"/>
        <v/>
      </c>
      <c r="AQ598">
        <f t="shared" si="49"/>
        <v>2016</v>
      </c>
    </row>
    <row r="599" spans="1:43" x14ac:dyDescent="0.35">
      <c r="A599">
        <v>498</v>
      </c>
      <c r="B599">
        <v>28</v>
      </c>
      <c r="C599" t="s">
        <v>148</v>
      </c>
      <c r="D599" t="s">
        <v>145</v>
      </c>
      <c r="E599" t="s">
        <v>158</v>
      </c>
      <c r="F599" t="s">
        <v>37</v>
      </c>
      <c r="G599" t="s">
        <v>42</v>
      </c>
      <c r="H599" t="s">
        <v>82</v>
      </c>
      <c r="I599" t="s">
        <v>43</v>
      </c>
      <c r="J599" t="s">
        <v>159</v>
      </c>
      <c r="K599" t="s">
        <v>44</v>
      </c>
      <c r="L599" t="s">
        <v>147</v>
      </c>
      <c r="M599" t="s">
        <v>49</v>
      </c>
      <c r="N599" t="s">
        <v>95</v>
      </c>
      <c r="P599" t="s">
        <v>148</v>
      </c>
      <c r="Q599">
        <v>16</v>
      </c>
      <c r="R599">
        <v>1</v>
      </c>
      <c r="S599">
        <v>7</v>
      </c>
      <c r="T599">
        <v>0</v>
      </c>
      <c r="U599">
        <v>3</v>
      </c>
      <c r="V599">
        <v>9</v>
      </c>
      <c r="W599">
        <v>92</v>
      </c>
      <c r="X599">
        <v>304</v>
      </c>
      <c r="Y599">
        <v>20750</v>
      </c>
      <c r="Z599">
        <v>5253</v>
      </c>
      <c r="AA599">
        <v>1</v>
      </c>
      <c r="AB599" s="29">
        <v>44773</v>
      </c>
      <c r="AC599" s="29">
        <v>34723</v>
      </c>
      <c r="AD599" s="29">
        <v>42471</v>
      </c>
      <c r="AE599" s="29"/>
      <c r="AF599">
        <v>6</v>
      </c>
      <c r="AG599" t="s">
        <v>157</v>
      </c>
      <c r="AI599">
        <v>22</v>
      </c>
      <c r="AJ599">
        <v>1</v>
      </c>
      <c r="AK599" t="s">
        <v>150</v>
      </c>
      <c r="AL599" t="s">
        <v>77</v>
      </c>
      <c r="AM599">
        <f t="shared" si="45"/>
        <v>2</v>
      </c>
      <c r="AN599">
        <f t="shared" si="46"/>
        <v>4</v>
      </c>
      <c r="AO599" t="str">
        <f t="shared" si="47"/>
        <v/>
      </c>
      <c r="AP599" t="str">
        <f t="shared" si="48"/>
        <v/>
      </c>
      <c r="AQ599">
        <f t="shared" si="49"/>
        <v>2016</v>
      </c>
    </row>
    <row r="600" spans="1:43" x14ac:dyDescent="0.35">
      <c r="A600">
        <v>645</v>
      </c>
      <c r="B600">
        <v>25</v>
      </c>
      <c r="C600" t="s">
        <v>148</v>
      </c>
      <c r="D600" t="s">
        <v>145</v>
      </c>
      <c r="E600" t="s">
        <v>158</v>
      </c>
      <c r="F600" t="s">
        <v>35</v>
      </c>
      <c r="G600" t="s">
        <v>42</v>
      </c>
      <c r="H600" t="s">
        <v>82</v>
      </c>
      <c r="I600" t="s">
        <v>43</v>
      </c>
      <c r="J600" t="s">
        <v>166</v>
      </c>
      <c r="K600" t="s">
        <v>43</v>
      </c>
      <c r="L600" t="s">
        <v>147</v>
      </c>
      <c r="M600" t="s">
        <v>49</v>
      </c>
      <c r="N600" t="s">
        <v>160</v>
      </c>
      <c r="P600" t="s">
        <v>148</v>
      </c>
      <c r="Q600">
        <v>11</v>
      </c>
      <c r="R600">
        <v>1</v>
      </c>
      <c r="S600">
        <v>7</v>
      </c>
      <c r="T600">
        <v>0</v>
      </c>
      <c r="U600">
        <v>6</v>
      </c>
      <c r="V600">
        <v>13</v>
      </c>
      <c r="W600">
        <v>40</v>
      </c>
      <c r="X600">
        <v>622</v>
      </c>
      <c r="Y600">
        <v>26376</v>
      </c>
      <c r="Z600">
        <v>2096</v>
      </c>
      <c r="AA600">
        <v>1</v>
      </c>
      <c r="AB600" s="29">
        <v>44773</v>
      </c>
      <c r="AC600" s="29">
        <v>35877</v>
      </c>
      <c r="AD600" s="29">
        <v>42499</v>
      </c>
      <c r="AE600" s="29"/>
      <c r="AF600">
        <v>6</v>
      </c>
      <c r="AG600" t="s">
        <v>157</v>
      </c>
      <c r="AI600">
        <v>19</v>
      </c>
      <c r="AJ600">
        <v>1</v>
      </c>
      <c r="AK600" t="s">
        <v>150</v>
      </c>
      <c r="AL600" t="s">
        <v>77</v>
      </c>
      <c r="AM600">
        <f t="shared" si="45"/>
        <v>2</v>
      </c>
      <c r="AN600">
        <f t="shared" si="46"/>
        <v>5</v>
      </c>
      <c r="AO600" t="str">
        <f t="shared" si="47"/>
        <v/>
      </c>
      <c r="AP600" t="str">
        <f t="shared" si="48"/>
        <v/>
      </c>
      <c r="AQ600">
        <f t="shared" si="49"/>
        <v>2016</v>
      </c>
    </row>
    <row r="601" spans="1:43" x14ac:dyDescent="0.35">
      <c r="A601">
        <v>1460</v>
      </c>
      <c r="B601">
        <v>45</v>
      </c>
      <c r="C601" t="s">
        <v>148</v>
      </c>
      <c r="D601" t="s">
        <v>145</v>
      </c>
      <c r="E601" t="s">
        <v>4</v>
      </c>
      <c r="F601" t="s">
        <v>38</v>
      </c>
      <c r="G601" t="s">
        <v>42</v>
      </c>
      <c r="H601" t="s">
        <v>82</v>
      </c>
      <c r="I601" t="s">
        <v>41</v>
      </c>
      <c r="J601" t="s">
        <v>161</v>
      </c>
      <c r="K601" t="s">
        <v>41</v>
      </c>
      <c r="L601" t="s">
        <v>147</v>
      </c>
      <c r="M601" t="s">
        <v>49</v>
      </c>
      <c r="N601" t="s">
        <v>96</v>
      </c>
      <c r="O601" t="s">
        <v>41</v>
      </c>
      <c r="P601" t="s">
        <v>144</v>
      </c>
      <c r="Q601">
        <v>18</v>
      </c>
      <c r="R601">
        <v>2</v>
      </c>
      <c r="S601">
        <v>24</v>
      </c>
      <c r="T601">
        <v>0</v>
      </c>
      <c r="U601">
        <v>6</v>
      </c>
      <c r="V601">
        <v>20</v>
      </c>
      <c r="W601">
        <v>95</v>
      </c>
      <c r="X601">
        <v>1038</v>
      </c>
      <c r="Y601">
        <v>19863</v>
      </c>
      <c r="Z601">
        <v>10851</v>
      </c>
      <c r="AA601">
        <v>2</v>
      </c>
      <c r="AB601" s="29">
        <v>44773</v>
      </c>
      <c r="AC601" s="29">
        <v>28683</v>
      </c>
      <c r="AD601" s="29">
        <v>42508</v>
      </c>
      <c r="AE601" s="29"/>
      <c r="AF601">
        <v>6</v>
      </c>
      <c r="AG601" t="s">
        <v>153</v>
      </c>
      <c r="AI601">
        <v>39</v>
      </c>
      <c r="AJ601">
        <v>1</v>
      </c>
      <c r="AK601" t="s">
        <v>150</v>
      </c>
      <c r="AL601" t="s">
        <v>77</v>
      </c>
      <c r="AM601">
        <f t="shared" si="45"/>
        <v>2</v>
      </c>
      <c r="AN601">
        <f t="shared" si="46"/>
        <v>5</v>
      </c>
      <c r="AO601" t="str">
        <f t="shared" si="47"/>
        <v/>
      </c>
      <c r="AP601" t="str">
        <f t="shared" si="48"/>
        <v/>
      </c>
      <c r="AQ601">
        <f t="shared" si="49"/>
        <v>2016</v>
      </c>
    </row>
    <row r="602" spans="1:43" x14ac:dyDescent="0.35">
      <c r="A602">
        <v>77</v>
      </c>
      <c r="B602">
        <v>37</v>
      </c>
      <c r="C602" t="s">
        <v>148</v>
      </c>
      <c r="D602" t="s">
        <v>145</v>
      </c>
      <c r="E602" t="s">
        <v>4</v>
      </c>
      <c r="F602" t="s">
        <v>37</v>
      </c>
      <c r="G602" t="s">
        <v>41</v>
      </c>
      <c r="H602" t="s">
        <v>82</v>
      </c>
      <c r="I602" t="s">
        <v>42</v>
      </c>
      <c r="J602" t="s">
        <v>165</v>
      </c>
      <c r="K602" t="s">
        <v>43</v>
      </c>
      <c r="L602" t="s">
        <v>147</v>
      </c>
      <c r="M602" t="s">
        <v>50</v>
      </c>
      <c r="N602" t="s">
        <v>96</v>
      </c>
      <c r="O602" t="s">
        <v>41</v>
      </c>
      <c r="P602" t="s">
        <v>148</v>
      </c>
      <c r="Q602">
        <v>18</v>
      </c>
      <c r="R602">
        <v>1</v>
      </c>
      <c r="S602">
        <v>7</v>
      </c>
      <c r="T602">
        <v>0</v>
      </c>
      <c r="U602">
        <v>1</v>
      </c>
      <c r="V602">
        <v>1</v>
      </c>
      <c r="W602">
        <v>51</v>
      </c>
      <c r="X602">
        <v>1115</v>
      </c>
      <c r="Y602">
        <v>2689</v>
      </c>
      <c r="Z602">
        <v>5993</v>
      </c>
      <c r="AA602">
        <v>2</v>
      </c>
      <c r="AB602" s="29">
        <v>44773</v>
      </c>
      <c r="AC602" s="29">
        <v>31393</v>
      </c>
      <c r="AD602" s="29">
        <v>42523</v>
      </c>
      <c r="AE602" s="29"/>
      <c r="AF602">
        <v>6</v>
      </c>
      <c r="AG602" t="s">
        <v>149</v>
      </c>
      <c r="AI602">
        <v>31</v>
      </c>
      <c r="AJ602">
        <v>1</v>
      </c>
      <c r="AK602" t="s">
        <v>150</v>
      </c>
      <c r="AL602" t="s">
        <v>77</v>
      </c>
      <c r="AM602">
        <f t="shared" si="45"/>
        <v>2</v>
      </c>
      <c r="AN602">
        <f t="shared" si="46"/>
        <v>6</v>
      </c>
      <c r="AO602" t="str">
        <f t="shared" si="47"/>
        <v/>
      </c>
      <c r="AP602" t="str">
        <f t="shared" si="48"/>
        <v/>
      </c>
      <c r="AQ602">
        <f t="shared" si="49"/>
        <v>2016</v>
      </c>
    </row>
    <row r="603" spans="1:43" x14ac:dyDescent="0.35">
      <c r="A603">
        <v>260</v>
      </c>
      <c r="B603">
        <v>27</v>
      </c>
      <c r="C603" t="s">
        <v>148</v>
      </c>
      <c r="D603" t="s">
        <v>145</v>
      </c>
      <c r="E603" t="s">
        <v>4</v>
      </c>
      <c r="F603" t="s">
        <v>38</v>
      </c>
      <c r="G603" t="s">
        <v>44</v>
      </c>
      <c r="H603" t="s">
        <v>81</v>
      </c>
      <c r="I603" t="s">
        <v>43</v>
      </c>
      <c r="J603" t="s">
        <v>146</v>
      </c>
      <c r="K603" t="s">
        <v>42</v>
      </c>
      <c r="L603" t="s">
        <v>147</v>
      </c>
      <c r="M603" t="s">
        <v>48</v>
      </c>
      <c r="N603" t="s">
        <v>95</v>
      </c>
      <c r="P603" t="s">
        <v>148</v>
      </c>
      <c r="Q603">
        <v>16</v>
      </c>
      <c r="R603">
        <v>1</v>
      </c>
      <c r="S603">
        <v>7</v>
      </c>
      <c r="T603">
        <v>0</v>
      </c>
      <c r="U603">
        <v>3</v>
      </c>
      <c r="V603">
        <v>9</v>
      </c>
      <c r="W603">
        <v>99</v>
      </c>
      <c r="X603">
        <v>894</v>
      </c>
      <c r="Y603">
        <v>11781</v>
      </c>
      <c r="Z603">
        <v>2279</v>
      </c>
      <c r="AA603">
        <v>2</v>
      </c>
      <c r="AB603" s="29">
        <v>44773</v>
      </c>
      <c r="AC603" s="29">
        <v>35241</v>
      </c>
      <c r="AD603" s="29">
        <v>42560</v>
      </c>
      <c r="AE603" s="29"/>
      <c r="AF603">
        <v>6</v>
      </c>
      <c r="AG603" t="s">
        <v>157</v>
      </c>
      <c r="AI603">
        <v>21</v>
      </c>
      <c r="AJ603">
        <v>1</v>
      </c>
      <c r="AK603" t="s">
        <v>150</v>
      </c>
      <c r="AL603" t="s">
        <v>78</v>
      </c>
      <c r="AM603">
        <f t="shared" si="45"/>
        <v>3</v>
      </c>
      <c r="AN603">
        <f t="shared" si="46"/>
        <v>7</v>
      </c>
      <c r="AO603" t="str">
        <f t="shared" si="47"/>
        <v/>
      </c>
      <c r="AP603" t="str">
        <f t="shared" si="48"/>
        <v/>
      </c>
      <c r="AQ603">
        <f t="shared" si="49"/>
        <v>2016</v>
      </c>
    </row>
    <row r="604" spans="1:43" x14ac:dyDescent="0.35">
      <c r="A604">
        <v>112</v>
      </c>
      <c r="B604">
        <v>56</v>
      </c>
      <c r="C604" t="s">
        <v>148</v>
      </c>
      <c r="D604" t="s">
        <v>145</v>
      </c>
      <c r="E604" t="s">
        <v>4</v>
      </c>
      <c r="F604" t="s">
        <v>38</v>
      </c>
      <c r="G604" t="s">
        <v>44</v>
      </c>
      <c r="H604" t="s">
        <v>82</v>
      </c>
      <c r="I604" t="s">
        <v>41</v>
      </c>
      <c r="J604" t="s">
        <v>165</v>
      </c>
      <c r="K604" t="s">
        <v>44</v>
      </c>
      <c r="L604" t="s">
        <v>147</v>
      </c>
      <c r="M604" t="s">
        <v>48</v>
      </c>
      <c r="N604" t="s">
        <v>95</v>
      </c>
      <c r="P604" t="s">
        <v>148</v>
      </c>
      <c r="Q604">
        <v>11</v>
      </c>
      <c r="R604">
        <v>4</v>
      </c>
      <c r="S604">
        <v>37</v>
      </c>
      <c r="T604">
        <v>0</v>
      </c>
      <c r="U604">
        <v>2</v>
      </c>
      <c r="V604">
        <v>7</v>
      </c>
      <c r="W604">
        <v>49</v>
      </c>
      <c r="X604">
        <v>1400</v>
      </c>
      <c r="Y604">
        <v>21698</v>
      </c>
      <c r="Z604">
        <v>7260</v>
      </c>
      <c r="AA604">
        <v>3</v>
      </c>
      <c r="AB604" s="29">
        <v>44773</v>
      </c>
      <c r="AC604" s="29">
        <v>24447</v>
      </c>
      <c r="AD604" s="29">
        <v>42593</v>
      </c>
      <c r="AE604" s="29"/>
      <c r="AF604">
        <v>6</v>
      </c>
      <c r="AG604" t="s">
        <v>167</v>
      </c>
      <c r="AI604">
        <v>50</v>
      </c>
      <c r="AJ604">
        <v>1</v>
      </c>
      <c r="AK604" t="s">
        <v>150</v>
      </c>
      <c r="AL604" t="s">
        <v>77</v>
      </c>
      <c r="AM604">
        <f t="shared" si="45"/>
        <v>3</v>
      </c>
      <c r="AN604">
        <f t="shared" si="46"/>
        <v>8</v>
      </c>
      <c r="AO604" t="str">
        <f t="shared" si="47"/>
        <v/>
      </c>
      <c r="AP604" t="str">
        <f t="shared" si="48"/>
        <v/>
      </c>
      <c r="AQ604">
        <f t="shared" si="49"/>
        <v>2016</v>
      </c>
    </row>
    <row r="605" spans="1:43" x14ac:dyDescent="0.35">
      <c r="A605">
        <v>1254</v>
      </c>
      <c r="B605">
        <v>59</v>
      </c>
      <c r="C605" t="s">
        <v>148</v>
      </c>
      <c r="D605" t="s">
        <v>145</v>
      </c>
      <c r="E605" t="s">
        <v>158</v>
      </c>
      <c r="F605" t="s">
        <v>38</v>
      </c>
      <c r="G605" t="s">
        <v>43</v>
      </c>
      <c r="H605" t="s">
        <v>81</v>
      </c>
      <c r="I605" t="s">
        <v>42</v>
      </c>
      <c r="J605" t="s">
        <v>159</v>
      </c>
      <c r="K605" t="s">
        <v>44</v>
      </c>
      <c r="L605" t="s">
        <v>147</v>
      </c>
      <c r="M605" t="s">
        <v>49</v>
      </c>
      <c r="N605" t="s">
        <v>95</v>
      </c>
      <c r="P605" t="s">
        <v>148</v>
      </c>
      <c r="Q605">
        <v>17</v>
      </c>
      <c r="R605">
        <v>5</v>
      </c>
      <c r="S605">
        <v>13</v>
      </c>
      <c r="T605">
        <v>0</v>
      </c>
      <c r="U605">
        <v>5</v>
      </c>
      <c r="V605">
        <v>3</v>
      </c>
      <c r="W605">
        <v>48</v>
      </c>
      <c r="X605">
        <v>326</v>
      </c>
      <c r="Y605">
        <v>16490</v>
      </c>
      <c r="Z605">
        <v>5171</v>
      </c>
      <c r="AA605">
        <v>2</v>
      </c>
      <c r="AB605" s="29">
        <v>44773</v>
      </c>
      <c r="AC605" s="29">
        <v>23484</v>
      </c>
      <c r="AD605" s="29">
        <v>42612</v>
      </c>
      <c r="AE605" s="29"/>
      <c r="AF605">
        <v>6</v>
      </c>
      <c r="AG605" t="s">
        <v>167</v>
      </c>
      <c r="AI605">
        <v>53</v>
      </c>
      <c r="AJ605">
        <v>2</v>
      </c>
      <c r="AK605" t="s">
        <v>150</v>
      </c>
      <c r="AL605" t="s">
        <v>77</v>
      </c>
      <c r="AM605">
        <f t="shared" si="45"/>
        <v>3</v>
      </c>
      <c r="AN605">
        <f t="shared" si="46"/>
        <v>8</v>
      </c>
      <c r="AO605" t="str">
        <f t="shared" si="47"/>
        <v/>
      </c>
      <c r="AP605" t="str">
        <f t="shared" si="48"/>
        <v/>
      </c>
      <c r="AQ605">
        <f t="shared" si="49"/>
        <v>2016</v>
      </c>
    </row>
    <row r="606" spans="1:43" x14ac:dyDescent="0.35">
      <c r="A606">
        <v>303</v>
      </c>
      <c r="B606">
        <v>54</v>
      </c>
      <c r="C606" t="s">
        <v>148</v>
      </c>
      <c r="D606" t="s">
        <v>145</v>
      </c>
      <c r="E606" t="s">
        <v>158</v>
      </c>
      <c r="F606" t="s">
        <v>38</v>
      </c>
      <c r="G606" t="s">
        <v>44</v>
      </c>
      <c r="H606" t="s">
        <v>81</v>
      </c>
      <c r="I606" t="s">
        <v>43</v>
      </c>
      <c r="J606" t="s">
        <v>159</v>
      </c>
      <c r="K606" t="s">
        <v>41</v>
      </c>
      <c r="L606" t="s">
        <v>147</v>
      </c>
      <c r="M606" t="s">
        <v>49</v>
      </c>
      <c r="N606" t="s">
        <v>160</v>
      </c>
      <c r="O606" t="s">
        <v>41</v>
      </c>
      <c r="P606" t="s">
        <v>148</v>
      </c>
      <c r="Q606">
        <v>14</v>
      </c>
      <c r="R606">
        <v>2</v>
      </c>
      <c r="S606">
        <v>16</v>
      </c>
      <c r="T606">
        <v>0</v>
      </c>
      <c r="U606">
        <v>5</v>
      </c>
      <c r="V606">
        <v>3</v>
      </c>
      <c r="W606">
        <v>52</v>
      </c>
      <c r="X606">
        <v>1147</v>
      </c>
      <c r="Y606">
        <v>17011</v>
      </c>
      <c r="Z606">
        <v>5940</v>
      </c>
      <c r="AA606">
        <v>4</v>
      </c>
      <c r="AB606" s="29">
        <v>44773</v>
      </c>
      <c r="AC606" s="29">
        <v>25101</v>
      </c>
      <c r="AD606" s="29">
        <v>42616</v>
      </c>
      <c r="AE606" s="29"/>
      <c r="AF606">
        <v>6</v>
      </c>
      <c r="AG606" t="s">
        <v>167</v>
      </c>
      <c r="AI606">
        <v>48</v>
      </c>
      <c r="AJ606">
        <v>1</v>
      </c>
      <c r="AK606" t="s">
        <v>150</v>
      </c>
      <c r="AL606" t="s">
        <v>77</v>
      </c>
      <c r="AM606">
        <f t="shared" si="45"/>
        <v>3</v>
      </c>
      <c r="AN606">
        <f t="shared" si="46"/>
        <v>9</v>
      </c>
      <c r="AO606" t="str">
        <f t="shared" si="47"/>
        <v/>
      </c>
      <c r="AP606" t="str">
        <f t="shared" si="48"/>
        <v/>
      </c>
      <c r="AQ606">
        <f t="shared" si="49"/>
        <v>2016</v>
      </c>
    </row>
    <row r="607" spans="1:43" x14ac:dyDescent="0.35">
      <c r="A607">
        <v>192</v>
      </c>
      <c r="B607">
        <v>45</v>
      </c>
      <c r="C607" t="s">
        <v>148</v>
      </c>
      <c r="D607" t="s">
        <v>145</v>
      </c>
      <c r="E607" t="s">
        <v>4</v>
      </c>
      <c r="F607" t="s">
        <v>38</v>
      </c>
      <c r="G607" t="s">
        <v>43</v>
      </c>
      <c r="H607" t="s">
        <v>82</v>
      </c>
      <c r="I607" t="s">
        <v>43</v>
      </c>
      <c r="J607" t="s">
        <v>146</v>
      </c>
      <c r="K607" t="s">
        <v>44</v>
      </c>
      <c r="L607" t="s">
        <v>147</v>
      </c>
      <c r="M607" t="s">
        <v>48</v>
      </c>
      <c r="N607" t="s">
        <v>95</v>
      </c>
      <c r="P607" t="s">
        <v>148</v>
      </c>
      <c r="Q607">
        <v>13</v>
      </c>
      <c r="R607">
        <v>5</v>
      </c>
      <c r="S607">
        <v>9</v>
      </c>
      <c r="T607">
        <v>0</v>
      </c>
      <c r="U607">
        <v>3</v>
      </c>
      <c r="V607">
        <v>29</v>
      </c>
      <c r="W607">
        <v>83</v>
      </c>
      <c r="X607">
        <v>1316</v>
      </c>
      <c r="Y607">
        <v>9752</v>
      </c>
      <c r="Z607">
        <v>3452</v>
      </c>
      <c r="AA607">
        <v>2</v>
      </c>
      <c r="AB607" s="29">
        <v>44773</v>
      </c>
      <c r="AC607" s="29">
        <v>28538</v>
      </c>
      <c r="AD607" s="29">
        <v>42635</v>
      </c>
      <c r="AE607" s="29"/>
      <c r="AF607">
        <v>6</v>
      </c>
      <c r="AG607" t="s">
        <v>153</v>
      </c>
      <c r="AI607">
        <v>39</v>
      </c>
      <c r="AJ607">
        <v>1</v>
      </c>
      <c r="AK607" t="s">
        <v>150</v>
      </c>
      <c r="AL607" t="s">
        <v>77</v>
      </c>
      <c r="AM607">
        <f t="shared" si="45"/>
        <v>3</v>
      </c>
      <c r="AN607">
        <f t="shared" si="46"/>
        <v>9</v>
      </c>
      <c r="AO607" t="str">
        <f t="shared" si="47"/>
        <v/>
      </c>
      <c r="AP607" t="str">
        <f t="shared" si="48"/>
        <v/>
      </c>
      <c r="AQ607">
        <f t="shared" si="49"/>
        <v>2016</v>
      </c>
    </row>
    <row r="608" spans="1:43" x14ac:dyDescent="0.35">
      <c r="A608">
        <v>362</v>
      </c>
      <c r="B608">
        <v>32</v>
      </c>
      <c r="C608" t="s">
        <v>148</v>
      </c>
      <c r="D608" t="s">
        <v>145</v>
      </c>
      <c r="E608" t="s">
        <v>4</v>
      </c>
      <c r="F608" t="s">
        <v>35</v>
      </c>
      <c r="G608" t="s">
        <v>44</v>
      </c>
      <c r="H608" t="s">
        <v>82</v>
      </c>
      <c r="I608" t="s">
        <v>42</v>
      </c>
      <c r="J608" t="s">
        <v>155</v>
      </c>
      <c r="K608" t="s">
        <v>41</v>
      </c>
      <c r="L608" t="s">
        <v>147</v>
      </c>
      <c r="M608" t="s">
        <v>49</v>
      </c>
      <c r="N608" t="s">
        <v>95</v>
      </c>
      <c r="P608" t="s">
        <v>148</v>
      </c>
      <c r="Q608">
        <v>13</v>
      </c>
      <c r="R608">
        <v>4</v>
      </c>
      <c r="S608">
        <v>9</v>
      </c>
      <c r="T608">
        <v>0</v>
      </c>
      <c r="U608">
        <v>4</v>
      </c>
      <c r="V608">
        <v>2</v>
      </c>
      <c r="W608">
        <v>84</v>
      </c>
      <c r="X608">
        <v>128</v>
      </c>
      <c r="Y608">
        <v>19737</v>
      </c>
      <c r="Z608">
        <v>2176</v>
      </c>
      <c r="AA608">
        <v>5</v>
      </c>
      <c r="AB608" s="29">
        <v>44773</v>
      </c>
      <c r="AC608" s="29">
        <v>33383</v>
      </c>
      <c r="AD608" s="29">
        <v>42650</v>
      </c>
      <c r="AE608" s="29"/>
      <c r="AF608">
        <v>6</v>
      </c>
      <c r="AG608" t="s">
        <v>149</v>
      </c>
      <c r="AI608">
        <v>26</v>
      </c>
      <c r="AJ608">
        <v>1</v>
      </c>
      <c r="AK608" t="s">
        <v>150</v>
      </c>
      <c r="AL608" t="s">
        <v>77</v>
      </c>
      <c r="AM608">
        <f t="shared" si="45"/>
        <v>4</v>
      </c>
      <c r="AN608">
        <f t="shared" si="46"/>
        <v>10</v>
      </c>
      <c r="AO608" t="str">
        <f t="shared" si="47"/>
        <v/>
      </c>
      <c r="AP608" t="str">
        <f t="shared" si="48"/>
        <v/>
      </c>
      <c r="AQ608">
        <f t="shared" si="49"/>
        <v>2016</v>
      </c>
    </row>
    <row r="609" spans="1:43" x14ac:dyDescent="0.35">
      <c r="A609">
        <v>460</v>
      </c>
      <c r="B609">
        <v>37</v>
      </c>
      <c r="C609" t="s">
        <v>148</v>
      </c>
      <c r="D609" t="s">
        <v>145</v>
      </c>
      <c r="E609" t="s">
        <v>4</v>
      </c>
      <c r="F609" t="s">
        <v>36</v>
      </c>
      <c r="G609" t="s">
        <v>44</v>
      </c>
      <c r="H609" t="s">
        <v>82</v>
      </c>
      <c r="I609" t="s">
        <v>43</v>
      </c>
      <c r="J609" t="s">
        <v>165</v>
      </c>
      <c r="K609" t="s">
        <v>44</v>
      </c>
      <c r="L609" t="s">
        <v>147</v>
      </c>
      <c r="M609" t="s">
        <v>48</v>
      </c>
      <c r="N609" t="s">
        <v>96</v>
      </c>
      <c r="O609" t="s">
        <v>156</v>
      </c>
      <c r="P609" t="s">
        <v>148</v>
      </c>
      <c r="Q609">
        <v>16</v>
      </c>
      <c r="R609">
        <v>7</v>
      </c>
      <c r="S609">
        <v>8</v>
      </c>
      <c r="T609">
        <v>0</v>
      </c>
      <c r="U609">
        <v>4</v>
      </c>
      <c r="V609">
        <v>5</v>
      </c>
      <c r="W609">
        <v>61</v>
      </c>
      <c r="X609">
        <v>1192</v>
      </c>
      <c r="Y609">
        <v>23177</v>
      </c>
      <c r="Z609">
        <v>6347</v>
      </c>
      <c r="AA609">
        <v>2</v>
      </c>
      <c r="AB609" s="29">
        <v>44773</v>
      </c>
      <c r="AC609" s="29">
        <v>31274</v>
      </c>
      <c r="AD609" s="29">
        <v>42691</v>
      </c>
      <c r="AE609" s="29"/>
      <c r="AF609">
        <v>6</v>
      </c>
      <c r="AG609" t="s">
        <v>149</v>
      </c>
      <c r="AI609">
        <v>31</v>
      </c>
      <c r="AJ609">
        <v>1</v>
      </c>
      <c r="AK609" t="s">
        <v>150</v>
      </c>
      <c r="AL609" t="s">
        <v>77</v>
      </c>
      <c r="AM609">
        <f t="shared" si="45"/>
        <v>4</v>
      </c>
      <c r="AN609">
        <f t="shared" si="46"/>
        <v>11</v>
      </c>
      <c r="AO609" t="str">
        <f t="shared" si="47"/>
        <v/>
      </c>
      <c r="AP609" t="str">
        <f t="shared" si="48"/>
        <v/>
      </c>
      <c r="AQ609">
        <f t="shared" si="49"/>
        <v>2016</v>
      </c>
    </row>
    <row r="610" spans="1:43" x14ac:dyDescent="0.35">
      <c r="A610">
        <v>679</v>
      </c>
      <c r="B610">
        <v>32</v>
      </c>
      <c r="C610" t="s">
        <v>148</v>
      </c>
      <c r="D610" t="s">
        <v>145</v>
      </c>
      <c r="E610" t="s">
        <v>4</v>
      </c>
      <c r="F610" t="s">
        <v>37</v>
      </c>
      <c r="G610" t="s">
        <v>41</v>
      </c>
      <c r="H610" t="s">
        <v>81</v>
      </c>
      <c r="I610" t="s">
        <v>43</v>
      </c>
      <c r="J610" t="s">
        <v>146</v>
      </c>
      <c r="K610" t="s">
        <v>44</v>
      </c>
      <c r="L610" t="s">
        <v>147</v>
      </c>
      <c r="M610" t="s">
        <v>48</v>
      </c>
      <c r="N610" t="s">
        <v>160</v>
      </c>
      <c r="O610" t="s">
        <v>41</v>
      </c>
      <c r="P610" t="s">
        <v>144</v>
      </c>
      <c r="Q610">
        <v>12</v>
      </c>
      <c r="R610">
        <v>1</v>
      </c>
      <c r="S610">
        <v>6</v>
      </c>
      <c r="T610">
        <v>0</v>
      </c>
      <c r="U610">
        <v>5</v>
      </c>
      <c r="V610">
        <v>9</v>
      </c>
      <c r="W610">
        <v>92</v>
      </c>
      <c r="X610">
        <v>646</v>
      </c>
      <c r="Y610">
        <v>18089</v>
      </c>
      <c r="Z610">
        <v>6322</v>
      </c>
      <c r="AA610">
        <v>2</v>
      </c>
      <c r="AB610" s="29">
        <v>44773</v>
      </c>
      <c r="AC610" s="29">
        <v>33260</v>
      </c>
      <c r="AD610" s="29">
        <v>42712</v>
      </c>
      <c r="AE610" s="29"/>
      <c r="AF610">
        <v>6</v>
      </c>
      <c r="AG610" t="s">
        <v>149</v>
      </c>
      <c r="AI610">
        <v>26</v>
      </c>
      <c r="AJ610">
        <v>1</v>
      </c>
      <c r="AK610" t="s">
        <v>150</v>
      </c>
      <c r="AL610" t="s">
        <v>77</v>
      </c>
      <c r="AM610">
        <f t="shared" si="45"/>
        <v>4</v>
      </c>
      <c r="AN610">
        <f t="shared" si="46"/>
        <v>12</v>
      </c>
      <c r="AO610" t="str">
        <f t="shared" si="47"/>
        <v/>
      </c>
      <c r="AP610" t="str">
        <f t="shared" si="48"/>
        <v/>
      </c>
      <c r="AQ610">
        <f t="shared" si="49"/>
        <v>2016</v>
      </c>
    </row>
    <row r="611" spans="1:43" x14ac:dyDescent="0.35">
      <c r="A611">
        <v>1048</v>
      </c>
      <c r="B611">
        <v>59</v>
      </c>
      <c r="C611" t="s">
        <v>148</v>
      </c>
      <c r="D611" t="s">
        <v>145</v>
      </c>
      <c r="E611" t="s">
        <v>158</v>
      </c>
      <c r="F611" t="s">
        <v>36</v>
      </c>
      <c r="G611" t="s">
        <v>42</v>
      </c>
      <c r="H611" t="s">
        <v>82</v>
      </c>
      <c r="I611" t="s">
        <v>43</v>
      </c>
      <c r="J611" t="s">
        <v>169</v>
      </c>
      <c r="K611" t="s">
        <v>44</v>
      </c>
      <c r="L611" t="s">
        <v>147</v>
      </c>
      <c r="M611" t="s">
        <v>47</v>
      </c>
      <c r="N611" t="s">
        <v>160</v>
      </c>
      <c r="O611" t="s">
        <v>41</v>
      </c>
      <c r="P611" t="s">
        <v>144</v>
      </c>
      <c r="Q611">
        <v>14</v>
      </c>
      <c r="R611">
        <v>3</v>
      </c>
      <c r="S611">
        <v>14</v>
      </c>
      <c r="T611">
        <v>0</v>
      </c>
      <c r="U611">
        <v>4</v>
      </c>
      <c r="V611">
        <v>1</v>
      </c>
      <c r="W611">
        <v>66</v>
      </c>
      <c r="X611">
        <v>1089</v>
      </c>
      <c r="Y611">
        <v>11038</v>
      </c>
      <c r="Z611">
        <v>11904</v>
      </c>
      <c r="AA611">
        <v>1</v>
      </c>
      <c r="AB611" s="29">
        <v>44773</v>
      </c>
      <c r="AC611" s="29">
        <v>23304</v>
      </c>
      <c r="AD611" s="29">
        <v>42767</v>
      </c>
      <c r="AE611" s="29"/>
      <c r="AF611">
        <v>5</v>
      </c>
      <c r="AG611" t="s">
        <v>167</v>
      </c>
      <c r="AI611">
        <v>54</v>
      </c>
      <c r="AJ611">
        <v>2</v>
      </c>
      <c r="AK611" t="s">
        <v>162</v>
      </c>
      <c r="AL611" t="s">
        <v>78</v>
      </c>
      <c r="AM611">
        <f t="shared" si="45"/>
        <v>1</v>
      </c>
      <c r="AN611">
        <f t="shared" si="46"/>
        <v>2</v>
      </c>
      <c r="AO611" t="str">
        <f t="shared" si="47"/>
        <v/>
      </c>
      <c r="AP611" t="str">
        <f t="shared" si="48"/>
        <v/>
      </c>
      <c r="AQ611">
        <f t="shared" si="49"/>
        <v>2017</v>
      </c>
    </row>
    <row r="612" spans="1:43" x14ac:dyDescent="0.35">
      <c r="A612">
        <v>604</v>
      </c>
      <c r="B612">
        <v>31</v>
      </c>
      <c r="C612" t="s">
        <v>148</v>
      </c>
      <c r="D612" t="s">
        <v>145</v>
      </c>
      <c r="E612" t="s">
        <v>158</v>
      </c>
      <c r="F612" t="s">
        <v>35</v>
      </c>
      <c r="G612" t="s">
        <v>42</v>
      </c>
      <c r="H612" t="s">
        <v>82</v>
      </c>
      <c r="I612" t="s">
        <v>43</v>
      </c>
      <c r="J612" t="s">
        <v>159</v>
      </c>
      <c r="K612" t="s">
        <v>44</v>
      </c>
      <c r="L612" t="s">
        <v>147</v>
      </c>
      <c r="M612" t="s">
        <v>50</v>
      </c>
      <c r="N612" t="s">
        <v>95</v>
      </c>
      <c r="P612" t="s">
        <v>144</v>
      </c>
      <c r="Q612">
        <v>13</v>
      </c>
      <c r="R612">
        <v>4</v>
      </c>
      <c r="S612">
        <v>10</v>
      </c>
      <c r="T612">
        <v>0</v>
      </c>
      <c r="U612">
        <v>5</v>
      </c>
      <c r="V612">
        <v>2</v>
      </c>
      <c r="W612">
        <v>77</v>
      </c>
      <c r="X612">
        <v>828</v>
      </c>
      <c r="Y612">
        <v>8346</v>
      </c>
      <c r="Z612">
        <v>6582</v>
      </c>
      <c r="AA612">
        <v>2</v>
      </c>
      <c r="AB612" s="29">
        <v>44773</v>
      </c>
      <c r="AC612" s="29">
        <v>33606</v>
      </c>
      <c r="AD612" s="29">
        <v>42785</v>
      </c>
      <c r="AE612" s="29"/>
      <c r="AF612">
        <v>5</v>
      </c>
      <c r="AG612" t="s">
        <v>149</v>
      </c>
      <c r="AI612">
        <v>26</v>
      </c>
      <c r="AJ612">
        <v>1</v>
      </c>
      <c r="AK612" t="s">
        <v>162</v>
      </c>
      <c r="AL612" t="s">
        <v>77</v>
      </c>
      <c r="AM612">
        <f t="shared" si="45"/>
        <v>1</v>
      </c>
      <c r="AN612">
        <f t="shared" si="46"/>
        <v>2</v>
      </c>
      <c r="AO612" t="str">
        <f t="shared" si="47"/>
        <v/>
      </c>
      <c r="AP612" t="str">
        <f t="shared" si="48"/>
        <v/>
      </c>
      <c r="AQ612">
        <f t="shared" si="49"/>
        <v>2017</v>
      </c>
    </row>
    <row r="613" spans="1:43" x14ac:dyDescent="0.35">
      <c r="A613">
        <v>612</v>
      </c>
      <c r="B613">
        <v>33</v>
      </c>
      <c r="C613" t="s">
        <v>148</v>
      </c>
      <c r="D613" t="s">
        <v>145</v>
      </c>
      <c r="E613" t="s">
        <v>4</v>
      </c>
      <c r="F613" t="s">
        <v>34</v>
      </c>
      <c r="G613" t="s">
        <v>41</v>
      </c>
      <c r="H613" t="s">
        <v>81</v>
      </c>
      <c r="I613" t="s">
        <v>44</v>
      </c>
      <c r="J613" t="s">
        <v>173</v>
      </c>
      <c r="K613" t="s">
        <v>43</v>
      </c>
      <c r="L613" t="s">
        <v>147</v>
      </c>
      <c r="M613" t="s">
        <v>49</v>
      </c>
      <c r="N613" t="s">
        <v>96</v>
      </c>
      <c r="O613" t="s">
        <v>41</v>
      </c>
      <c r="P613" t="s">
        <v>148</v>
      </c>
      <c r="Q613">
        <v>19</v>
      </c>
      <c r="R613">
        <v>4</v>
      </c>
      <c r="S613">
        <v>10</v>
      </c>
      <c r="T613">
        <v>0</v>
      </c>
      <c r="U613">
        <v>5</v>
      </c>
      <c r="V613">
        <v>1</v>
      </c>
      <c r="W613">
        <v>95</v>
      </c>
      <c r="X613">
        <v>922</v>
      </c>
      <c r="Y613">
        <v>22578</v>
      </c>
      <c r="Z613">
        <v>16184</v>
      </c>
      <c r="AA613">
        <v>2</v>
      </c>
      <c r="AB613" s="29">
        <v>44773</v>
      </c>
      <c r="AC613" s="29">
        <v>32897</v>
      </c>
      <c r="AD613" s="29">
        <v>42811</v>
      </c>
      <c r="AE613" s="29"/>
      <c r="AF613">
        <v>5</v>
      </c>
      <c r="AG613" t="s">
        <v>149</v>
      </c>
      <c r="AI613">
        <v>28</v>
      </c>
      <c r="AJ613">
        <v>2</v>
      </c>
      <c r="AK613" t="s">
        <v>162</v>
      </c>
      <c r="AL613" t="s">
        <v>77</v>
      </c>
      <c r="AM613">
        <f t="shared" si="45"/>
        <v>1</v>
      </c>
      <c r="AN613">
        <f t="shared" si="46"/>
        <v>3</v>
      </c>
      <c r="AO613" t="str">
        <f t="shared" si="47"/>
        <v/>
      </c>
      <c r="AP613" t="str">
        <f t="shared" si="48"/>
        <v/>
      </c>
      <c r="AQ613">
        <f t="shared" si="49"/>
        <v>2017</v>
      </c>
    </row>
    <row r="614" spans="1:43" x14ac:dyDescent="0.35">
      <c r="A614">
        <v>21</v>
      </c>
      <c r="B614">
        <v>32</v>
      </c>
      <c r="C614" t="s">
        <v>148</v>
      </c>
      <c r="D614" t="s">
        <v>145</v>
      </c>
      <c r="E614" t="s">
        <v>4</v>
      </c>
      <c r="F614" t="s">
        <v>36</v>
      </c>
      <c r="G614" t="s">
        <v>41</v>
      </c>
      <c r="H614" t="s">
        <v>82</v>
      </c>
      <c r="I614" t="s">
        <v>44</v>
      </c>
      <c r="J614" t="s">
        <v>146</v>
      </c>
      <c r="K614" t="s">
        <v>42</v>
      </c>
      <c r="L614" t="s">
        <v>147</v>
      </c>
      <c r="M614" t="s">
        <v>48</v>
      </c>
      <c r="N614" t="s">
        <v>96</v>
      </c>
      <c r="O614" t="s">
        <v>156</v>
      </c>
      <c r="P614" t="s">
        <v>144</v>
      </c>
      <c r="Q614">
        <v>12</v>
      </c>
      <c r="R614">
        <v>0</v>
      </c>
      <c r="S614">
        <v>7</v>
      </c>
      <c r="T614">
        <v>0</v>
      </c>
      <c r="U614">
        <v>5</v>
      </c>
      <c r="V614">
        <v>5</v>
      </c>
      <c r="W614">
        <v>80</v>
      </c>
      <c r="X614">
        <v>334</v>
      </c>
      <c r="Y614">
        <v>15053</v>
      </c>
      <c r="Z614">
        <v>3298</v>
      </c>
      <c r="AA614">
        <v>5</v>
      </c>
      <c r="AB614" s="29">
        <v>44773</v>
      </c>
      <c r="AC614" s="29">
        <v>33358</v>
      </c>
      <c r="AD614" s="29">
        <v>42827</v>
      </c>
      <c r="AE614" s="29"/>
      <c r="AF614">
        <v>5</v>
      </c>
      <c r="AG614" t="s">
        <v>149</v>
      </c>
      <c r="AI614">
        <v>27</v>
      </c>
      <c r="AJ614">
        <v>1</v>
      </c>
      <c r="AK614" t="s">
        <v>162</v>
      </c>
      <c r="AL614" t="s">
        <v>77</v>
      </c>
      <c r="AM614">
        <f t="shared" si="45"/>
        <v>2</v>
      </c>
      <c r="AN614">
        <f t="shared" si="46"/>
        <v>4</v>
      </c>
      <c r="AO614" t="str">
        <f t="shared" si="47"/>
        <v/>
      </c>
      <c r="AP614" t="str">
        <f t="shared" si="48"/>
        <v/>
      </c>
      <c r="AQ614">
        <f t="shared" si="49"/>
        <v>2017</v>
      </c>
    </row>
    <row r="615" spans="1:43" x14ac:dyDescent="0.35">
      <c r="A615">
        <v>1670</v>
      </c>
      <c r="B615">
        <v>33</v>
      </c>
      <c r="C615" t="s">
        <v>148</v>
      </c>
      <c r="D615" t="s">
        <v>145</v>
      </c>
      <c r="E615" t="s">
        <v>158</v>
      </c>
      <c r="F615" t="s">
        <v>37</v>
      </c>
      <c r="G615" t="s">
        <v>44</v>
      </c>
      <c r="H615" t="s">
        <v>82</v>
      </c>
      <c r="I615" t="s">
        <v>43</v>
      </c>
      <c r="J615" t="s">
        <v>159</v>
      </c>
      <c r="K615" t="s">
        <v>44</v>
      </c>
      <c r="L615" t="s">
        <v>147</v>
      </c>
      <c r="M615" t="s">
        <v>49</v>
      </c>
      <c r="N615" t="s">
        <v>96</v>
      </c>
      <c r="O615" t="s">
        <v>156</v>
      </c>
      <c r="P615" t="s">
        <v>148</v>
      </c>
      <c r="Q615">
        <v>14</v>
      </c>
      <c r="R615">
        <v>1</v>
      </c>
      <c r="S615">
        <v>6</v>
      </c>
      <c r="T615">
        <v>0</v>
      </c>
      <c r="U615">
        <v>4</v>
      </c>
      <c r="V615">
        <v>2</v>
      </c>
      <c r="W615">
        <v>93</v>
      </c>
      <c r="X615">
        <v>392</v>
      </c>
      <c r="Y615">
        <v>3921</v>
      </c>
      <c r="Z615">
        <v>5505</v>
      </c>
      <c r="AA615">
        <v>5</v>
      </c>
      <c r="AB615" s="29">
        <v>44773</v>
      </c>
      <c r="AC615" s="29">
        <v>32831</v>
      </c>
      <c r="AD615" s="29">
        <v>42831</v>
      </c>
      <c r="AE615" s="29"/>
      <c r="AF615">
        <v>5</v>
      </c>
      <c r="AG615" t="s">
        <v>149</v>
      </c>
      <c r="AI615">
        <v>28</v>
      </c>
      <c r="AJ615">
        <v>2</v>
      </c>
      <c r="AK615" t="s">
        <v>162</v>
      </c>
      <c r="AL615" t="s">
        <v>77</v>
      </c>
      <c r="AM615">
        <f t="shared" si="45"/>
        <v>2</v>
      </c>
      <c r="AN615">
        <f t="shared" si="46"/>
        <v>4</v>
      </c>
      <c r="AO615" t="str">
        <f t="shared" si="47"/>
        <v/>
      </c>
      <c r="AP615" t="str">
        <f t="shared" si="48"/>
        <v/>
      </c>
      <c r="AQ615">
        <f t="shared" si="49"/>
        <v>2017</v>
      </c>
    </row>
    <row r="616" spans="1:43" x14ac:dyDescent="0.35">
      <c r="A616">
        <v>105</v>
      </c>
      <c r="B616">
        <v>35</v>
      </c>
      <c r="C616" t="s">
        <v>148</v>
      </c>
      <c r="D616" t="s">
        <v>145</v>
      </c>
      <c r="E616" t="s">
        <v>4</v>
      </c>
      <c r="F616" t="s">
        <v>38</v>
      </c>
      <c r="G616" t="s">
        <v>42</v>
      </c>
      <c r="H616" t="s">
        <v>82</v>
      </c>
      <c r="I616" t="s">
        <v>42</v>
      </c>
      <c r="J616" t="s">
        <v>146</v>
      </c>
      <c r="K616" t="s">
        <v>43</v>
      </c>
      <c r="L616" t="s">
        <v>147</v>
      </c>
      <c r="M616" t="s">
        <v>49</v>
      </c>
      <c r="N616" t="s">
        <v>95</v>
      </c>
      <c r="P616" t="s">
        <v>148</v>
      </c>
      <c r="Q616">
        <v>18</v>
      </c>
      <c r="R616">
        <v>1</v>
      </c>
      <c r="S616">
        <v>6</v>
      </c>
      <c r="T616">
        <v>0</v>
      </c>
      <c r="U616">
        <v>4</v>
      </c>
      <c r="V616">
        <v>1</v>
      </c>
      <c r="W616">
        <v>30</v>
      </c>
      <c r="X616">
        <v>1214</v>
      </c>
      <c r="Y616">
        <v>26278</v>
      </c>
      <c r="Z616">
        <v>2859</v>
      </c>
      <c r="AA616">
        <v>3</v>
      </c>
      <c r="AB616" s="29">
        <v>44773</v>
      </c>
      <c r="AC616" s="29">
        <v>32214</v>
      </c>
      <c r="AD616" s="29">
        <v>42925</v>
      </c>
      <c r="AE616" s="29"/>
      <c r="AF616">
        <v>5</v>
      </c>
      <c r="AG616" t="s">
        <v>149</v>
      </c>
      <c r="AI616">
        <v>30</v>
      </c>
      <c r="AJ616">
        <v>1</v>
      </c>
      <c r="AK616" t="s">
        <v>162</v>
      </c>
      <c r="AL616" t="s">
        <v>77</v>
      </c>
      <c r="AM616">
        <f t="shared" si="45"/>
        <v>3</v>
      </c>
      <c r="AN616">
        <f t="shared" si="46"/>
        <v>7</v>
      </c>
      <c r="AO616" t="str">
        <f t="shared" si="47"/>
        <v/>
      </c>
      <c r="AP616" t="str">
        <f t="shared" si="48"/>
        <v/>
      </c>
      <c r="AQ616">
        <f t="shared" si="49"/>
        <v>2017</v>
      </c>
    </row>
    <row r="617" spans="1:43" x14ac:dyDescent="0.35">
      <c r="A617">
        <v>940</v>
      </c>
      <c r="B617">
        <v>58</v>
      </c>
      <c r="C617" t="s">
        <v>148</v>
      </c>
      <c r="D617" t="s">
        <v>145</v>
      </c>
      <c r="E617" t="s">
        <v>4</v>
      </c>
      <c r="F617" t="s">
        <v>38</v>
      </c>
      <c r="G617" t="s">
        <v>43</v>
      </c>
      <c r="H617" t="s">
        <v>81</v>
      </c>
      <c r="I617" t="s">
        <v>42</v>
      </c>
      <c r="J617" t="s">
        <v>161</v>
      </c>
      <c r="K617" t="s">
        <v>42</v>
      </c>
      <c r="L617" t="s">
        <v>147</v>
      </c>
      <c r="M617" t="s">
        <v>49</v>
      </c>
      <c r="N617" t="s">
        <v>96</v>
      </c>
      <c r="O617" t="s">
        <v>41</v>
      </c>
      <c r="P617" t="s">
        <v>144</v>
      </c>
      <c r="Q617">
        <v>13</v>
      </c>
      <c r="R617">
        <v>2</v>
      </c>
      <c r="S617">
        <v>24</v>
      </c>
      <c r="T617">
        <v>0</v>
      </c>
      <c r="U617">
        <v>4</v>
      </c>
      <c r="V617">
        <v>5</v>
      </c>
      <c r="W617">
        <v>37</v>
      </c>
      <c r="X617">
        <v>1272</v>
      </c>
      <c r="Y617">
        <v>9255</v>
      </c>
      <c r="Z617">
        <v>10552</v>
      </c>
      <c r="AA617">
        <v>3</v>
      </c>
      <c r="AB617" s="29">
        <v>44773</v>
      </c>
      <c r="AC617" s="29">
        <v>23599</v>
      </c>
      <c r="AD617" s="29">
        <v>42925</v>
      </c>
      <c r="AE617" s="29"/>
      <c r="AF617">
        <v>5</v>
      </c>
      <c r="AG617" t="s">
        <v>167</v>
      </c>
      <c r="AI617">
        <v>53</v>
      </c>
      <c r="AJ617">
        <v>1</v>
      </c>
      <c r="AK617" t="s">
        <v>162</v>
      </c>
      <c r="AL617" t="s">
        <v>77</v>
      </c>
      <c r="AM617">
        <f t="shared" si="45"/>
        <v>3</v>
      </c>
      <c r="AN617">
        <f t="shared" si="46"/>
        <v>7</v>
      </c>
      <c r="AO617" t="str">
        <f t="shared" si="47"/>
        <v/>
      </c>
      <c r="AP617" t="str">
        <f t="shared" si="48"/>
        <v/>
      </c>
      <c r="AQ617">
        <f t="shared" si="49"/>
        <v>2017</v>
      </c>
    </row>
    <row r="618" spans="1:43" x14ac:dyDescent="0.35">
      <c r="A618">
        <v>936</v>
      </c>
      <c r="B618">
        <v>42</v>
      </c>
      <c r="C618" t="s">
        <v>148</v>
      </c>
      <c r="D618" t="s">
        <v>145</v>
      </c>
      <c r="E618" t="s">
        <v>158</v>
      </c>
      <c r="F618" t="s">
        <v>36</v>
      </c>
      <c r="G618" t="s">
        <v>43</v>
      </c>
      <c r="H618" t="s">
        <v>81</v>
      </c>
      <c r="I618" t="s">
        <v>42</v>
      </c>
      <c r="J618" t="s">
        <v>159</v>
      </c>
      <c r="K618" t="s">
        <v>43</v>
      </c>
      <c r="L618" t="s">
        <v>147</v>
      </c>
      <c r="M618" t="s">
        <v>49</v>
      </c>
      <c r="N618" t="s">
        <v>95</v>
      </c>
      <c r="P618" t="s">
        <v>148</v>
      </c>
      <c r="Q618">
        <v>17</v>
      </c>
      <c r="R618">
        <v>7</v>
      </c>
      <c r="S618">
        <v>10</v>
      </c>
      <c r="T618">
        <v>0</v>
      </c>
      <c r="U618">
        <v>3</v>
      </c>
      <c r="V618">
        <v>14</v>
      </c>
      <c r="W618">
        <v>68</v>
      </c>
      <c r="X618">
        <v>462</v>
      </c>
      <c r="Y618">
        <v>7824</v>
      </c>
      <c r="Z618">
        <v>6244</v>
      </c>
      <c r="AA618">
        <v>6</v>
      </c>
      <c r="AB618" s="29">
        <v>44773</v>
      </c>
      <c r="AC618" s="29">
        <v>29670</v>
      </c>
      <c r="AD618" s="29">
        <v>42940</v>
      </c>
      <c r="AE618" s="29"/>
      <c r="AF618">
        <v>5</v>
      </c>
      <c r="AG618" t="s">
        <v>153</v>
      </c>
      <c r="AI618">
        <v>37</v>
      </c>
      <c r="AJ618">
        <v>1</v>
      </c>
      <c r="AK618" t="s">
        <v>162</v>
      </c>
      <c r="AL618" t="s">
        <v>77</v>
      </c>
      <c r="AM618">
        <f t="shared" si="45"/>
        <v>3</v>
      </c>
      <c r="AN618">
        <f t="shared" si="46"/>
        <v>7</v>
      </c>
      <c r="AO618" t="str">
        <f t="shared" si="47"/>
        <v/>
      </c>
      <c r="AP618" t="str">
        <f t="shared" si="48"/>
        <v/>
      </c>
      <c r="AQ618">
        <f t="shared" si="49"/>
        <v>2017</v>
      </c>
    </row>
    <row r="619" spans="1:43" x14ac:dyDescent="0.35">
      <c r="A619">
        <v>1545</v>
      </c>
      <c r="B619">
        <v>33</v>
      </c>
      <c r="C619" t="s">
        <v>148</v>
      </c>
      <c r="D619" t="s">
        <v>145</v>
      </c>
      <c r="E619" t="s">
        <v>4</v>
      </c>
      <c r="F619" t="s">
        <v>38</v>
      </c>
      <c r="G619" t="s">
        <v>44</v>
      </c>
      <c r="H619" t="s">
        <v>82</v>
      </c>
      <c r="I619" t="s">
        <v>42</v>
      </c>
      <c r="J619" t="s">
        <v>165</v>
      </c>
      <c r="K619" t="s">
        <v>42</v>
      </c>
      <c r="L619" t="s">
        <v>147</v>
      </c>
      <c r="M619" t="s">
        <v>49</v>
      </c>
      <c r="N619" t="s">
        <v>95</v>
      </c>
      <c r="P619" t="s">
        <v>148</v>
      </c>
      <c r="Q619">
        <v>13</v>
      </c>
      <c r="R619">
        <v>1</v>
      </c>
      <c r="S619">
        <v>5</v>
      </c>
      <c r="T619">
        <v>0</v>
      </c>
      <c r="U619">
        <v>2</v>
      </c>
      <c r="V619">
        <v>25</v>
      </c>
      <c r="W619">
        <v>44</v>
      </c>
      <c r="X619">
        <v>575</v>
      </c>
      <c r="Y619">
        <v>24152</v>
      </c>
      <c r="Z619">
        <v>4320</v>
      </c>
      <c r="AA619">
        <v>2</v>
      </c>
      <c r="AB619" s="29">
        <v>44773</v>
      </c>
      <c r="AC619" s="29">
        <v>33004</v>
      </c>
      <c r="AD619" s="29">
        <v>42950</v>
      </c>
      <c r="AE619" s="29"/>
      <c r="AF619">
        <v>5</v>
      </c>
      <c r="AG619" t="s">
        <v>149</v>
      </c>
      <c r="AI619">
        <v>28</v>
      </c>
      <c r="AJ619">
        <v>1</v>
      </c>
      <c r="AK619" t="s">
        <v>162</v>
      </c>
      <c r="AL619" t="s">
        <v>77</v>
      </c>
      <c r="AM619">
        <f t="shared" si="45"/>
        <v>3</v>
      </c>
      <c r="AN619">
        <f t="shared" si="46"/>
        <v>8</v>
      </c>
      <c r="AO619" t="str">
        <f t="shared" si="47"/>
        <v/>
      </c>
      <c r="AP619" t="str">
        <f t="shared" si="48"/>
        <v/>
      </c>
      <c r="AQ619">
        <f t="shared" si="49"/>
        <v>2017</v>
      </c>
    </row>
    <row r="620" spans="1:43" x14ac:dyDescent="0.35">
      <c r="A620">
        <v>2051</v>
      </c>
      <c r="B620">
        <v>40</v>
      </c>
      <c r="C620" t="s">
        <v>148</v>
      </c>
      <c r="D620" t="s">
        <v>145</v>
      </c>
      <c r="E620" t="s">
        <v>4</v>
      </c>
      <c r="F620" t="s">
        <v>37</v>
      </c>
      <c r="G620" t="s">
        <v>43</v>
      </c>
      <c r="H620" t="s">
        <v>81</v>
      </c>
      <c r="I620" t="s">
        <v>43</v>
      </c>
      <c r="J620" t="s">
        <v>146</v>
      </c>
      <c r="K620" t="s">
        <v>43</v>
      </c>
      <c r="L620" t="s">
        <v>147</v>
      </c>
      <c r="M620" t="s">
        <v>49</v>
      </c>
      <c r="N620" t="s">
        <v>160</v>
      </c>
      <c r="O620" t="s">
        <v>43</v>
      </c>
      <c r="P620" t="s">
        <v>148</v>
      </c>
      <c r="Q620">
        <v>14</v>
      </c>
      <c r="R620">
        <v>2</v>
      </c>
      <c r="S620">
        <v>20</v>
      </c>
      <c r="T620">
        <v>0</v>
      </c>
      <c r="U620">
        <v>2</v>
      </c>
      <c r="V620">
        <v>2</v>
      </c>
      <c r="W620">
        <v>98</v>
      </c>
      <c r="X620">
        <v>1194</v>
      </c>
      <c r="Y620">
        <v>12549</v>
      </c>
      <c r="Z620">
        <v>2001</v>
      </c>
      <c r="AA620">
        <v>2</v>
      </c>
      <c r="AB620" s="29">
        <v>44773</v>
      </c>
      <c r="AC620" s="29">
        <v>30498</v>
      </c>
      <c r="AD620" s="29">
        <v>42969</v>
      </c>
      <c r="AE620" s="29"/>
      <c r="AF620">
        <v>5</v>
      </c>
      <c r="AG620" t="s">
        <v>153</v>
      </c>
      <c r="AI620">
        <v>35</v>
      </c>
      <c r="AJ620">
        <v>1</v>
      </c>
      <c r="AK620" t="s">
        <v>162</v>
      </c>
      <c r="AL620" t="s">
        <v>77</v>
      </c>
      <c r="AM620">
        <f t="shared" si="45"/>
        <v>3</v>
      </c>
      <c r="AN620">
        <f t="shared" si="46"/>
        <v>8</v>
      </c>
      <c r="AO620" t="str">
        <f t="shared" si="47"/>
        <v/>
      </c>
      <c r="AP620" t="str">
        <f t="shared" si="48"/>
        <v/>
      </c>
      <c r="AQ620">
        <f t="shared" si="49"/>
        <v>2017</v>
      </c>
    </row>
    <row r="621" spans="1:43" x14ac:dyDescent="0.35">
      <c r="A621">
        <v>1587</v>
      </c>
      <c r="B621">
        <v>35</v>
      </c>
      <c r="C621" t="s">
        <v>148</v>
      </c>
      <c r="D621" t="s">
        <v>145</v>
      </c>
      <c r="E621" t="s">
        <v>4</v>
      </c>
      <c r="F621" t="s">
        <v>37</v>
      </c>
      <c r="G621" t="s">
        <v>41</v>
      </c>
      <c r="H621" t="s">
        <v>81</v>
      </c>
      <c r="I621" t="s">
        <v>43</v>
      </c>
      <c r="J621" t="s">
        <v>161</v>
      </c>
      <c r="K621" t="s">
        <v>43</v>
      </c>
      <c r="L621" t="s">
        <v>147</v>
      </c>
      <c r="M621" t="s">
        <v>49</v>
      </c>
      <c r="N621" t="s">
        <v>95</v>
      </c>
      <c r="P621" t="s">
        <v>144</v>
      </c>
      <c r="Q621">
        <v>16</v>
      </c>
      <c r="R621">
        <v>3</v>
      </c>
      <c r="S621">
        <v>10</v>
      </c>
      <c r="T621">
        <v>0</v>
      </c>
      <c r="U621">
        <v>4</v>
      </c>
      <c r="V621">
        <v>10</v>
      </c>
      <c r="W621">
        <v>51</v>
      </c>
      <c r="X621">
        <v>670</v>
      </c>
      <c r="Y621">
        <v>4223</v>
      </c>
      <c r="Z621">
        <v>6142</v>
      </c>
      <c r="AA621">
        <v>4</v>
      </c>
      <c r="AB621" s="29">
        <v>44773</v>
      </c>
      <c r="AC621" s="29">
        <v>32121</v>
      </c>
      <c r="AD621" s="29">
        <v>42994</v>
      </c>
      <c r="AE621" s="29"/>
      <c r="AF621">
        <v>5</v>
      </c>
      <c r="AG621" t="s">
        <v>149</v>
      </c>
      <c r="AI621">
        <v>30</v>
      </c>
      <c r="AJ621">
        <v>1</v>
      </c>
      <c r="AK621" t="s">
        <v>162</v>
      </c>
      <c r="AL621" t="s">
        <v>77</v>
      </c>
      <c r="AM621">
        <f t="shared" si="45"/>
        <v>3</v>
      </c>
      <c r="AN621">
        <f t="shared" si="46"/>
        <v>9</v>
      </c>
      <c r="AO621" t="str">
        <f t="shared" si="47"/>
        <v/>
      </c>
      <c r="AP621" t="str">
        <f t="shared" si="48"/>
        <v/>
      </c>
      <c r="AQ621">
        <f t="shared" si="49"/>
        <v>2017</v>
      </c>
    </row>
    <row r="622" spans="1:43" x14ac:dyDescent="0.35">
      <c r="A622">
        <v>1638</v>
      </c>
      <c r="B622">
        <v>38</v>
      </c>
      <c r="C622" t="s">
        <v>148</v>
      </c>
      <c r="D622" t="s">
        <v>145</v>
      </c>
      <c r="E622" t="s">
        <v>4</v>
      </c>
      <c r="F622" t="s">
        <v>36</v>
      </c>
      <c r="G622" t="s">
        <v>44</v>
      </c>
      <c r="H622" t="s">
        <v>81</v>
      </c>
      <c r="I622" t="s">
        <v>42</v>
      </c>
      <c r="J622" t="s">
        <v>165</v>
      </c>
      <c r="K622" t="s">
        <v>43</v>
      </c>
      <c r="L622" t="s">
        <v>147</v>
      </c>
      <c r="M622" t="s">
        <v>50</v>
      </c>
      <c r="N622" t="s">
        <v>160</v>
      </c>
      <c r="O622" t="s">
        <v>41</v>
      </c>
      <c r="P622" t="s">
        <v>144</v>
      </c>
      <c r="Q622">
        <v>19</v>
      </c>
      <c r="R622">
        <v>3</v>
      </c>
      <c r="S622">
        <v>10</v>
      </c>
      <c r="T622">
        <v>0</v>
      </c>
      <c r="U622">
        <v>2</v>
      </c>
      <c r="V622">
        <v>2</v>
      </c>
      <c r="W622">
        <v>54</v>
      </c>
      <c r="X622">
        <v>397</v>
      </c>
      <c r="Y622">
        <v>14199</v>
      </c>
      <c r="Z622">
        <v>7756</v>
      </c>
      <c r="AA622">
        <v>6</v>
      </c>
      <c r="AB622" s="29">
        <v>44773</v>
      </c>
      <c r="AC622" s="29">
        <v>31006</v>
      </c>
      <c r="AD622" s="29">
        <v>42994</v>
      </c>
      <c r="AE622" s="29"/>
      <c r="AF622">
        <v>5</v>
      </c>
      <c r="AG622" t="s">
        <v>149</v>
      </c>
      <c r="AI622">
        <v>33</v>
      </c>
      <c r="AJ622">
        <v>2</v>
      </c>
      <c r="AK622" t="s">
        <v>162</v>
      </c>
      <c r="AL622" t="s">
        <v>77</v>
      </c>
      <c r="AM622">
        <f t="shared" si="45"/>
        <v>3</v>
      </c>
      <c r="AN622">
        <f t="shared" si="46"/>
        <v>9</v>
      </c>
      <c r="AO622" t="str">
        <f t="shared" si="47"/>
        <v/>
      </c>
      <c r="AP622" t="str">
        <f t="shared" si="48"/>
        <v/>
      </c>
      <c r="AQ622">
        <f t="shared" si="49"/>
        <v>2017</v>
      </c>
    </row>
    <row r="623" spans="1:43" x14ac:dyDescent="0.35">
      <c r="A623">
        <v>1799</v>
      </c>
      <c r="B623">
        <v>28</v>
      </c>
      <c r="C623" t="s">
        <v>148</v>
      </c>
      <c r="D623" t="s">
        <v>145</v>
      </c>
      <c r="E623" t="s">
        <v>4</v>
      </c>
      <c r="F623" t="s">
        <v>38</v>
      </c>
      <c r="G623" t="s">
        <v>43</v>
      </c>
      <c r="H623" t="s">
        <v>82</v>
      </c>
      <c r="I623" t="s">
        <v>43</v>
      </c>
      <c r="J623" t="s">
        <v>146</v>
      </c>
      <c r="K623" t="s">
        <v>44</v>
      </c>
      <c r="L623" t="s">
        <v>147</v>
      </c>
      <c r="M623" t="s">
        <v>50</v>
      </c>
      <c r="N623" t="s">
        <v>160</v>
      </c>
      <c r="O623" t="s">
        <v>41</v>
      </c>
      <c r="P623" t="s">
        <v>148</v>
      </c>
      <c r="Q623">
        <v>11</v>
      </c>
      <c r="R623">
        <v>1</v>
      </c>
      <c r="S623">
        <v>5</v>
      </c>
      <c r="T623">
        <v>0</v>
      </c>
      <c r="U623">
        <v>3</v>
      </c>
      <c r="V623">
        <v>1</v>
      </c>
      <c r="W623">
        <v>82</v>
      </c>
      <c r="X623">
        <v>1181</v>
      </c>
      <c r="Y623">
        <v>5531</v>
      </c>
      <c r="Z623">
        <v>2044</v>
      </c>
      <c r="AA623">
        <v>6</v>
      </c>
      <c r="AB623" s="29">
        <v>44773</v>
      </c>
      <c r="AC623" s="29">
        <v>34817</v>
      </c>
      <c r="AD623" s="29">
        <v>42996</v>
      </c>
      <c r="AE623" s="29"/>
      <c r="AF623">
        <v>5</v>
      </c>
      <c r="AG623" t="s">
        <v>157</v>
      </c>
      <c r="AI623">
        <v>23</v>
      </c>
      <c r="AJ623">
        <v>1</v>
      </c>
      <c r="AK623" t="s">
        <v>162</v>
      </c>
      <c r="AL623" t="s">
        <v>77</v>
      </c>
      <c r="AM623">
        <f t="shared" si="45"/>
        <v>3</v>
      </c>
      <c r="AN623">
        <f t="shared" si="46"/>
        <v>9</v>
      </c>
      <c r="AO623" t="str">
        <f t="shared" si="47"/>
        <v/>
      </c>
      <c r="AP623" t="str">
        <f t="shared" si="48"/>
        <v/>
      </c>
      <c r="AQ623">
        <f t="shared" si="49"/>
        <v>2017</v>
      </c>
    </row>
    <row r="624" spans="1:43" x14ac:dyDescent="0.35">
      <c r="A624">
        <v>194</v>
      </c>
      <c r="B624">
        <v>30</v>
      </c>
      <c r="C624" t="s">
        <v>148</v>
      </c>
      <c r="D624" t="s">
        <v>145</v>
      </c>
      <c r="E624" t="s">
        <v>4</v>
      </c>
      <c r="F624" t="s">
        <v>38</v>
      </c>
      <c r="G624" t="s">
        <v>41</v>
      </c>
      <c r="H624" t="s">
        <v>81</v>
      </c>
      <c r="I624" t="s">
        <v>43</v>
      </c>
      <c r="J624" t="s">
        <v>146</v>
      </c>
      <c r="K624" t="s">
        <v>43</v>
      </c>
      <c r="L624" t="s">
        <v>147</v>
      </c>
      <c r="M624" t="s">
        <v>48</v>
      </c>
      <c r="N624" t="s">
        <v>95</v>
      </c>
      <c r="P624" t="s">
        <v>148</v>
      </c>
      <c r="Q624">
        <v>14</v>
      </c>
      <c r="R624">
        <v>1</v>
      </c>
      <c r="S624">
        <v>5</v>
      </c>
      <c r="T624">
        <v>0</v>
      </c>
      <c r="U624">
        <v>4</v>
      </c>
      <c r="V624">
        <v>18</v>
      </c>
      <c r="W624">
        <v>75</v>
      </c>
      <c r="X624">
        <v>438</v>
      </c>
      <c r="Y624">
        <v>23910</v>
      </c>
      <c r="Z624">
        <v>2632</v>
      </c>
      <c r="AA624">
        <v>4</v>
      </c>
      <c r="AB624" s="29">
        <v>44773</v>
      </c>
      <c r="AC624" s="29">
        <v>33919</v>
      </c>
      <c r="AD624" s="29">
        <v>43009</v>
      </c>
      <c r="AE624" s="29"/>
      <c r="AF624">
        <v>5</v>
      </c>
      <c r="AG624" t="s">
        <v>149</v>
      </c>
      <c r="AI624">
        <v>25</v>
      </c>
      <c r="AJ624">
        <v>2</v>
      </c>
      <c r="AK624" t="s">
        <v>162</v>
      </c>
      <c r="AL624" t="s">
        <v>78</v>
      </c>
      <c r="AM624">
        <f t="shared" si="45"/>
        <v>4</v>
      </c>
      <c r="AN624">
        <f t="shared" si="46"/>
        <v>10</v>
      </c>
      <c r="AO624" t="str">
        <f t="shared" si="47"/>
        <v/>
      </c>
      <c r="AP624" t="str">
        <f t="shared" si="48"/>
        <v/>
      </c>
      <c r="AQ624">
        <f t="shared" si="49"/>
        <v>2017</v>
      </c>
    </row>
    <row r="625" spans="1:43" x14ac:dyDescent="0.35">
      <c r="A625">
        <v>378</v>
      </c>
      <c r="B625">
        <v>37</v>
      </c>
      <c r="C625" t="s">
        <v>148</v>
      </c>
      <c r="D625" t="s">
        <v>145</v>
      </c>
      <c r="E625" t="s">
        <v>158</v>
      </c>
      <c r="F625" t="s">
        <v>37</v>
      </c>
      <c r="G625" t="s">
        <v>43</v>
      </c>
      <c r="H625" t="s">
        <v>82</v>
      </c>
      <c r="I625" t="s">
        <v>43</v>
      </c>
      <c r="J625" t="s">
        <v>159</v>
      </c>
      <c r="K625" t="s">
        <v>44</v>
      </c>
      <c r="L625" t="s">
        <v>147</v>
      </c>
      <c r="M625" t="s">
        <v>50</v>
      </c>
      <c r="N625" t="s">
        <v>160</v>
      </c>
      <c r="O625" t="s">
        <v>41</v>
      </c>
      <c r="P625" t="s">
        <v>148</v>
      </c>
      <c r="Q625">
        <v>14</v>
      </c>
      <c r="R625">
        <v>4</v>
      </c>
      <c r="S625">
        <v>7</v>
      </c>
      <c r="T625">
        <v>0</v>
      </c>
      <c r="U625">
        <v>1</v>
      </c>
      <c r="V625">
        <v>6</v>
      </c>
      <c r="W625">
        <v>98</v>
      </c>
      <c r="X625">
        <v>228</v>
      </c>
      <c r="Y625">
        <v>22825</v>
      </c>
      <c r="Z625">
        <v>6502</v>
      </c>
      <c r="AA625">
        <v>5</v>
      </c>
      <c r="AB625" s="29">
        <v>44773</v>
      </c>
      <c r="AC625" s="29">
        <v>31522</v>
      </c>
      <c r="AD625" s="29">
        <v>43015</v>
      </c>
      <c r="AE625" s="29"/>
      <c r="AF625">
        <v>5</v>
      </c>
      <c r="AG625" t="s">
        <v>149</v>
      </c>
      <c r="AI625">
        <v>32</v>
      </c>
      <c r="AJ625">
        <v>1</v>
      </c>
      <c r="AK625" t="s">
        <v>162</v>
      </c>
      <c r="AL625" t="s">
        <v>77</v>
      </c>
      <c r="AM625">
        <f t="shared" si="45"/>
        <v>4</v>
      </c>
      <c r="AN625">
        <f t="shared" si="46"/>
        <v>10</v>
      </c>
      <c r="AO625" t="str">
        <f t="shared" si="47"/>
        <v/>
      </c>
      <c r="AP625" t="str">
        <f t="shared" si="48"/>
        <v/>
      </c>
      <c r="AQ625">
        <f t="shared" si="49"/>
        <v>2017</v>
      </c>
    </row>
    <row r="626" spans="1:43" x14ac:dyDescent="0.35">
      <c r="A626">
        <v>1259</v>
      </c>
      <c r="B626">
        <v>27</v>
      </c>
      <c r="C626" t="s">
        <v>148</v>
      </c>
      <c r="D626" t="s">
        <v>145</v>
      </c>
      <c r="E626" t="s">
        <v>4</v>
      </c>
      <c r="F626" t="s">
        <v>36</v>
      </c>
      <c r="G626" t="s">
        <v>41</v>
      </c>
      <c r="H626" t="s">
        <v>82</v>
      </c>
      <c r="I626" t="s">
        <v>43</v>
      </c>
      <c r="J626" t="s">
        <v>146</v>
      </c>
      <c r="K626" t="s">
        <v>43</v>
      </c>
      <c r="L626" t="s">
        <v>147</v>
      </c>
      <c r="M626" t="s">
        <v>49</v>
      </c>
      <c r="N626" t="s">
        <v>96</v>
      </c>
      <c r="O626" t="s">
        <v>43</v>
      </c>
      <c r="P626" t="s">
        <v>148</v>
      </c>
      <c r="Q626">
        <v>11</v>
      </c>
      <c r="R626">
        <v>1</v>
      </c>
      <c r="S626">
        <v>5</v>
      </c>
      <c r="T626">
        <v>0</v>
      </c>
      <c r="U626">
        <v>3</v>
      </c>
      <c r="V626">
        <v>4</v>
      </c>
      <c r="W626">
        <v>76</v>
      </c>
      <c r="X626">
        <v>1167</v>
      </c>
      <c r="Y626">
        <v>3208</v>
      </c>
      <c r="Z626">
        <v>2517</v>
      </c>
      <c r="AA626">
        <v>2</v>
      </c>
      <c r="AB626" s="29">
        <v>44773</v>
      </c>
      <c r="AC626" s="29">
        <v>35133</v>
      </c>
      <c r="AD626" s="29">
        <v>43018</v>
      </c>
      <c r="AE626" s="29"/>
      <c r="AF626">
        <v>5</v>
      </c>
      <c r="AG626" t="s">
        <v>157</v>
      </c>
      <c r="AI626">
        <v>22</v>
      </c>
      <c r="AJ626">
        <v>1</v>
      </c>
      <c r="AK626" t="s">
        <v>162</v>
      </c>
      <c r="AL626" t="s">
        <v>78</v>
      </c>
      <c r="AM626">
        <f t="shared" si="45"/>
        <v>4</v>
      </c>
      <c r="AN626">
        <f t="shared" si="46"/>
        <v>10</v>
      </c>
      <c r="AO626" t="str">
        <f t="shared" si="47"/>
        <v/>
      </c>
      <c r="AP626" t="str">
        <f t="shared" si="48"/>
        <v/>
      </c>
      <c r="AQ626">
        <f t="shared" si="49"/>
        <v>2017</v>
      </c>
    </row>
    <row r="627" spans="1:43" x14ac:dyDescent="0.35">
      <c r="A627">
        <v>1502</v>
      </c>
      <c r="B627">
        <v>33</v>
      </c>
      <c r="C627" t="s">
        <v>148</v>
      </c>
      <c r="D627" t="s">
        <v>145</v>
      </c>
      <c r="E627" t="s">
        <v>4</v>
      </c>
      <c r="F627" t="s">
        <v>37</v>
      </c>
      <c r="G627" t="s">
        <v>41</v>
      </c>
      <c r="H627" t="s">
        <v>81</v>
      </c>
      <c r="I627" t="s">
        <v>42</v>
      </c>
      <c r="J627" t="s">
        <v>155</v>
      </c>
      <c r="K627" t="s">
        <v>42</v>
      </c>
      <c r="L627" t="s">
        <v>147</v>
      </c>
      <c r="M627" t="s">
        <v>49</v>
      </c>
      <c r="N627" t="s">
        <v>160</v>
      </c>
      <c r="P627" t="s">
        <v>148</v>
      </c>
      <c r="Q627">
        <v>11</v>
      </c>
      <c r="R627">
        <v>8</v>
      </c>
      <c r="S627">
        <v>8</v>
      </c>
      <c r="T627">
        <v>0</v>
      </c>
      <c r="U627">
        <v>2</v>
      </c>
      <c r="V627">
        <v>4</v>
      </c>
      <c r="W627">
        <v>82</v>
      </c>
      <c r="X627">
        <v>1099</v>
      </c>
      <c r="Y627">
        <v>8192</v>
      </c>
      <c r="Z627">
        <v>3838</v>
      </c>
      <c r="AA627">
        <v>5</v>
      </c>
      <c r="AB627" s="29">
        <v>44773</v>
      </c>
      <c r="AC627" s="29">
        <v>32931</v>
      </c>
      <c r="AD627" s="29">
        <v>43018</v>
      </c>
      <c r="AE627" s="29"/>
      <c r="AF627">
        <v>5</v>
      </c>
      <c r="AG627" t="s">
        <v>149</v>
      </c>
      <c r="AI627">
        <v>28</v>
      </c>
      <c r="AJ627">
        <v>1</v>
      </c>
      <c r="AK627" t="s">
        <v>162</v>
      </c>
      <c r="AL627" t="s">
        <v>77</v>
      </c>
      <c r="AM627">
        <f t="shared" si="45"/>
        <v>4</v>
      </c>
      <c r="AN627">
        <f t="shared" si="46"/>
        <v>10</v>
      </c>
      <c r="AO627" t="str">
        <f t="shared" si="47"/>
        <v/>
      </c>
      <c r="AP627" t="str">
        <f t="shared" si="48"/>
        <v/>
      </c>
      <c r="AQ627">
        <f t="shared" si="49"/>
        <v>2017</v>
      </c>
    </row>
    <row r="628" spans="1:43" x14ac:dyDescent="0.35">
      <c r="A628">
        <v>423</v>
      </c>
      <c r="B628">
        <v>31</v>
      </c>
      <c r="C628" t="s">
        <v>148</v>
      </c>
      <c r="D628" t="s">
        <v>145</v>
      </c>
      <c r="E628" t="s">
        <v>4</v>
      </c>
      <c r="F628" t="s">
        <v>37</v>
      </c>
      <c r="G628" t="s">
        <v>43</v>
      </c>
      <c r="H628" t="s">
        <v>82</v>
      </c>
      <c r="I628" t="s">
        <v>43</v>
      </c>
      <c r="J628" t="s">
        <v>146</v>
      </c>
      <c r="K628" t="s">
        <v>44</v>
      </c>
      <c r="L628" t="s">
        <v>147</v>
      </c>
      <c r="M628" t="s">
        <v>49</v>
      </c>
      <c r="N628" t="s">
        <v>160</v>
      </c>
      <c r="O628" t="s">
        <v>41</v>
      </c>
      <c r="P628" t="s">
        <v>144</v>
      </c>
      <c r="Q628">
        <v>12</v>
      </c>
      <c r="R628">
        <v>0</v>
      </c>
      <c r="S628">
        <v>6</v>
      </c>
      <c r="T628">
        <v>0</v>
      </c>
      <c r="U628">
        <v>3</v>
      </c>
      <c r="V628">
        <v>5</v>
      </c>
      <c r="W628">
        <v>86</v>
      </c>
      <c r="X628">
        <v>691</v>
      </c>
      <c r="Y628">
        <v>10077</v>
      </c>
      <c r="Z628">
        <v>4821</v>
      </c>
      <c r="AA628">
        <v>4</v>
      </c>
      <c r="AB628" s="29">
        <v>44773</v>
      </c>
      <c r="AC628" s="29">
        <v>33801</v>
      </c>
      <c r="AD628" s="29">
        <v>43028</v>
      </c>
      <c r="AE628" s="29"/>
      <c r="AF628">
        <v>5</v>
      </c>
      <c r="AG628" t="s">
        <v>149</v>
      </c>
      <c r="AI628">
        <v>26</v>
      </c>
      <c r="AJ628">
        <v>2</v>
      </c>
      <c r="AK628" t="s">
        <v>162</v>
      </c>
      <c r="AL628" t="s">
        <v>77</v>
      </c>
      <c r="AM628">
        <f t="shared" si="45"/>
        <v>4</v>
      </c>
      <c r="AN628">
        <f t="shared" si="46"/>
        <v>10</v>
      </c>
      <c r="AO628" t="str">
        <f t="shared" si="47"/>
        <v/>
      </c>
      <c r="AP628" t="str">
        <f t="shared" si="48"/>
        <v/>
      </c>
      <c r="AQ628">
        <f t="shared" si="49"/>
        <v>2017</v>
      </c>
    </row>
    <row r="629" spans="1:43" x14ac:dyDescent="0.35">
      <c r="A629">
        <v>909</v>
      </c>
      <c r="B629">
        <v>39</v>
      </c>
      <c r="C629" t="s">
        <v>148</v>
      </c>
      <c r="D629" t="s">
        <v>145</v>
      </c>
      <c r="E629" t="s">
        <v>168</v>
      </c>
      <c r="F629" t="s">
        <v>38</v>
      </c>
      <c r="G629" t="s">
        <v>44</v>
      </c>
      <c r="H629" t="s">
        <v>81</v>
      </c>
      <c r="I629" t="s">
        <v>42</v>
      </c>
      <c r="J629" t="s">
        <v>168</v>
      </c>
      <c r="K629" t="s">
        <v>44</v>
      </c>
      <c r="L629" t="s">
        <v>147</v>
      </c>
      <c r="M629" t="s">
        <v>49</v>
      </c>
      <c r="N629" t="s">
        <v>160</v>
      </c>
      <c r="O629" t="s">
        <v>156</v>
      </c>
      <c r="P629" t="s">
        <v>148</v>
      </c>
      <c r="Q629">
        <v>11</v>
      </c>
      <c r="R629">
        <v>8</v>
      </c>
      <c r="S629">
        <v>13</v>
      </c>
      <c r="T629">
        <v>0</v>
      </c>
      <c r="U629">
        <v>4</v>
      </c>
      <c r="V629">
        <v>2</v>
      </c>
      <c r="W629">
        <v>42</v>
      </c>
      <c r="X629">
        <v>1383</v>
      </c>
      <c r="Y629">
        <v>7790</v>
      </c>
      <c r="Z629">
        <v>5204</v>
      </c>
      <c r="AA629">
        <v>2</v>
      </c>
      <c r="AB629" s="29">
        <v>44773</v>
      </c>
      <c r="AC629" s="29">
        <v>30556</v>
      </c>
      <c r="AD629" s="29">
        <v>43032</v>
      </c>
      <c r="AE629" s="29"/>
      <c r="AF629">
        <v>5</v>
      </c>
      <c r="AG629" t="s">
        <v>149</v>
      </c>
      <c r="AI629">
        <v>34</v>
      </c>
      <c r="AJ629">
        <v>1</v>
      </c>
      <c r="AK629" t="s">
        <v>162</v>
      </c>
      <c r="AL629" t="s">
        <v>77</v>
      </c>
      <c r="AM629">
        <f t="shared" si="45"/>
        <v>4</v>
      </c>
      <c r="AN629">
        <f t="shared" si="46"/>
        <v>10</v>
      </c>
      <c r="AO629" t="str">
        <f t="shared" si="47"/>
        <v/>
      </c>
      <c r="AP629" t="str">
        <f t="shared" si="48"/>
        <v/>
      </c>
      <c r="AQ629">
        <f t="shared" si="49"/>
        <v>2017</v>
      </c>
    </row>
    <row r="630" spans="1:43" x14ac:dyDescent="0.35">
      <c r="A630">
        <v>507</v>
      </c>
      <c r="B630">
        <v>24</v>
      </c>
      <c r="C630" t="s">
        <v>148</v>
      </c>
      <c r="D630" t="s">
        <v>145</v>
      </c>
      <c r="E630" t="s">
        <v>158</v>
      </c>
      <c r="F630" t="s">
        <v>37</v>
      </c>
      <c r="G630" t="s">
        <v>44</v>
      </c>
      <c r="H630" t="s">
        <v>81</v>
      </c>
      <c r="I630" t="s">
        <v>43</v>
      </c>
      <c r="J630" t="s">
        <v>159</v>
      </c>
      <c r="K630" t="s">
        <v>43</v>
      </c>
      <c r="L630" t="s">
        <v>147</v>
      </c>
      <c r="M630" t="s">
        <v>50</v>
      </c>
      <c r="N630" t="s">
        <v>96</v>
      </c>
      <c r="O630" t="s">
        <v>41</v>
      </c>
      <c r="P630" t="s">
        <v>144</v>
      </c>
      <c r="Q630">
        <v>12</v>
      </c>
      <c r="R630">
        <v>1</v>
      </c>
      <c r="S630">
        <v>5</v>
      </c>
      <c r="T630">
        <v>0</v>
      </c>
      <c r="U630">
        <v>3</v>
      </c>
      <c r="V630">
        <v>10</v>
      </c>
      <c r="W630">
        <v>77</v>
      </c>
      <c r="X630">
        <v>1371</v>
      </c>
      <c r="Y630">
        <v>5915</v>
      </c>
      <c r="Z630">
        <v>4260</v>
      </c>
      <c r="AA630">
        <v>2</v>
      </c>
      <c r="AB630" s="29">
        <v>44773</v>
      </c>
      <c r="AC630" s="29">
        <v>36306</v>
      </c>
      <c r="AD630" s="29">
        <v>43033</v>
      </c>
      <c r="AE630" s="29"/>
      <c r="AF630">
        <v>5</v>
      </c>
      <c r="AG630" t="s">
        <v>157</v>
      </c>
      <c r="AI630">
        <v>19</v>
      </c>
      <c r="AJ630">
        <v>1</v>
      </c>
      <c r="AK630" t="s">
        <v>162</v>
      </c>
      <c r="AL630" t="s">
        <v>78</v>
      </c>
      <c r="AM630">
        <f t="shared" si="45"/>
        <v>4</v>
      </c>
      <c r="AN630">
        <f t="shared" si="46"/>
        <v>10</v>
      </c>
      <c r="AO630" t="str">
        <f t="shared" si="47"/>
        <v/>
      </c>
      <c r="AP630" t="str">
        <f t="shared" si="48"/>
        <v/>
      </c>
      <c r="AQ630">
        <f t="shared" si="49"/>
        <v>2017</v>
      </c>
    </row>
    <row r="631" spans="1:43" x14ac:dyDescent="0.35">
      <c r="A631">
        <v>102</v>
      </c>
      <c r="B631">
        <v>37</v>
      </c>
      <c r="C631" t="s">
        <v>148</v>
      </c>
      <c r="D631" t="s">
        <v>145</v>
      </c>
      <c r="E631" t="s">
        <v>4</v>
      </c>
      <c r="F631" t="s">
        <v>37</v>
      </c>
      <c r="G631" t="s">
        <v>41</v>
      </c>
      <c r="H631" t="s">
        <v>82</v>
      </c>
      <c r="I631" t="s">
        <v>43</v>
      </c>
      <c r="J631" t="s">
        <v>173</v>
      </c>
      <c r="K631" t="s">
        <v>43</v>
      </c>
      <c r="L631" t="s">
        <v>147</v>
      </c>
      <c r="M631" t="s">
        <v>50</v>
      </c>
      <c r="N631" t="s">
        <v>95</v>
      </c>
      <c r="P631" t="s">
        <v>148</v>
      </c>
      <c r="Q631">
        <v>13</v>
      </c>
      <c r="R631">
        <v>4</v>
      </c>
      <c r="S631">
        <v>16</v>
      </c>
      <c r="T631">
        <v>0</v>
      </c>
      <c r="U631">
        <v>2</v>
      </c>
      <c r="V631">
        <v>7</v>
      </c>
      <c r="W631">
        <v>30</v>
      </c>
      <c r="X631">
        <v>397</v>
      </c>
      <c r="Y631">
        <v>25258</v>
      </c>
      <c r="Z631">
        <v>13664</v>
      </c>
      <c r="AA631">
        <v>3</v>
      </c>
      <c r="AB631" s="29">
        <v>44773</v>
      </c>
      <c r="AC631" s="29">
        <v>31283</v>
      </c>
      <c r="AD631" s="29">
        <v>43038</v>
      </c>
      <c r="AE631" s="29"/>
      <c r="AF631">
        <v>5</v>
      </c>
      <c r="AG631" t="s">
        <v>149</v>
      </c>
      <c r="AI631">
        <v>32</v>
      </c>
      <c r="AJ631">
        <v>2</v>
      </c>
      <c r="AK631" t="s">
        <v>162</v>
      </c>
      <c r="AL631" t="s">
        <v>77</v>
      </c>
      <c r="AM631">
        <f t="shared" si="45"/>
        <v>4</v>
      </c>
      <c r="AN631">
        <f t="shared" si="46"/>
        <v>10</v>
      </c>
      <c r="AO631" t="str">
        <f t="shared" si="47"/>
        <v/>
      </c>
      <c r="AP631" t="str">
        <f t="shared" si="48"/>
        <v/>
      </c>
      <c r="AQ631">
        <f t="shared" si="49"/>
        <v>2017</v>
      </c>
    </row>
    <row r="632" spans="1:43" x14ac:dyDescent="0.35">
      <c r="A632">
        <v>497</v>
      </c>
      <c r="B632">
        <v>27</v>
      </c>
      <c r="C632" t="s">
        <v>148</v>
      </c>
      <c r="D632" t="s">
        <v>145</v>
      </c>
      <c r="E632" t="s">
        <v>4</v>
      </c>
      <c r="F632" t="s">
        <v>36</v>
      </c>
      <c r="G632" t="s">
        <v>44</v>
      </c>
      <c r="H632" t="s">
        <v>82</v>
      </c>
      <c r="I632" t="s">
        <v>43</v>
      </c>
      <c r="J632" t="s">
        <v>155</v>
      </c>
      <c r="K632" t="s">
        <v>42</v>
      </c>
      <c r="L632" t="s">
        <v>147</v>
      </c>
      <c r="M632" t="s">
        <v>49</v>
      </c>
      <c r="N632" t="s">
        <v>96</v>
      </c>
      <c r="O632" t="s">
        <v>41</v>
      </c>
      <c r="P632" t="s">
        <v>148</v>
      </c>
      <c r="Q632">
        <v>11</v>
      </c>
      <c r="R632">
        <v>1</v>
      </c>
      <c r="S632">
        <v>5</v>
      </c>
      <c r="T632">
        <v>0</v>
      </c>
      <c r="U632">
        <v>4</v>
      </c>
      <c r="V632">
        <v>1</v>
      </c>
      <c r="W632">
        <v>82</v>
      </c>
      <c r="X632">
        <v>1469</v>
      </c>
      <c r="Y632">
        <v>17881</v>
      </c>
      <c r="Z632">
        <v>3816</v>
      </c>
      <c r="AA632">
        <v>2</v>
      </c>
      <c r="AB632" s="29">
        <v>44773</v>
      </c>
      <c r="AC632" s="29">
        <v>34951</v>
      </c>
      <c r="AD632" s="29">
        <v>43040</v>
      </c>
      <c r="AE632" s="29"/>
      <c r="AF632">
        <v>5</v>
      </c>
      <c r="AG632" t="s">
        <v>157</v>
      </c>
      <c r="AI632">
        <v>22</v>
      </c>
      <c r="AJ632">
        <v>1</v>
      </c>
      <c r="AK632" t="s">
        <v>162</v>
      </c>
      <c r="AL632" t="s">
        <v>77</v>
      </c>
      <c r="AM632">
        <f t="shared" si="45"/>
        <v>4</v>
      </c>
      <c r="AN632">
        <f t="shared" si="46"/>
        <v>11</v>
      </c>
      <c r="AO632" t="str">
        <f t="shared" si="47"/>
        <v/>
      </c>
      <c r="AP632" t="str">
        <f t="shared" si="48"/>
        <v/>
      </c>
      <c r="AQ632">
        <f t="shared" si="49"/>
        <v>2017</v>
      </c>
    </row>
    <row r="633" spans="1:43" x14ac:dyDescent="0.35">
      <c r="A633">
        <v>1782</v>
      </c>
      <c r="B633">
        <v>38</v>
      </c>
      <c r="C633" t="s">
        <v>148</v>
      </c>
      <c r="D633" t="s">
        <v>145</v>
      </c>
      <c r="E633" t="s">
        <v>4</v>
      </c>
      <c r="F633" t="s">
        <v>36</v>
      </c>
      <c r="G633" t="s">
        <v>44</v>
      </c>
      <c r="H633" t="s">
        <v>81</v>
      </c>
      <c r="I633" t="s">
        <v>42</v>
      </c>
      <c r="J633" t="s">
        <v>155</v>
      </c>
      <c r="K633" t="s">
        <v>43</v>
      </c>
      <c r="L633" t="s">
        <v>147</v>
      </c>
      <c r="M633" t="s">
        <v>49</v>
      </c>
      <c r="N633" t="s">
        <v>160</v>
      </c>
      <c r="O633" t="s">
        <v>41</v>
      </c>
      <c r="P633" t="s">
        <v>148</v>
      </c>
      <c r="Q633">
        <v>11</v>
      </c>
      <c r="R633">
        <v>1</v>
      </c>
      <c r="S633">
        <v>5</v>
      </c>
      <c r="T633">
        <v>0</v>
      </c>
      <c r="U633">
        <v>4</v>
      </c>
      <c r="V633">
        <v>6</v>
      </c>
      <c r="W633">
        <v>40</v>
      </c>
      <c r="X633">
        <v>1153</v>
      </c>
      <c r="Y633">
        <v>16376</v>
      </c>
      <c r="Z633">
        <v>3702</v>
      </c>
      <c r="AA633">
        <v>3</v>
      </c>
      <c r="AB633" s="29">
        <v>44773</v>
      </c>
      <c r="AC633" s="29">
        <v>30942</v>
      </c>
      <c r="AD633" s="29">
        <v>43044</v>
      </c>
      <c r="AE633" s="29"/>
      <c r="AF633">
        <v>5</v>
      </c>
      <c r="AG633" t="s">
        <v>149</v>
      </c>
      <c r="AI633">
        <v>33</v>
      </c>
      <c r="AJ633">
        <v>2</v>
      </c>
      <c r="AK633" t="s">
        <v>162</v>
      </c>
      <c r="AL633" t="s">
        <v>77</v>
      </c>
      <c r="AM633">
        <f t="shared" si="45"/>
        <v>4</v>
      </c>
      <c r="AN633">
        <f t="shared" si="46"/>
        <v>11</v>
      </c>
      <c r="AO633" t="str">
        <f t="shared" si="47"/>
        <v/>
      </c>
      <c r="AP633" t="str">
        <f t="shared" si="48"/>
        <v/>
      </c>
      <c r="AQ633">
        <f t="shared" si="49"/>
        <v>2017</v>
      </c>
    </row>
    <row r="634" spans="1:43" x14ac:dyDescent="0.35">
      <c r="A634">
        <v>1447</v>
      </c>
      <c r="B634">
        <v>34</v>
      </c>
      <c r="C634" t="s">
        <v>148</v>
      </c>
      <c r="D634" t="s">
        <v>145</v>
      </c>
      <c r="E634" t="s">
        <v>4</v>
      </c>
      <c r="F634" t="s">
        <v>38</v>
      </c>
      <c r="G634" t="s">
        <v>44</v>
      </c>
      <c r="H634" t="s">
        <v>81</v>
      </c>
      <c r="I634" t="s">
        <v>42</v>
      </c>
      <c r="J634" t="s">
        <v>155</v>
      </c>
      <c r="K634" t="s">
        <v>42</v>
      </c>
      <c r="L634" t="s">
        <v>147</v>
      </c>
      <c r="M634" t="s">
        <v>48</v>
      </c>
      <c r="N634" t="s">
        <v>160</v>
      </c>
      <c r="O634" t="s">
        <v>41</v>
      </c>
      <c r="P634" t="s">
        <v>148</v>
      </c>
      <c r="Q634">
        <v>17</v>
      </c>
      <c r="R634">
        <v>5</v>
      </c>
      <c r="S634">
        <v>7</v>
      </c>
      <c r="T634">
        <v>0</v>
      </c>
      <c r="U634">
        <v>2</v>
      </c>
      <c r="V634">
        <v>1</v>
      </c>
      <c r="W634">
        <v>86</v>
      </c>
      <c r="X634">
        <v>401</v>
      </c>
      <c r="Y634">
        <v>3708</v>
      </c>
      <c r="Z634">
        <v>3294</v>
      </c>
      <c r="AA634">
        <v>2</v>
      </c>
      <c r="AB634" s="29">
        <v>44773</v>
      </c>
      <c r="AC634" s="29">
        <v>32641</v>
      </c>
      <c r="AD634" s="29">
        <v>43047</v>
      </c>
      <c r="AE634" s="29"/>
      <c r="AF634">
        <v>5</v>
      </c>
      <c r="AG634" t="s">
        <v>149</v>
      </c>
      <c r="AI634">
        <v>29</v>
      </c>
      <c r="AJ634">
        <v>1</v>
      </c>
      <c r="AK634" t="s">
        <v>162</v>
      </c>
      <c r="AL634" t="s">
        <v>78</v>
      </c>
      <c r="AM634">
        <f t="shared" si="45"/>
        <v>4</v>
      </c>
      <c r="AN634">
        <f t="shared" si="46"/>
        <v>11</v>
      </c>
      <c r="AO634" t="str">
        <f t="shared" si="47"/>
        <v/>
      </c>
      <c r="AP634" t="str">
        <f t="shared" si="48"/>
        <v/>
      </c>
      <c r="AQ634">
        <f t="shared" si="49"/>
        <v>2017</v>
      </c>
    </row>
    <row r="635" spans="1:43" x14ac:dyDescent="0.35">
      <c r="A635">
        <v>885</v>
      </c>
      <c r="B635">
        <v>25</v>
      </c>
      <c r="C635" t="s">
        <v>148</v>
      </c>
      <c r="D635" t="s">
        <v>145</v>
      </c>
      <c r="E635" t="s">
        <v>158</v>
      </c>
      <c r="F635" t="s">
        <v>35</v>
      </c>
      <c r="G635" t="s">
        <v>43</v>
      </c>
      <c r="H635" t="s">
        <v>82</v>
      </c>
      <c r="I635" t="s">
        <v>42</v>
      </c>
      <c r="J635" t="s">
        <v>159</v>
      </c>
      <c r="K635" t="s">
        <v>41</v>
      </c>
      <c r="L635" t="s">
        <v>147</v>
      </c>
      <c r="M635" t="s">
        <v>50</v>
      </c>
      <c r="N635" t="s">
        <v>160</v>
      </c>
      <c r="P635" t="s">
        <v>148</v>
      </c>
      <c r="Q635">
        <v>12</v>
      </c>
      <c r="R635">
        <v>1</v>
      </c>
      <c r="S635">
        <v>5</v>
      </c>
      <c r="T635">
        <v>0</v>
      </c>
      <c r="U635">
        <v>3</v>
      </c>
      <c r="V635">
        <v>4</v>
      </c>
      <c r="W635">
        <v>87</v>
      </c>
      <c r="X635">
        <v>583</v>
      </c>
      <c r="Y635">
        <v>18154</v>
      </c>
      <c r="Z635">
        <v>4256</v>
      </c>
      <c r="AA635">
        <v>1</v>
      </c>
      <c r="AB635" s="29">
        <v>44773</v>
      </c>
      <c r="AC635" s="29">
        <v>35726</v>
      </c>
      <c r="AD635" s="29">
        <v>43051</v>
      </c>
      <c r="AE635" s="29"/>
      <c r="AF635">
        <v>5</v>
      </c>
      <c r="AG635" t="s">
        <v>157</v>
      </c>
      <c r="AI635">
        <v>20</v>
      </c>
      <c r="AJ635">
        <v>1</v>
      </c>
      <c r="AK635" t="s">
        <v>162</v>
      </c>
      <c r="AL635" t="s">
        <v>77</v>
      </c>
      <c r="AM635">
        <f t="shared" si="45"/>
        <v>4</v>
      </c>
      <c r="AN635">
        <f t="shared" si="46"/>
        <v>11</v>
      </c>
      <c r="AO635" t="str">
        <f t="shared" si="47"/>
        <v/>
      </c>
      <c r="AP635" t="str">
        <f t="shared" si="48"/>
        <v/>
      </c>
      <c r="AQ635">
        <f t="shared" si="49"/>
        <v>2017</v>
      </c>
    </row>
    <row r="636" spans="1:43" x14ac:dyDescent="0.35">
      <c r="A636">
        <v>1757</v>
      </c>
      <c r="B636">
        <v>49</v>
      </c>
      <c r="C636" t="s">
        <v>148</v>
      </c>
      <c r="D636" t="s">
        <v>145</v>
      </c>
      <c r="E636" t="s">
        <v>158</v>
      </c>
      <c r="F636" t="s">
        <v>37</v>
      </c>
      <c r="G636" t="s">
        <v>44</v>
      </c>
      <c r="H636" t="s">
        <v>81</v>
      </c>
      <c r="I636" t="s">
        <v>43</v>
      </c>
      <c r="J636" t="s">
        <v>159</v>
      </c>
      <c r="K636" t="s">
        <v>44</v>
      </c>
      <c r="L636" t="s">
        <v>147</v>
      </c>
      <c r="M636" t="s">
        <v>50</v>
      </c>
      <c r="N636" t="s">
        <v>95</v>
      </c>
      <c r="P636" t="s">
        <v>148</v>
      </c>
      <c r="Q636">
        <v>12</v>
      </c>
      <c r="R636">
        <v>3</v>
      </c>
      <c r="S636">
        <v>8</v>
      </c>
      <c r="T636">
        <v>0</v>
      </c>
      <c r="U636">
        <v>4</v>
      </c>
      <c r="V636">
        <v>11</v>
      </c>
      <c r="W636">
        <v>80</v>
      </c>
      <c r="X636">
        <v>1313</v>
      </c>
      <c r="Y636">
        <v>8191</v>
      </c>
      <c r="Z636">
        <v>4507</v>
      </c>
      <c r="AA636">
        <v>1</v>
      </c>
      <c r="AB636" s="29">
        <v>44773</v>
      </c>
      <c r="AC636" s="29">
        <v>27135</v>
      </c>
      <c r="AD636" s="29">
        <v>43067</v>
      </c>
      <c r="AE636" s="29"/>
      <c r="AF636">
        <v>5</v>
      </c>
      <c r="AG636" t="s">
        <v>153</v>
      </c>
      <c r="AI636">
        <v>44</v>
      </c>
      <c r="AJ636">
        <v>1</v>
      </c>
      <c r="AK636" t="s">
        <v>162</v>
      </c>
      <c r="AL636" t="s">
        <v>77</v>
      </c>
      <c r="AM636">
        <f t="shared" si="45"/>
        <v>4</v>
      </c>
      <c r="AN636">
        <f t="shared" si="46"/>
        <v>11</v>
      </c>
      <c r="AO636" t="str">
        <f t="shared" si="47"/>
        <v/>
      </c>
      <c r="AP636" t="str">
        <f t="shared" si="48"/>
        <v/>
      </c>
      <c r="AQ636">
        <f t="shared" si="49"/>
        <v>2017</v>
      </c>
    </row>
    <row r="637" spans="1:43" x14ac:dyDescent="0.35">
      <c r="A637">
        <v>620</v>
      </c>
      <c r="B637">
        <v>35</v>
      </c>
      <c r="C637" t="s">
        <v>148</v>
      </c>
      <c r="D637" t="s">
        <v>145</v>
      </c>
      <c r="E637" t="s">
        <v>158</v>
      </c>
      <c r="F637" t="s">
        <v>38</v>
      </c>
      <c r="G637" t="s">
        <v>41</v>
      </c>
      <c r="H637" t="s">
        <v>81</v>
      </c>
      <c r="I637" t="s">
        <v>43</v>
      </c>
      <c r="J637" t="s">
        <v>159</v>
      </c>
      <c r="K637" t="s">
        <v>43</v>
      </c>
      <c r="L637" t="s">
        <v>147</v>
      </c>
      <c r="M637" t="s">
        <v>49</v>
      </c>
      <c r="N637" t="s">
        <v>95</v>
      </c>
      <c r="P637" t="s">
        <v>148</v>
      </c>
      <c r="Q637">
        <v>16</v>
      </c>
      <c r="R637">
        <v>1</v>
      </c>
      <c r="S637">
        <v>5</v>
      </c>
      <c r="T637">
        <v>0</v>
      </c>
      <c r="U637">
        <v>3</v>
      </c>
      <c r="V637">
        <v>1</v>
      </c>
      <c r="W637">
        <v>80</v>
      </c>
      <c r="X637">
        <v>195</v>
      </c>
      <c r="Y637">
        <v>6698</v>
      </c>
      <c r="Z637">
        <v>4859</v>
      </c>
      <c r="AA637">
        <v>3</v>
      </c>
      <c r="AB637" s="29">
        <v>44773</v>
      </c>
      <c r="AC637" s="29">
        <v>32241</v>
      </c>
      <c r="AD637" s="29">
        <v>43076</v>
      </c>
      <c r="AE637" s="29"/>
      <c r="AF637">
        <v>5</v>
      </c>
      <c r="AG637" t="s">
        <v>149</v>
      </c>
      <c r="AI637">
        <v>30</v>
      </c>
      <c r="AJ637">
        <v>1</v>
      </c>
      <c r="AK637" t="s">
        <v>162</v>
      </c>
      <c r="AL637" t="s">
        <v>77</v>
      </c>
      <c r="AM637">
        <f t="shared" si="45"/>
        <v>4</v>
      </c>
      <c r="AN637">
        <f t="shared" si="46"/>
        <v>12</v>
      </c>
      <c r="AO637" t="str">
        <f t="shared" si="47"/>
        <v/>
      </c>
      <c r="AP637" t="str">
        <f t="shared" si="48"/>
        <v/>
      </c>
      <c r="AQ637">
        <f t="shared" si="49"/>
        <v>2017</v>
      </c>
    </row>
    <row r="638" spans="1:43" x14ac:dyDescent="0.35">
      <c r="A638">
        <v>574</v>
      </c>
      <c r="B638">
        <v>47</v>
      </c>
      <c r="C638" t="s">
        <v>148</v>
      </c>
      <c r="D638" t="s">
        <v>145</v>
      </c>
      <c r="E638" t="s">
        <v>4</v>
      </c>
      <c r="F638" t="s">
        <v>36</v>
      </c>
      <c r="G638" t="s">
        <v>41</v>
      </c>
      <c r="H638" t="s">
        <v>81</v>
      </c>
      <c r="I638" t="s">
        <v>43</v>
      </c>
      <c r="J638" t="s">
        <v>165</v>
      </c>
      <c r="K638" t="s">
        <v>44</v>
      </c>
      <c r="L638" t="s">
        <v>147</v>
      </c>
      <c r="M638" t="s">
        <v>49</v>
      </c>
      <c r="N638" t="s">
        <v>96</v>
      </c>
      <c r="O638" t="s">
        <v>43</v>
      </c>
      <c r="P638" t="s">
        <v>148</v>
      </c>
      <c r="Q638">
        <v>13</v>
      </c>
      <c r="R638">
        <v>5</v>
      </c>
      <c r="S638">
        <v>20</v>
      </c>
      <c r="T638">
        <v>0</v>
      </c>
      <c r="U638">
        <v>4</v>
      </c>
      <c r="V638">
        <v>2</v>
      </c>
      <c r="W638">
        <v>65</v>
      </c>
      <c r="X638">
        <v>983</v>
      </c>
      <c r="Y638">
        <v>7389</v>
      </c>
      <c r="Z638">
        <v>5070</v>
      </c>
      <c r="AA638">
        <v>2</v>
      </c>
      <c r="AB638" s="29">
        <v>44773</v>
      </c>
      <c r="AC638" s="29">
        <v>27864</v>
      </c>
      <c r="AD638" s="29">
        <v>43098</v>
      </c>
      <c r="AE638" s="29"/>
      <c r="AF638">
        <v>5</v>
      </c>
      <c r="AG638" t="s">
        <v>153</v>
      </c>
      <c r="AI638">
        <v>42</v>
      </c>
      <c r="AJ638">
        <v>1</v>
      </c>
      <c r="AK638" t="s">
        <v>162</v>
      </c>
      <c r="AL638" t="s">
        <v>77</v>
      </c>
      <c r="AM638">
        <f t="shared" si="45"/>
        <v>4</v>
      </c>
      <c r="AN638">
        <f t="shared" si="46"/>
        <v>12</v>
      </c>
      <c r="AO638" t="str">
        <f t="shared" si="47"/>
        <v/>
      </c>
      <c r="AP638" t="str">
        <f t="shared" si="48"/>
        <v/>
      </c>
      <c r="AQ638">
        <f t="shared" si="49"/>
        <v>2017</v>
      </c>
    </row>
    <row r="639" spans="1:43" x14ac:dyDescent="0.35">
      <c r="A639">
        <v>655</v>
      </c>
      <c r="B639">
        <v>27</v>
      </c>
      <c r="C639" t="s">
        <v>148</v>
      </c>
      <c r="D639" t="s">
        <v>145</v>
      </c>
      <c r="E639" t="s">
        <v>4</v>
      </c>
      <c r="F639" t="s">
        <v>37</v>
      </c>
      <c r="G639" t="s">
        <v>41</v>
      </c>
      <c r="H639" t="s">
        <v>81</v>
      </c>
      <c r="I639" t="s">
        <v>42</v>
      </c>
      <c r="J639" t="s">
        <v>146</v>
      </c>
      <c r="K639" t="s">
        <v>43</v>
      </c>
      <c r="L639" t="s">
        <v>147</v>
      </c>
      <c r="M639" t="s">
        <v>48</v>
      </c>
      <c r="N639" t="s">
        <v>96</v>
      </c>
      <c r="O639" t="s">
        <v>156</v>
      </c>
      <c r="P639" t="s">
        <v>148</v>
      </c>
      <c r="Q639">
        <v>12</v>
      </c>
      <c r="R639">
        <v>0</v>
      </c>
      <c r="S639">
        <v>6</v>
      </c>
      <c r="T639">
        <v>0</v>
      </c>
      <c r="U639">
        <v>3</v>
      </c>
      <c r="V639">
        <v>6</v>
      </c>
      <c r="W639">
        <v>66</v>
      </c>
      <c r="X639">
        <v>798</v>
      </c>
      <c r="Y639">
        <v>5013</v>
      </c>
      <c r="Z639">
        <v>2187</v>
      </c>
      <c r="AA639">
        <v>5</v>
      </c>
      <c r="AB639" s="29">
        <v>44773</v>
      </c>
      <c r="AC639" s="29">
        <v>34956</v>
      </c>
      <c r="AD639" s="29">
        <v>43099</v>
      </c>
      <c r="AE639" s="29"/>
      <c r="AF639">
        <v>5</v>
      </c>
      <c r="AG639" t="s">
        <v>157</v>
      </c>
      <c r="AI639">
        <v>22</v>
      </c>
      <c r="AJ639">
        <v>2</v>
      </c>
      <c r="AK639" t="s">
        <v>162</v>
      </c>
      <c r="AL639" t="s">
        <v>77</v>
      </c>
      <c r="AM639">
        <f t="shared" si="45"/>
        <v>4</v>
      </c>
      <c r="AN639">
        <f t="shared" si="46"/>
        <v>12</v>
      </c>
      <c r="AO639" t="str">
        <f t="shared" si="47"/>
        <v/>
      </c>
      <c r="AP639" t="str">
        <f t="shared" si="48"/>
        <v/>
      </c>
      <c r="AQ639">
        <f t="shared" si="49"/>
        <v>2017</v>
      </c>
    </row>
    <row r="640" spans="1:43" x14ac:dyDescent="0.35">
      <c r="A640">
        <v>879</v>
      </c>
      <c r="B640">
        <v>25</v>
      </c>
      <c r="C640" t="s">
        <v>148</v>
      </c>
      <c r="D640" t="s">
        <v>145</v>
      </c>
      <c r="E640" t="s">
        <v>158</v>
      </c>
      <c r="F640" t="s">
        <v>35</v>
      </c>
      <c r="G640" t="s">
        <v>43</v>
      </c>
      <c r="H640" t="s">
        <v>82</v>
      </c>
      <c r="I640" t="s">
        <v>43</v>
      </c>
      <c r="J640" t="s">
        <v>159</v>
      </c>
      <c r="K640" t="s">
        <v>41</v>
      </c>
      <c r="L640" t="s">
        <v>147</v>
      </c>
      <c r="M640" t="s">
        <v>49</v>
      </c>
      <c r="N640" t="s">
        <v>160</v>
      </c>
      <c r="P640" t="s">
        <v>144</v>
      </c>
      <c r="Q640">
        <v>18</v>
      </c>
      <c r="R640">
        <v>1</v>
      </c>
      <c r="S640">
        <v>5</v>
      </c>
      <c r="T640">
        <v>0</v>
      </c>
      <c r="U640">
        <v>3</v>
      </c>
      <c r="V640">
        <v>3</v>
      </c>
      <c r="W640">
        <v>98</v>
      </c>
      <c r="X640">
        <v>141</v>
      </c>
      <c r="Y640">
        <v>14363</v>
      </c>
      <c r="Z640">
        <v>4194</v>
      </c>
      <c r="AA640">
        <v>3</v>
      </c>
      <c r="AB640" s="29">
        <v>44773</v>
      </c>
      <c r="AC640" s="29">
        <v>35699</v>
      </c>
      <c r="AD640" s="29">
        <v>43108</v>
      </c>
      <c r="AE640" s="29"/>
      <c r="AF640">
        <v>5</v>
      </c>
      <c r="AG640" t="s">
        <v>157</v>
      </c>
      <c r="AI640">
        <v>20</v>
      </c>
      <c r="AJ640">
        <v>2</v>
      </c>
      <c r="AK640" t="s">
        <v>162</v>
      </c>
      <c r="AL640" t="s">
        <v>78</v>
      </c>
      <c r="AM640">
        <f t="shared" si="45"/>
        <v>1</v>
      </c>
      <c r="AN640">
        <f t="shared" si="46"/>
        <v>1</v>
      </c>
      <c r="AO640" t="str">
        <f t="shared" si="47"/>
        <v/>
      </c>
      <c r="AP640" t="str">
        <f t="shared" si="48"/>
        <v/>
      </c>
      <c r="AQ640">
        <f t="shared" si="49"/>
        <v>2018</v>
      </c>
    </row>
    <row r="641" spans="1:43" x14ac:dyDescent="0.35">
      <c r="A641">
        <v>1787</v>
      </c>
      <c r="B641">
        <v>37</v>
      </c>
      <c r="C641" t="s">
        <v>148</v>
      </c>
      <c r="D641" t="s">
        <v>145</v>
      </c>
      <c r="E641" t="s">
        <v>158</v>
      </c>
      <c r="F641" t="s">
        <v>36</v>
      </c>
      <c r="G641" t="s">
        <v>42</v>
      </c>
      <c r="H641" t="s">
        <v>82</v>
      </c>
      <c r="I641" t="s">
        <v>42</v>
      </c>
      <c r="J641" t="s">
        <v>159</v>
      </c>
      <c r="K641" t="s">
        <v>42</v>
      </c>
      <c r="L641" t="s">
        <v>147</v>
      </c>
      <c r="M641" t="s">
        <v>49</v>
      </c>
      <c r="N641" t="s">
        <v>160</v>
      </c>
      <c r="O641" t="s">
        <v>156</v>
      </c>
      <c r="P641" t="s">
        <v>148</v>
      </c>
      <c r="Q641">
        <v>14</v>
      </c>
      <c r="R641">
        <v>1</v>
      </c>
      <c r="S641">
        <v>5</v>
      </c>
      <c r="T641">
        <v>0</v>
      </c>
      <c r="U641">
        <v>3</v>
      </c>
      <c r="V641">
        <v>9</v>
      </c>
      <c r="W641">
        <v>46</v>
      </c>
      <c r="X641">
        <v>589</v>
      </c>
      <c r="Y641">
        <v>8800</v>
      </c>
      <c r="Z641">
        <v>4189</v>
      </c>
      <c r="AA641">
        <v>2</v>
      </c>
      <c r="AB641" s="29">
        <v>44773</v>
      </c>
      <c r="AC641" s="29">
        <v>31465</v>
      </c>
      <c r="AD641" s="29">
        <v>43108</v>
      </c>
      <c r="AE641" s="29"/>
      <c r="AF641">
        <v>5</v>
      </c>
      <c r="AG641" t="s">
        <v>149</v>
      </c>
      <c r="AI641">
        <v>32</v>
      </c>
      <c r="AJ641">
        <v>1</v>
      </c>
      <c r="AK641" t="s">
        <v>162</v>
      </c>
      <c r="AL641" t="s">
        <v>77</v>
      </c>
      <c r="AM641">
        <f t="shared" si="45"/>
        <v>1</v>
      </c>
      <c r="AN641">
        <f t="shared" si="46"/>
        <v>1</v>
      </c>
      <c r="AO641" t="str">
        <f t="shared" si="47"/>
        <v/>
      </c>
      <c r="AP641" t="str">
        <f t="shared" si="48"/>
        <v/>
      </c>
      <c r="AQ641">
        <f t="shared" si="49"/>
        <v>2018</v>
      </c>
    </row>
    <row r="642" spans="1:43" x14ac:dyDescent="0.35">
      <c r="A642">
        <v>526</v>
      </c>
      <c r="B642">
        <v>43</v>
      </c>
      <c r="C642" t="s">
        <v>148</v>
      </c>
      <c r="D642" t="s">
        <v>145</v>
      </c>
      <c r="E642" t="s">
        <v>4</v>
      </c>
      <c r="F642" t="s">
        <v>37</v>
      </c>
      <c r="G642" t="s">
        <v>43</v>
      </c>
      <c r="H642" t="s">
        <v>81</v>
      </c>
      <c r="I642" t="s">
        <v>43</v>
      </c>
      <c r="J642" t="s">
        <v>161</v>
      </c>
      <c r="K642" t="s">
        <v>43</v>
      </c>
      <c r="L642" t="s">
        <v>147</v>
      </c>
      <c r="M642" t="s">
        <v>49</v>
      </c>
      <c r="N642" t="s">
        <v>96</v>
      </c>
      <c r="P642" t="s">
        <v>144</v>
      </c>
      <c r="Q642">
        <v>14</v>
      </c>
      <c r="R642">
        <v>4</v>
      </c>
      <c r="S642">
        <v>8</v>
      </c>
      <c r="T642">
        <v>0</v>
      </c>
      <c r="U642">
        <v>2</v>
      </c>
      <c r="V642">
        <v>8</v>
      </c>
      <c r="W642">
        <v>74</v>
      </c>
      <c r="X642">
        <v>1473</v>
      </c>
      <c r="Y642">
        <v>2227</v>
      </c>
      <c r="Z642">
        <v>4522</v>
      </c>
      <c r="AA642">
        <v>3</v>
      </c>
      <c r="AB642" s="29">
        <v>44773</v>
      </c>
      <c r="AC642" s="29">
        <v>29144</v>
      </c>
      <c r="AD642" s="29">
        <v>43111</v>
      </c>
      <c r="AE642" s="29"/>
      <c r="AF642">
        <v>5</v>
      </c>
      <c r="AG642" t="s">
        <v>153</v>
      </c>
      <c r="AI642">
        <v>38</v>
      </c>
      <c r="AJ642">
        <v>1</v>
      </c>
      <c r="AK642" t="s">
        <v>162</v>
      </c>
      <c r="AL642" t="s">
        <v>77</v>
      </c>
      <c r="AM642">
        <f t="shared" ref="AM642:AM705" si="50">ROUNDUP(MONTH(AD642)/3,0)</f>
        <v>1</v>
      </c>
      <c r="AN642">
        <f t="shared" ref="AN642:AN705" si="51">MONTH(AD642)</f>
        <v>1</v>
      </c>
      <c r="AO642" t="str">
        <f t="shared" ref="AO642:AO705" si="52">IF(C642="Yes",ROUNDUP(MONTH(AE642)/3,0),"")</f>
        <v/>
      </c>
      <c r="AP642" t="str">
        <f t="shared" ref="AP642:AP705" si="53">IF(C642="Yes",MONTH(AE642),"")</f>
        <v/>
      </c>
      <c r="AQ642">
        <f t="shared" ref="AQ642:AQ705" si="54">YEAR(AD642)</f>
        <v>2018</v>
      </c>
    </row>
    <row r="643" spans="1:43" x14ac:dyDescent="0.35">
      <c r="A643">
        <v>1826</v>
      </c>
      <c r="B643">
        <v>35</v>
      </c>
      <c r="C643" t="s">
        <v>148</v>
      </c>
      <c r="D643" t="s">
        <v>145</v>
      </c>
      <c r="E643" t="s">
        <v>4</v>
      </c>
      <c r="F643" t="s">
        <v>37</v>
      </c>
      <c r="G643" t="s">
        <v>42</v>
      </c>
      <c r="H643" t="s">
        <v>82</v>
      </c>
      <c r="I643" t="s">
        <v>41</v>
      </c>
      <c r="J643" t="s">
        <v>155</v>
      </c>
      <c r="K643" t="s">
        <v>43</v>
      </c>
      <c r="L643" t="s">
        <v>147</v>
      </c>
      <c r="M643" t="s">
        <v>50</v>
      </c>
      <c r="N643" t="s">
        <v>160</v>
      </c>
      <c r="O643" t="s">
        <v>41</v>
      </c>
      <c r="P643" t="s">
        <v>148</v>
      </c>
      <c r="Q643">
        <v>16</v>
      </c>
      <c r="R643">
        <v>0</v>
      </c>
      <c r="S643">
        <v>6</v>
      </c>
      <c r="T643">
        <v>0</v>
      </c>
      <c r="U643">
        <v>3</v>
      </c>
      <c r="V643">
        <v>23</v>
      </c>
      <c r="W643">
        <v>91</v>
      </c>
      <c r="X643">
        <v>185</v>
      </c>
      <c r="Y643">
        <v>9696</v>
      </c>
      <c r="Z643">
        <v>2705</v>
      </c>
      <c r="AA643">
        <v>2</v>
      </c>
      <c r="AB643" s="29">
        <v>44773</v>
      </c>
      <c r="AC643" s="29">
        <v>32288</v>
      </c>
      <c r="AD643" s="29">
        <v>43112</v>
      </c>
      <c r="AE643" s="29"/>
      <c r="AF643">
        <v>5</v>
      </c>
      <c r="AG643" t="s">
        <v>149</v>
      </c>
      <c r="AI643">
        <v>30</v>
      </c>
      <c r="AJ643">
        <v>1</v>
      </c>
      <c r="AK643" t="s">
        <v>162</v>
      </c>
      <c r="AL643" t="s">
        <v>77</v>
      </c>
      <c r="AM643">
        <f t="shared" si="50"/>
        <v>1</v>
      </c>
      <c r="AN643">
        <f t="shared" si="51"/>
        <v>1</v>
      </c>
      <c r="AO643" t="str">
        <f t="shared" si="52"/>
        <v/>
      </c>
      <c r="AP643" t="str">
        <f t="shared" si="53"/>
        <v/>
      </c>
      <c r="AQ643">
        <f t="shared" si="54"/>
        <v>2018</v>
      </c>
    </row>
    <row r="644" spans="1:43" x14ac:dyDescent="0.35">
      <c r="A644">
        <v>1940</v>
      </c>
      <c r="B644">
        <v>38</v>
      </c>
      <c r="C644" t="s">
        <v>148</v>
      </c>
      <c r="D644" t="s">
        <v>145</v>
      </c>
      <c r="E644" t="s">
        <v>4</v>
      </c>
      <c r="F644" t="s">
        <v>36</v>
      </c>
      <c r="G644" t="s">
        <v>42</v>
      </c>
      <c r="H644" t="s">
        <v>82</v>
      </c>
      <c r="I644" t="s">
        <v>43</v>
      </c>
      <c r="J644" t="s">
        <v>146</v>
      </c>
      <c r="K644" t="s">
        <v>44</v>
      </c>
      <c r="L644" t="s">
        <v>147</v>
      </c>
      <c r="M644" t="s">
        <v>50</v>
      </c>
      <c r="N644" t="s">
        <v>96</v>
      </c>
      <c r="O644" t="s">
        <v>156</v>
      </c>
      <c r="P644" t="s">
        <v>148</v>
      </c>
      <c r="Q644">
        <v>19</v>
      </c>
      <c r="R644">
        <v>2</v>
      </c>
      <c r="S644">
        <v>10</v>
      </c>
      <c r="T644">
        <v>0</v>
      </c>
      <c r="U644">
        <v>3</v>
      </c>
      <c r="V644">
        <v>9</v>
      </c>
      <c r="W644">
        <v>71</v>
      </c>
      <c r="X644">
        <v>1206</v>
      </c>
      <c r="Y644">
        <v>14293</v>
      </c>
      <c r="Z644">
        <v>4771</v>
      </c>
      <c r="AA644">
        <v>0</v>
      </c>
      <c r="AB644" s="29">
        <v>44773</v>
      </c>
      <c r="AC644" s="29">
        <v>31022</v>
      </c>
      <c r="AD644" s="29">
        <v>43137</v>
      </c>
      <c r="AE644" s="29"/>
      <c r="AF644">
        <v>4</v>
      </c>
      <c r="AG644" t="s">
        <v>149</v>
      </c>
      <c r="AI644">
        <v>34</v>
      </c>
      <c r="AJ644">
        <v>1</v>
      </c>
      <c r="AK644" t="s">
        <v>162</v>
      </c>
      <c r="AL644" t="s">
        <v>77</v>
      </c>
      <c r="AM644">
        <f t="shared" si="50"/>
        <v>1</v>
      </c>
      <c r="AN644">
        <f t="shared" si="51"/>
        <v>2</v>
      </c>
      <c r="AO644" t="str">
        <f t="shared" si="52"/>
        <v/>
      </c>
      <c r="AP644" t="str">
        <f t="shared" si="53"/>
        <v/>
      </c>
      <c r="AQ644">
        <f t="shared" si="54"/>
        <v>2018</v>
      </c>
    </row>
    <row r="645" spans="1:43" x14ac:dyDescent="0.35">
      <c r="A645">
        <v>1945</v>
      </c>
      <c r="B645">
        <v>35</v>
      </c>
      <c r="C645" t="s">
        <v>148</v>
      </c>
      <c r="D645" t="s">
        <v>145</v>
      </c>
      <c r="E645" t="s">
        <v>158</v>
      </c>
      <c r="F645" t="s">
        <v>37</v>
      </c>
      <c r="G645" t="s">
        <v>42</v>
      </c>
      <c r="H645" t="s">
        <v>82</v>
      </c>
      <c r="I645" t="s">
        <v>43</v>
      </c>
      <c r="J645" t="s">
        <v>159</v>
      </c>
      <c r="K645" t="s">
        <v>41</v>
      </c>
      <c r="L645" t="s">
        <v>147</v>
      </c>
      <c r="M645" t="s">
        <v>47</v>
      </c>
      <c r="N645" t="s">
        <v>160</v>
      </c>
      <c r="O645" t="s">
        <v>41</v>
      </c>
      <c r="P645" t="s">
        <v>148</v>
      </c>
      <c r="Q645">
        <v>16</v>
      </c>
      <c r="R645">
        <v>0</v>
      </c>
      <c r="S645">
        <v>6</v>
      </c>
      <c r="T645">
        <v>0</v>
      </c>
      <c r="U645">
        <v>4</v>
      </c>
      <c r="V645">
        <v>18</v>
      </c>
      <c r="W645">
        <v>71</v>
      </c>
      <c r="X645">
        <v>682</v>
      </c>
      <c r="Y645">
        <v>15975</v>
      </c>
      <c r="Z645">
        <v>5561</v>
      </c>
      <c r="AA645">
        <v>2</v>
      </c>
      <c r="AB645" s="29">
        <v>44773</v>
      </c>
      <c r="AC645" s="29">
        <v>32266</v>
      </c>
      <c r="AD645" s="29">
        <v>43182</v>
      </c>
      <c r="AE645" s="29"/>
      <c r="AF645">
        <v>4</v>
      </c>
      <c r="AG645" t="s">
        <v>149</v>
      </c>
      <c r="AI645">
        <v>31</v>
      </c>
      <c r="AJ645">
        <v>1</v>
      </c>
      <c r="AK645" t="s">
        <v>162</v>
      </c>
      <c r="AL645" t="s">
        <v>78</v>
      </c>
      <c r="AM645">
        <f t="shared" si="50"/>
        <v>1</v>
      </c>
      <c r="AN645">
        <f t="shared" si="51"/>
        <v>3</v>
      </c>
      <c r="AO645" t="str">
        <f t="shared" si="52"/>
        <v/>
      </c>
      <c r="AP645" t="str">
        <f t="shared" si="53"/>
        <v/>
      </c>
      <c r="AQ645">
        <f t="shared" si="54"/>
        <v>2018</v>
      </c>
    </row>
    <row r="646" spans="1:43" x14ac:dyDescent="0.35">
      <c r="A646">
        <v>2046</v>
      </c>
      <c r="B646">
        <v>45</v>
      </c>
      <c r="C646" t="s">
        <v>148</v>
      </c>
      <c r="D646" t="s">
        <v>145</v>
      </c>
      <c r="E646" t="s">
        <v>158</v>
      </c>
      <c r="F646" t="s">
        <v>38</v>
      </c>
      <c r="G646" t="s">
        <v>44</v>
      </c>
      <c r="H646" t="s">
        <v>81</v>
      </c>
      <c r="I646" t="s">
        <v>43</v>
      </c>
      <c r="J646" t="s">
        <v>159</v>
      </c>
      <c r="K646" t="s">
        <v>43</v>
      </c>
      <c r="L646" t="s">
        <v>147</v>
      </c>
      <c r="M646" t="s">
        <v>49</v>
      </c>
      <c r="N646" t="s">
        <v>95</v>
      </c>
      <c r="P646" t="s">
        <v>148</v>
      </c>
      <c r="Q646">
        <v>15</v>
      </c>
      <c r="R646">
        <v>8</v>
      </c>
      <c r="S646">
        <v>8</v>
      </c>
      <c r="T646">
        <v>0</v>
      </c>
      <c r="U646">
        <v>1</v>
      </c>
      <c r="V646">
        <v>20</v>
      </c>
      <c r="W646">
        <v>50</v>
      </c>
      <c r="X646">
        <v>374</v>
      </c>
      <c r="Y646">
        <v>23333</v>
      </c>
      <c r="Z646">
        <v>4850</v>
      </c>
      <c r="AA646">
        <v>3</v>
      </c>
      <c r="AB646" s="29">
        <v>44773</v>
      </c>
      <c r="AC646" s="29">
        <v>28469</v>
      </c>
      <c r="AD646" s="29">
        <v>43183</v>
      </c>
      <c r="AE646" s="29"/>
      <c r="AF646">
        <v>4</v>
      </c>
      <c r="AG646" t="s">
        <v>153</v>
      </c>
      <c r="AI646">
        <v>41</v>
      </c>
      <c r="AJ646">
        <v>2</v>
      </c>
      <c r="AK646" t="s">
        <v>162</v>
      </c>
      <c r="AL646" t="s">
        <v>77</v>
      </c>
      <c r="AM646">
        <f t="shared" si="50"/>
        <v>1</v>
      </c>
      <c r="AN646">
        <f t="shared" si="51"/>
        <v>3</v>
      </c>
      <c r="AO646" t="str">
        <f t="shared" si="52"/>
        <v/>
      </c>
      <c r="AP646" t="str">
        <f t="shared" si="53"/>
        <v/>
      </c>
      <c r="AQ646">
        <f t="shared" si="54"/>
        <v>2018</v>
      </c>
    </row>
    <row r="647" spans="1:43" x14ac:dyDescent="0.35">
      <c r="A647">
        <v>996</v>
      </c>
      <c r="B647">
        <v>45</v>
      </c>
      <c r="C647" t="s">
        <v>148</v>
      </c>
      <c r="D647" t="s">
        <v>145</v>
      </c>
      <c r="E647" t="s">
        <v>4</v>
      </c>
      <c r="F647" t="s">
        <v>37</v>
      </c>
      <c r="G647" t="s">
        <v>44</v>
      </c>
      <c r="H647" t="s">
        <v>81</v>
      </c>
      <c r="I647" t="s">
        <v>43</v>
      </c>
      <c r="J647" t="s">
        <v>155</v>
      </c>
      <c r="K647" t="s">
        <v>44</v>
      </c>
      <c r="L647" t="s">
        <v>147</v>
      </c>
      <c r="M647" t="s">
        <v>49</v>
      </c>
      <c r="N647" t="s">
        <v>96</v>
      </c>
      <c r="O647" t="s">
        <v>156</v>
      </c>
      <c r="P647" t="s">
        <v>148</v>
      </c>
      <c r="Q647">
        <v>14</v>
      </c>
      <c r="R647">
        <v>3</v>
      </c>
      <c r="S647">
        <v>8</v>
      </c>
      <c r="T647">
        <v>0</v>
      </c>
      <c r="U647">
        <v>2</v>
      </c>
      <c r="V647">
        <v>1</v>
      </c>
      <c r="W647">
        <v>91</v>
      </c>
      <c r="X647">
        <v>974</v>
      </c>
      <c r="Y647">
        <v>11005</v>
      </c>
      <c r="Z647">
        <v>2270</v>
      </c>
      <c r="AA647">
        <v>2</v>
      </c>
      <c r="AB647" s="29">
        <v>44773</v>
      </c>
      <c r="AC647" s="29">
        <v>28484</v>
      </c>
      <c r="AD647" s="29">
        <v>43185</v>
      </c>
      <c r="AE647" s="29"/>
      <c r="AF647">
        <v>4</v>
      </c>
      <c r="AG647" t="s">
        <v>153</v>
      </c>
      <c r="AI647">
        <v>41</v>
      </c>
      <c r="AJ647">
        <v>1</v>
      </c>
      <c r="AK647" t="s">
        <v>162</v>
      </c>
      <c r="AL647" t="s">
        <v>77</v>
      </c>
      <c r="AM647">
        <f t="shared" si="50"/>
        <v>1</v>
      </c>
      <c r="AN647">
        <f t="shared" si="51"/>
        <v>3</v>
      </c>
      <c r="AO647" t="str">
        <f t="shared" si="52"/>
        <v/>
      </c>
      <c r="AP647" t="str">
        <f t="shared" si="53"/>
        <v/>
      </c>
      <c r="AQ647">
        <f t="shared" si="54"/>
        <v>2018</v>
      </c>
    </row>
    <row r="648" spans="1:43" x14ac:dyDescent="0.35">
      <c r="A648">
        <v>1822</v>
      </c>
      <c r="B648">
        <v>40</v>
      </c>
      <c r="C648" t="s">
        <v>148</v>
      </c>
      <c r="D648" t="s">
        <v>145</v>
      </c>
      <c r="E648" t="s">
        <v>4</v>
      </c>
      <c r="F648" t="s">
        <v>38</v>
      </c>
      <c r="G648" t="s">
        <v>43</v>
      </c>
      <c r="H648" t="s">
        <v>81</v>
      </c>
      <c r="I648" t="s">
        <v>43</v>
      </c>
      <c r="J648" t="s">
        <v>161</v>
      </c>
      <c r="K648" t="s">
        <v>44</v>
      </c>
      <c r="L648" t="s">
        <v>147</v>
      </c>
      <c r="M648" t="s">
        <v>49</v>
      </c>
      <c r="N648" t="s">
        <v>96</v>
      </c>
      <c r="O648" t="s">
        <v>41</v>
      </c>
      <c r="P648" t="s">
        <v>148</v>
      </c>
      <c r="Q648">
        <v>17</v>
      </c>
      <c r="R648">
        <v>4</v>
      </c>
      <c r="S648">
        <v>12</v>
      </c>
      <c r="T648">
        <v>0</v>
      </c>
      <c r="U648">
        <v>3</v>
      </c>
      <c r="V648">
        <v>1</v>
      </c>
      <c r="W648">
        <v>52</v>
      </c>
      <c r="X648">
        <v>1194</v>
      </c>
      <c r="Y648">
        <v>9060</v>
      </c>
      <c r="Z648">
        <v>6513</v>
      </c>
      <c r="AA648">
        <v>3</v>
      </c>
      <c r="AB648" s="29">
        <v>44773</v>
      </c>
      <c r="AC648" s="29">
        <v>30402</v>
      </c>
      <c r="AD648" s="29">
        <v>43189</v>
      </c>
      <c r="AE648" s="29"/>
      <c r="AF648">
        <v>4</v>
      </c>
      <c r="AG648" t="s">
        <v>153</v>
      </c>
      <c r="AI648">
        <v>36</v>
      </c>
      <c r="AJ648">
        <v>1</v>
      </c>
      <c r="AK648" t="s">
        <v>162</v>
      </c>
      <c r="AL648" t="s">
        <v>77</v>
      </c>
      <c r="AM648">
        <f t="shared" si="50"/>
        <v>1</v>
      </c>
      <c r="AN648">
        <f t="shared" si="51"/>
        <v>3</v>
      </c>
      <c r="AO648" t="str">
        <f t="shared" si="52"/>
        <v/>
      </c>
      <c r="AP648" t="str">
        <f t="shared" si="53"/>
        <v/>
      </c>
      <c r="AQ648">
        <f t="shared" si="54"/>
        <v>2018</v>
      </c>
    </row>
    <row r="649" spans="1:43" x14ac:dyDescent="0.35">
      <c r="A649">
        <v>2037</v>
      </c>
      <c r="B649">
        <v>41</v>
      </c>
      <c r="C649" t="s">
        <v>148</v>
      </c>
      <c r="D649" t="s">
        <v>145</v>
      </c>
      <c r="E649" t="s">
        <v>158</v>
      </c>
      <c r="F649" t="s">
        <v>38</v>
      </c>
      <c r="G649" t="s">
        <v>43</v>
      </c>
      <c r="H649" t="s">
        <v>82</v>
      </c>
      <c r="I649" t="s">
        <v>42</v>
      </c>
      <c r="J649" t="s">
        <v>159</v>
      </c>
      <c r="K649" t="s">
        <v>42</v>
      </c>
      <c r="L649" t="s">
        <v>147</v>
      </c>
      <c r="M649" t="s">
        <v>49</v>
      </c>
      <c r="N649" t="s">
        <v>96</v>
      </c>
      <c r="O649" t="s">
        <v>41</v>
      </c>
      <c r="P649" t="s">
        <v>148</v>
      </c>
      <c r="Q649">
        <v>11</v>
      </c>
      <c r="R649">
        <v>2</v>
      </c>
      <c r="S649">
        <v>14</v>
      </c>
      <c r="T649">
        <v>0</v>
      </c>
      <c r="U649">
        <v>4</v>
      </c>
      <c r="V649">
        <v>3</v>
      </c>
      <c r="W649">
        <v>57</v>
      </c>
      <c r="X649">
        <v>930</v>
      </c>
      <c r="Y649">
        <v>12227</v>
      </c>
      <c r="Z649">
        <v>8938</v>
      </c>
      <c r="AA649">
        <v>5</v>
      </c>
      <c r="AB649" s="29">
        <v>44773</v>
      </c>
      <c r="AC649" s="29">
        <v>30026</v>
      </c>
      <c r="AD649" s="29">
        <v>43214</v>
      </c>
      <c r="AE649" s="29"/>
      <c r="AF649">
        <v>4</v>
      </c>
      <c r="AG649" t="s">
        <v>153</v>
      </c>
      <c r="AI649">
        <v>37</v>
      </c>
      <c r="AJ649">
        <v>1</v>
      </c>
      <c r="AK649" t="s">
        <v>162</v>
      </c>
      <c r="AL649" t="s">
        <v>77</v>
      </c>
      <c r="AM649">
        <f t="shared" si="50"/>
        <v>2</v>
      </c>
      <c r="AN649">
        <f t="shared" si="51"/>
        <v>4</v>
      </c>
      <c r="AO649" t="str">
        <f t="shared" si="52"/>
        <v/>
      </c>
      <c r="AP649" t="str">
        <f t="shared" si="53"/>
        <v/>
      </c>
      <c r="AQ649">
        <f t="shared" si="54"/>
        <v>2018</v>
      </c>
    </row>
    <row r="650" spans="1:43" x14ac:dyDescent="0.35">
      <c r="A650">
        <v>859</v>
      </c>
      <c r="B650">
        <v>32</v>
      </c>
      <c r="C650" t="s">
        <v>148</v>
      </c>
      <c r="D650" t="s">
        <v>145</v>
      </c>
      <c r="E650" t="s">
        <v>158</v>
      </c>
      <c r="F650" t="s">
        <v>37</v>
      </c>
      <c r="G650" t="s">
        <v>42</v>
      </c>
      <c r="H650" t="s">
        <v>82</v>
      </c>
      <c r="I650" t="s">
        <v>43</v>
      </c>
      <c r="J650" t="s">
        <v>159</v>
      </c>
      <c r="K650" t="s">
        <v>44</v>
      </c>
      <c r="L650" t="s">
        <v>147</v>
      </c>
      <c r="M650" t="s">
        <v>48</v>
      </c>
      <c r="N650" t="s">
        <v>96</v>
      </c>
      <c r="O650" t="s">
        <v>41</v>
      </c>
      <c r="P650" t="s">
        <v>148</v>
      </c>
      <c r="Q650">
        <v>11</v>
      </c>
      <c r="R650">
        <v>2</v>
      </c>
      <c r="S650">
        <v>8</v>
      </c>
      <c r="T650">
        <v>0</v>
      </c>
      <c r="U650">
        <v>3</v>
      </c>
      <c r="V650">
        <v>13</v>
      </c>
      <c r="W650">
        <v>73</v>
      </c>
      <c r="X650">
        <v>117</v>
      </c>
      <c r="Y650">
        <v>9250</v>
      </c>
      <c r="Z650">
        <v>4403</v>
      </c>
      <c r="AA650">
        <v>3</v>
      </c>
      <c r="AB650" s="29">
        <v>44773</v>
      </c>
      <c r="AC650" s="29">
        <v>33229</v>
      </c>
      <c r="AD650" s="29">
        <v>43220</v>
      </c>
      <c r="AE650" s="29"/>
      <c r="AF650">
        <v>4</v>
      </c>
      <c r="AG650" t="s">
        <v>149</v>
      </c>
      <c r="AI650">
        <v>28</v>
      </c>
      <c r="AJ650">
        <v>2</v>
      </c>
      <c r="AK650" t="s">
        <v>162</v>
      </c>
      <c r="AL650" t="s">
        <v>77</v>
      </c>
      <c r="AM650">
        <f t="shared" si="50"/>
        <v>2</v>
      </c>
      <c r="AN650">
        <f t="shared" si="51"/>
        <v>4</v>
      </c>
      <c r="AO650" t="str">
        <f t="shared" si="52"/>
        <v/>
      </c>
      <c r="AP650" t="str">
        <f t="shared" si="53"/>
        <v/>
      </c>
      <c r="AQ650">
        <f t="shared" si="54"/>
        <v>2018</v>
      </c>
    </row>
    <row r="651" spans="1:43" x14ac:dyDescent="0.35">
      <c r="A651">
        <v>1954</v>
      </c>
      <c r="B651">
        <v>29</v>
      </c>
      <c r="C651" t="s">
        <v>148</v>
      </c>
      <c r="D651" t="s">
        <v>145</v>
      </c>
      <c r="E651" t="s">
        <v>4</v>
      </c>
      <c r="F651" t="s">
        <v>38</v>
      </c>
      <c r="G651" t="s">
        <v>41</v>
      </c>
      <c r="H651" t="s">
        <v>82</v>
      </c>
      <c r="I651" t="s">
        <v>43</v>
      </c>
      <c r="J651" t="s">
        <v>161</v>
      </c>
      <c r="K651" t="s">
        <v>41</v>
      </c>
      <c r="L651" t="s">
        <v>147</v>
      </c>
      <c r="M651" t="s">
        <v>48</v>
      </c>
      <c r="N651" t="s">
        <v>160</v>
      </c>
      <c r="O651" t="s">
        <v>41</v>
      </c>
      <c r="P651" t="s">
        <v>148</v>
      </c>
      <c r="Q651">
        <v>12</v>
      </c>
      <c r="R651">
        <v>0</v>
      </c>
      <c r="S651">
        <v>6</v>
      </c>
      <c r="T651">
        <v>0</v>
      </c>
      <c r="U651">
        <v>2</v>
      </c>
      <c r="V651">
        <v>1</v>
      </c>
      <c r="W651">
        <v>89</v>
      </c>
      <c r="X651">
        <v>136</v>
      </c>
      <c r="Y651">
        <v>6225</v>
      </c>
      <c r="Z651">
        <v>5373</v>
      </c>
      <c r="AA651">
        <v>5</v>
      </c>
      <c r="AB651" s="29">
        <v>44773</v>
      </c>
      <c r="AC651" s="29">
        <v>34504</v>
      </c>
      <c r="AD651" s="29">
        <v>43226</v>
      </c>
      <c r="AE651" s="29"/>
      <c r="AF651">
        <v>4</v>
      </c>
      <c r="AG651" t="s">
        <v>157</v>
      </c>
      <c r="AI651">
        <v>25</v>
      </c>
      <c r="AJ651">
        <v>1</v>
      </c>
      <c r="AK651" t="s">
        <v>162</v>
      </c>
      <c r="AL651" t="s">
        <v>78</v>
      </c>
      <c r="AM651">
        <f t="shared" si="50"/>
        <v>2</v>
      </c>
      <c r="AN651">
        <f t="shared" si="51"/>
        <v>5</v>
      </c>
      <c r="AO651" t="str">
        <f t="shared" si="52"/>
        <v/>
      </c>
      <c r="AP651" t="str">
        <f t="shared" si="53"/>
        <v/>
      </c>
      <c r="AQ651">
        <f t="shared" si="54"/>
        <v>2018</v>
      </c>
    </row>
    <row r="652" spans="1:43" x14ac:dyDescent="0.35">
      <c r="A652">
        <v>869</v>
      </c>
      <c r="B652">
        <v>28</v>
      </c>
      <c r="C652" t="s">
        <v>148</v>
      </c>
      <c r="D652" t="s">
        <v>145</v>
      </c>
      <c r="E652" t="s">
        <v>168</v>
      </c>
      <c r="F652" t="s">
        <v>36</v>
      </c>
      <c r="G652" t="s">
        <v>42</v>
      </c>
      <c r="H652" t="s">
        <v>82</v>
      </c>
      <c r="I652" t="s">
        <v>42</v>
      </c>
      <c r="J652" t="s">
        <v>168</v>
      </c>
      <c r="K652" t="s">
        <v>44</v>
      </c>
      <c r="L652" t="s">
        <v>147</v>
      </c>
      <c r="M652" t="s">
        <v>49</v>
      </c>
      <c r="N652" t="s">
        <v>96</v>
      </c>
      <c r="O652" t="s">
        <v>41</v>
      </c>
      <c r="P652" t="s">
        <v>148</v>
      </c>
      <c r="Q652">
        <v>13</v>
      </c>
      <c r="R652">
        <v>1</v>
      </c>
      <c r="S652">
        <v>6</v>
      </c>
      <c r="T652">
        <v>0</v>
      </c>
      <c r="U652">
        <v>4</v>
      </c>
      <c r="V652">
        <v>8</v>
      </c>
      <c r="W652">
        <v>63</v>
      </c>
      <c r="X652">
        <v>1169</v>
      </c>
      <c r="Y652">
        <v>23965</v>
      </c>
      <c r="Z652">
        <v>4936</v>
      </c>
      <c r="AA652">
        <v>6</v>
      </c>
      <c r="AB652" s="29">
        <v>44773</v>
      </c>
      <c r="AC652" s="29">
        <v>34817</v>
      </c>
      <c r="AD652" s="29">
        <v>43232</v>
      </c>
      <c r="AE652" s="29"/>
      <c r="AF652">
        <v>4</v>
      </c>
      <c r="AG652" t="s">
        <v>157</v>
      </c>
      <c r="AI652">
        <v>24</v>
      </c>
      <c r="AJ652">
        <v>1</v>
      </c>
      <c r="AK652" t="s">
        <v>162</v>
      </c>
      <c r="AL652" t="s">
        <v>78</v>
      </c>
      <c r="AM652">
        <f t="shared" si="50"/>
        <v>2</v>
      </c>
      <c r="AN652">
        <f t="shared" si="51"/>
        <v>5</v>
      </c>
      <c r="AO652" t="str">
        <f t="shared" si="52"/>
        <v/>
      </c>
      <c r="AP652" t="str">
        <f t="shared" si="53"/>
        <v/>
      </c>
      <c r="AQ652">
        <f t="shared" si="54"/>
        <v>2018</v>
      </c>
    </row>
    <row r="653" spans="1:43" x14ac:dyDescent="0.35">
      <c r="A653">
        <v>864</v>
      </c>
      <c r="B653">
        <v>45</v>
      </c>
      <c r="C653" t="s">
        <v>148</v>
      </c>
      <c r="D653" t="s">
        <v>145</v>
      </c>
      <c r="E653" t="s">
        <v>158</v>
      </c>
      <c r="F653" t="s">
        <v>38</v>
      </c>
      <c r="G653" t="s">
        <v>44</v>
      </c>
      <c r="H653" t="s">
        <v>82</v>
      </c>
      <c r="I653" t="s">
        <v>43</v>
      </c>
      <c r="J653" t="s">
        <v>159</v>
      </c>
      <c r="K653" t="s">
        <v>41</v>
      </c>
      <c r="L653" t="s">
        <v>147</v>
      </c>
      <c r="M653" t="s">
        <v>49</v>
      </c>
      <c r="N653" t="s">
        <v>96</v>
      </c>
      <c r="O653" t="s">
        <v>41</v>
      </c>
      <c r="P653" t="s">
        <v>144</v>
      </c>
      <c r="Q653">
        <v>12</v>
      </c>
      <c r="R653">
        <v>4</v>
      </c>
      <c r="S653">
        <v>18</v>
      </c>
      <c r="T653">
        <v>0</v>
      </c>
      <c r="U653">
        <v>2</v>
      </c>
      <c r="V653">
        <v>9</v>
      </c>
      <c r="W653">
        <v>74</v>
      </c>
      <c r="X653">
        <v>930</v>
      </c>
      <c r="Y653">
        <v>19239</v>
      </c>
      <c r="Z653">
        <v>10761</v>
      </c>
      <c r="AA653">
        <v>2</v>
      </c>
      <c r="AB653" s="29">
        <v>44773</v>
      </c>
      <c r="AC653" s="29">
        <v>28612</v>
      </c>
      <c r="AD653" s="29">
        <v>43247</v>
      </c>
      <c r="AE653" s="29"/>
      <c r="AF653">
        <v>4</v>
      </c>
      <c r="AG653" t="s">
        <v>153</v>
      </c>
      <c r="AI653">
        <v>41</v>
      </c>
      <c r="AJ653">
        <v>1</v>
      </c>
      <c r="AK653" t="s">
        <v>162</v>
      </c>
      <c r="AL653" t="s">
        <v>77</v>
      </c>
      <c r="AM653">
        <f t="shared" si="50"/>
        <v>2</v>
      </c>
      <c r="AN653">
        <f t="shared" si="51"/>
        <v>5</v>
      </c>
      <c r="AO653" t="str">
        <f t="shared" si="52"/>
        <v/>
      </c>
      <c r="AP653" t="str">
        <f t="shared" si="53"/>
        <v/>
      </c>
      <c r="AQ653">
        <f t="shared" si="54"/>
        <v>2018</v>
      </c>
    </row>
    <row r="654" spans="1:43" x14ac:dyDescent="0.35">
      <c r="A654">
        <v>84</v>
      </c>
      <c r="B654">
        <v>55</v>
      </c>
      <c r="C654" t="s">
        <v>148</v>
      </c>
      <c r="D654" t="s">
        <v>145</v>
      </c>
      <c r="E654" t="s">
        <v>4</v>
      </c>
      <c r="F654" t="s">
        <v>38</v>
      </c>
      <c r="G654" t="s">
        <v>44</v>
      </c>
      <c r="H654" t="s">
        <v>81</v>
      </c>
      <c r="I654" t="s">
        <v>43</v>
      </c>
      <c r="J654" t="s">
        <v>169</v>
      </c>
      <c r="K654" t="s">
        <v>43</v>
      </c>
      <c r="L654" t="s">
        <v>147</v>
      </c>
      <c r="M654" t="s">
        <v>49</v>
      </c>
      <c r="N654" t="s">
        <v>96</v>
      </c>
      <c r="O654" t="s">
        <v>43</v>
      </c>
      <c r="P654" t="s">
        <v>144</v>
      </c>
      <c r="Q654">
        <v>14</v>
      </c>
      <c r="R654">
        <v>2</v>
      </c>
      <c r="S654">
        <v>21</v>
      </c>
      <c r="T654">
        <v>0</v>
      </c>
      <c r="U654">
        <v>2</v>
      </c>
      <c r="V654">
        <v>8</v>
      </c>
      <c r="W654">
        <v>33</v>
      </c>
      <c r="X654">
        <v>836</v>
      </c>
      <c r="Y654">
        <v>19730</v>
      </c>
      <c r="Z654">
        <v>14756</v>
      </c>
      <c r="AA654">
        <v>2</v>
      </c>
      <c r="AB654" s="29">
        <v>44773</v>
      </c>
      <c r="AC654" s="29">
        <v>24731</v>
      </c>
      <c r="AD654" s="29">
        <v>43250</v>
      </c>
      <c r="AE654" s="29"/>
      <c r="AF654">
        <v>4</v>
      </c>
      <c r="AG654" t="s">
        <v>167</v>
      </c>
      <c r="AI654">
        <v>51</v>
      </c>
      <c r="AJ654">
        <v>1</v>
      </c>
      <c r="AK654" t="s">
        <v>162</v>
      </c>
      <c r="AL654" t="s">
        <v>78</v>
      </c>
      <c r="AM654">
        <f t="shared" si="50"/>
        <v>2</v>
      </c>
      <c r="AN654">
        <f t="shared" si="51"/>
        <v>5</v>
      </c>
      <c r="AO654" t="str">
        <f t="shared" si="52"/>
        <v/>
      </c>
      <c r="AP654" t="str">
        <f t="shared" si="53"/>
        <v/>
      </c>
      <c r="AQ654">
        <f t="shared" si="54"/>
        <v>2018</v>
      </c>
    </row>
    <row r="655" spans="1:43" x14ac:dyDescent="0.35">
      <c r="A655">
        <v>1136</v>
      </c>
      <c r="B655">
        <v>28</v>
      </c>
      <c r="C655" t="s">
        <v>148</v>
      </c>
      <c r="D655" t="s">
        <v>145</v>
      </c>
      <c r="E655" t="s">
        <v>4</v>
      </c>
      <c r="F655" t="s">
        <v>35</v>
      </c>
      <c r="G655" t="s">
        <v>41</v>
      </c>
      <c r="H655" t="s">
        <v>82</v>
      </c>
      <c r="I655" t="s">
        <v>42</v>
      </c>
      <c r="J655" t="s">
        <v>146</v>
      </c>
      <c r="K655" t="s">
        <v>42</v>
      </c>
      <c r="L655" t="s">
        <v>147</v>
      </c>
      <c r="M655" t="s">
        <v>47</v>
      </c>
      <c r="N655" t="s">
        <v>160</v>
      </c>
      <c r="P655" t="s">
        <v>148</v>
      </c>
      <c r="Q655">
        <v>17</v>
      </c>
      <c r="R655">
        <v>0</v>
      </c>
      <c r="S655">
        <v>6</v>
      </c>
      <c r="T655">
        <v>0</v>
      </c>
      <c r="U655">
        <v>4</v>
      </c>
      <c r="V655">
        <v>2</v>
      </c>
      <c r="W655">
        <v>67</v>
      </c>
      <c r="X655">
        <v>1451</v>
      </c>
      <c r="Y655">
        <v>19911</v>
      </c>
      <c r="Z655">
        <v>3201</v>
      </c>
      <c r="AA655">
        <v>2</v>
      </c>
      <c r="AB655" s="29">
        <v>44773</v>
      </c>
      <c r="AC655" s="29">
        <v>34638</v>
      </c>
      <c r="AD655" s="29">
        <v>43256</v>
      </c>
      <c r="AE655" s="29"/>
      <c r="AF655">
        <v>4</v>
      </c>
      <c r="AG655" t="s">
        <v>157</v>
      </c>
      <c r="AI655">
        <v>24</v>
      </c>
      <c r="AJ655">
        <v>1</v>
      </c>
      <c r="AK655" t="s">
        <v>162</v>
      </c>
      <c r="AL655" t="s">
        <v>77</v>
      </c>
      <c r="AM655">
        <f t="shared" si="50"/>
        <v>2</v>
      </c>
      <c r="AN655">
        <f t="shared" si="51"/>
        <v>6</v>
      </c>
      <c r="AO655" t="str">
        <f t="shared" si="52"/>
        <v/>
      </c>
      <c r="AP655" t="str">
        <f t="shared" si="53"/>
        <v/>
      </c>
      <c r="AQ655">
        <f t="shared" si="54"/>
        <v>2018</v>
      </c>
    </row>
    <row r="656" spans="1:43" x14ac:dyDescent="0.35">
      <c r="A656">
        <v>14</v>
      </c>
      <c r="B656">
        <v>35</v>
      </c>
      <c r="C656" t="s">
        <v>148</v>
      </c>
      <c r="D656" t="s">
        <v>145</v>
      </c>
      <c r="E656" t="s">
        <v>4</v>
      </c>
      <c r="F656" t="s">
        <v>38</v>
      </c>
      <c r="G656" t="s">
        <v>41</v>
      </c>
      <c r="H656" t="s">
        <v>82</v>
      </c>
      <c r="I656" t="s">
        <v>44</v>
      </c>
      <c r="J656" t="s">
        <v>155</v>
      </c>
      <c r="K656" t="s">
        <v>42</v>
      </c>
      <c r="L656" t="s">
        <v>147</v>
      </c>
      <c r="M656" t="s">
        <v>49</v>
      </c>
      <c r="N656" t="s">
        <v>160</v>
      </c>
      <c r="O656" t="s">
        <v>41</v>
      </c>
      <c r="P656" t="s">
        <v>148</v>
      </c>
      <c r="Q656">
        <v>13</v>
      </c>
      <c r="R656">
        <v>0</v>
      </c>
      <c r="S656">
        <v>6</v>
      </c>
      <c r="T656">
        <v>0</v>
      </c>
      <c r="U656">
        <v>3</v>
      </c>
      <c r="V656">
        <v>16</v>
      </c>
      <c r="W656">
        <v>84</v>
      </c>
      <c r="X656">
        <v>809</v>
      </c>
      <c r="Y656">
        <v>16479</v>
      </c>
      <c r="Z656">
        <v>2426</v>
      </c>
      <c r="AA656">
        <v>5</v>
      </c>
      <c r="AB656" s="29">
        <v>44773</v>
      </c>
      <c r="AC656" s="29">
        <v>32330</v>
      </c>
      <c r="AD656" s="29">
        <v>43257</v>
      </c>
      <c r="AE656" s="29"/>
      <c r="AF656">
        <v>4</v>
      </c>
      <c r="AG656" t="s">
        <v>149</v>
      </c>
      <c r="AI656">
        <v>31</v>
      </c>
      <c r="AJ656">
        <v>2</v>
      </c>
      <c r="AK656" t="s">
        <v>162</v>
      </c>
      <c r="AL656" t="s">
        <v>77</v>
      </c>
      <c r="AM656">
        <f t="shared" si="50"/>
        <v>2</v>
      </c>
      <c r="AN656">
        <f t="shared" si="51"/>
        <v>6</v>
      </c>
      <c r="AO656" t="str">
        <f t="shared" si="52"/>
        <v/>
      </c>
      <c r="AP656" t="str">
        <f t="shared" si="53"/>
        <v/>
      </c>
      <c r="AQ656">
        <f t="shared" si="54"/>
        <v>2018</v>
      </c>
    </row>
    <row r="657" spans="1:43" x14ac:dyDescent="0.35">
      <c r="A657">
        <v>543</v>
      </c>
      <c r="B657">
        <v>52</v>
      </c>
      <c r="C657" t="s">
        <v>148</v>
      </c>
      <c r="D657" t="s">
        <v>145</v>
      </c>
      <c r="E657" t="s">
        <v>4</v>
      </c>
      <c r="F657" t="s">
        <v>38</v>
      </c>
      <c r="G657" t="s">
        <v>44</v>
      </c>
      <c r="H657" t="s">
        <v>82</v>
      </c>
      <c r="I657" t="s">
        <v>42</v>
      </c>
      <c r="J657" t="s">
        <v>165</v>
      </c>
      <c r="K657" t="s">
        <v>43</v>
      </c>
      <c r="L657" t="s">
        <v>147</v>
      </c>
      <c r="M657" t="s">
        <v>49</v>
      </c>
      <c r="N657" t="s">
        <v>160</v>
      </c>
      <c r="P657" t="s">
        <v>144</v>
      </c>
      <c r="Q657">
        <v>14</v>
      </c>
      <c r="R657">
        <v>2</v>
      </c>
      <c r="S657">
        <v>28</v>
      </c>
      <c r="T657">
        <v>0</v>
      </c>
      <c r="U657">
        <v>4</v>
      </c>
      <c r="V657">
        <v>3</v>
      </c>
      <c r="W657">
        <v>39</v>
      </c>
      <c r="X657">
        <v>319</v>
      </c>
      <c r="Y657">
        <v>19609</v>
      </c>
      <c r="Z657">
        <v>7969</v>
      </c>
      <c r="AA657">
        <v>4</v>
      </c>
      <c r="AB657" s="29">
        <v>44773</v>
      </c>
      <c r="AC657" s="29">
        <v>25847</v>
      </c>
      <c r="AD657" s="29">
        <v>43259</v>
      </c>
      <c r="AE657" s="29"/>
      <c r="AF657">
        <v>4</v>
      </c>
      <c r="AG657" t="s">
        <v>167</v>
      </c>
      <c r="AI657">
        <v>48</v>
      </c>
      <c r="AJ657">
        <v>1</v>
      </c>
      <c r="AK657" t="s">
        <v>162</v>
      </c>
      <c r="AL657" t="s">
        <v>78</v>
      </c>
      <c r="AM657">
        <f t="shared" si="50"/>
        <v>2</v>
      </c>
      <c r="AN657">
        <f t="shared" si="51"/>
        <v>6</v>
      </c>
      <c r="AO657" t="str">
        <f t="shared" si="52"/>
        <v/>
      </c>
      <c r="AP657" t="str">
        <f t="shared" si="53"/>
        <v/>
      </c>
      <c r="AQ657">
        <f t="shared" si="54"/>
        <v>2018</v>
      </c>
    </row>
    <row r="658" spans="1:43" x14ac:dyDescent="0.35">
      <c r="A658">
        <v>221</v>
      </c>
      <c r="B658">
        <v>28</v>
      </c>
      <c r="C658" t="s">
        <v>148</v>
      </c>
      <c r="D658" t="s">
        <v>145</v>
      </c>
      <c r="E658" t="s">
        <v>4</v>
      </c>
      <c r="F658" t="s">
        <v>38</v>
      </c>
      <c r="G658" t="s">
        <v>43</v>
      </c>
      <c r="H658" t="s">
        <v>82</v>
      </c>
      <c r="I658" t="s">
        <v>43</v>
      </c>
      <c r="J658" t="s">
        <v>146</v>
      </c>
      <c r="K658" t="s">
        <v>44</v>
      </c>
      <c r="L658" t="s">
        <v>147</v>
      </c>
      <c r="M658" t="s">
        <v>47</v>
      </c>
      <c r="N658" t="s">
        <v>160</v>
      </c>
      <c r="O658" t="s">
        <v>41</v>
      </c>
      <c r="P658" t="s">
        <v>148</v>
      </c>
      <c r="Q658">
        <v>11</v>
      </c>
      <c r="R658">
        <v>1</v>
      </c>
      <c r="S658">
        <v>5</v>
      </c>
      <c r="T658">
        <v>0</v>
      </c>
      <c r="U658">
        <v>2</v>
      </c>
      <c r="V658">
        <v>21</v>
      </c>
      <c r="W658">
        <v>42</v>
      </c>
      <c r="X658">
        <v>440</v>
      </c>
      <c r="Y658">
        <v>6672</v>
      </c>
      <c r="Z658">
        <v>2713</v>
      </c>
      <c r="AA658">
        <v>2</v>
      </c>
      <c r="AB658" s="29">
        <v>44773</v>
      </c>
      <c r="AC658" s="29">
        <v>34874</v>
      </c>
      <c r="AD658" s="29">
        <v>43269</v>
      </c>
      <c r="AE658" s="29"/>
      <c r="AF658">
        <v>4</v>
      </c>
      <c r="AG658" t="s">
        <v>157</v>
      </c>
      <c r="AI658">
        <v>24</v>
      </c>
      <c r="AJ658">
        <v>1</v>
      </c>
      <c r="AK658" t="s">
        <v>162</v>
      </c>
      <c r="AL658" t="s">
        <v>77</v>
      </c>
      <c r="AM658">
        <f t="shared" si="50"/>
        <v>2</v>
      </c>
      <c r="AN658">
        <f t="shared" si="51"/>
        <v>6</v>
      </c>
      <c r="AO658" t="str">
        <f t="shared" si="52"/>
        <v/>
      </c>
      <c r="AP658" t="str">
        <f t="shared" si="53"/>
        <v/>
      </c>
      <c r="AQ658">
        <f t="shared" si="54"/>
        <v>2018</v>
      </c>
    </row>
    <row r="659" spans="1:43" x14ac:dyDescent="0.35">
      <c r="A659">
        <v>1445</v>
      </c>
      <c r="B659">
        <v>24</v>
      </c>
      <c r="C659" t="s">
        <v>148</v>
      </c>
      <c r="D659" t="s">
        <v>145</v>
      </c>
      <c r="E659" t="s">
        <v>158</v>
      </c>
      <c r="F659" t="s">
        <v>35</v>
      </c>
      <c r="G659" t="s">
        <v>44</v>
      </c>
      <c r="H659" t="s">
        <v>81</v>
      </c>
      <c r="I659" t="s">
        <v>43</v>
      </c>
      <c r="J659" t="s">
        <v>159</v>
      </c>
      <c r="K659" t="s">
        <v>43</v>
      </c>
      <c r="L659" t="s">
        <v>147</v>
      </c>
      <c r="M659" t="s">
        <v>49</v>
      </c>
      <c r="N659" t="s">
        <v>160</v>
      </c>
      <c r="O659" t="s">
        <v>156</v>
      </c>
      <c r="P659" t="s">
        <v>144</v>
      </c>
      <c r="Q659">
        <v>12</v>
      </c>
      <c r="R659">
        <v>1</v>
      </c>
      <c r="S659">
        <v>5</v>
      </c>
      <c r="T659">
        <v>0</v>
      </c>
      <c r="U659">
        <v>3</v>
      </c>
      <c r="V659">
        <v>4</v>
      </c>
      <c r="W659">
        <v>42</v>
      </c>
      <c r="X659">
        <v>1476</v>
      </c>
      <c r="Y659">
        <v>15211</v>
      </c>
      <c r="Z659">
        <v>4162</v>
      </c>
      <c r="AA659">
        <v>3</v>
      </c>
      <c r="AB659" s="29">
        <v>44773</v>
      </c>
      <c r="AC659" s="29">
        <v>36366</v>
      </c>
      <c r="AD659" s="29">
        <v>43274</v>
      </c>
      <c r="AE659" s="29"/>
      <c r="AF659">
        <v>4</v>
      </c>
      <c r="AG659" t="s">
        <v>157</v>
      </c>
      <c r="AI659">
        <v>20</v>
      </c>
      <c r="AJ659">
        <v>1</v>
      </c>
      <c r="AK659" t="s">
        <v>162</v>
      </c>
      <c r="AL659" t="s">
        <v>77</v>
      </c>
      <c r="AM659">
        <f t="shared" si="50"/>
        <v>2</v>
      </c>
      <c r="AN659">
        <f t="shared" si="51"/>
        <v>6</v>
      </c>
      <c r="AO659" t="str">
        <f t="shared" si="52"/>
        <v/>
      </c>
      <c r="AP659" t="str">
        <f t="shared" si="53"/>
        <v/>
      </c>
      <c r="AQ659">
        <f t="shared" si="54"/>
        <v>2018</v>
      </c>
    </row>
    <row r="660" spans="1:43" x14ac:dyDescent="0.35">
      <c r="A660">
        <v>1749</v>
      </c>
      <c r="B660">
        <v>31</v>
      </c>
      <c r="C660" t="s">
        <v>148</v>
      </c>
      <c r="D660" t="s">
        <v>145</v>
      </c>
      <c r="E660" t="s">
        <v>158</v>
      </c>
      <c r="F660" t="s">
        <v>38</v>
      </c>
      <c r="G660" t="s">
        <v>41</v>
      </c>
      <c r="H660" t="s">
        <v>82</v>
      </c>
      <c r="I660" t="s">
        <v>43</v>
      </c>
      <c r="J660" t="s">
        <v>159</v>
      </c>
      <c r="K660" t="s">
        <v>43</v>
      </c>
      <c r="L660" t="s">
        <v>147</v>
      </c>
      <c r="M660" t="s">
        <v>49</v>
      </c>
      <c r="N660" t="s">
        <v>160</v>
      </c>
      <c r="O660" t="s">
        <v>41</v>
      </c>
      <c r="P660" t="s">
        <v>148</v>
      </c>
      <c r="Q660">
        <v>19</v>
      </c>
      <c r="R660">
        <v>1</v>
      </c>
      <c r="S660">
        <v>6</v>
      </c>
      <c r="T660">
        <v>0</v>
      </c>
      <c r="U660">
        <v>2</v>
      </c>
      <c r="V660">
        <v>5</v>
      </c>
      <c r="W660">
        <v>51</v>
      </c>
      <c r="X660">
        <v>1003</v>
      </c>
      <c r="Y660">
        <v>20943</v>
      </c>
      <c r="Z660">
        <v>8346</v>
      </c>
      <c r="AA660">
        <v>3</v>
      </c>
      <c r="AB660" s="29">
        <v>44773</v>
      </c>
      <c r="AC660" s="29">
        <v>33586</v>
      </c>
      <c r="AD660" s="29">
        <v>43274</v>
      </c>
      <c r="AE660" s="29"/>
      <c r="AF660">
        <v>4</v>
      </c>
      <c r="AG660" t="s">
        <v>149</v>
      </c>
      <c r="AI660">
        <v>27</v>
      </c>
      <c r="AJ660">
        <v>1</v>
      </c>
      <c r="AK660" t="s">
        <v>162</v>
      </c>
      <c r="AL660" t="s">
        <v>77</v>
      </c>
      <c r="AM660">
        <f t="shared" si="50"/>
        <v>2</v>
      </c>
      <c r="AN660">
        <f t="shared" si="51"/>
        <v>6</v>
      </c>
      <c r="AO660" t="str">
        <f t="shared" si="52"/>
        <v/>
      </c>
      <c r="AP660" t="str">
        <f t="shared" si="53"/>
        <v/>
      </c>
      <c r="AQ660">
        <f t="shared" si="54"/>
        <v>2018</v>
      </c>
    </row>
    <row r="661" spans="1:43" x14ac:dyDescent="0.35">
      <c r="A661">
        <v>1425</v>
      </c>
      <c r="B661">
        <v>36</v>
      </c>
      <c r="C661" t="s">
        <v>148</v>
      </c>
      <c r="D661" t="s">
        <v>145</v>
      </c>
      <c r="E661" t="s">
        <v>158</v>
      </c>
      <c r="F661" t="s">
        <v>37</v>
      </c>
      <c r="G661" t="s">
        <v>41</v>
      </c>
      <c r="H661" t="s">
        <v>81</v>
      </c>
      <c r="I661" t="s">
        <v>43</v>
      </c>
      <c r="J661" t="s">
        <v>159</v>
      </c>
      <c r="K661" t="s">
        <v>42</v>
      </c>
      <c r="L661" t="s">
        <v>147</v>
      </c>
      <c r="M661" t="s">
        <v>49</v>
      </c>
      <c r="N661" t="s">
        <v>95</v>
      </c>
      <c r="P661" t="s">
        <v>144</v>
      </c>
      <c r="Q661">
        <v>16</v>
      </c>
      <c r="R661">
        <v>3</v>
      </c>
      <c r="S661">
        <v>15</v>
      </c>
      <c r="T661">
        <v>0</v>
      </c>
      <c r="U661">
        <v>1</v>
      </c>
      <c r="V661">
        <v>3</v>
      </c>
      <c r="W661">
        <v>99</v>
      </c>
      <c r="X661">
        <v>1174</v>
      </c>
      <c r="Y661">
        <v>20763</v>
      </c>
      <c r="Z661">
        <v>9278</v>
      </c>
      <c r="AA661">
        <v>3</v>
      </c>
      <c r="AB661" s="29">
        <v>44773</v>
      </c>
      <c r="AC661" s="29">
        <v>31925</v>
      </c>
      <c r="AD661" s="29">
        <v>43278</v>
      </c>
      <c r="AE661" s="29"/>
      <c r="AF661">
        <v>4</v>
      </c>
      <c r="AG661" t="s">
        <v>149</v>
      </c>
      <c r="AI661">
        <v>32</v>
      </c>
      <c r="AJ661">
        <v>2</v>
      </c>
      <c r="AK661" t="s">
        <v>162</v>
      </c>
      <c r="AL661" t="s">
        <v>77</v>
      </c>
      <c r="AM661">
        <f t="shared" si="50"/>
        <v>2</v>
      </c>
      <c r="AN661">
        <f t="shared" si="51"/>
        <v>6</v>
      </c>
      <c r="AO661" t="str">
        <f t="shared" si="52"/>
        <v/>
      </c>
      <c r="AP661" t="str">
        <f t="shared" si="53"/>
        <v/>
      </c>
      <c r="AQ661">
        <f t="shared" si="54"/>
        <v>2018</v>
      </c>
    </row>
    <row r="662" spans="1:43" x14ac:dyDescent="0.35">
      <c r="A662">
        <v>437</v>
      </c>
      <c r="B662">
        <v>27</v>
      </c>
      <c r="C662" t="s">
        <v>148</v>
      </c>
      <c r="D662" t="s">
        <v>145</v>
      </c>
      <c r="E662" t="s">
        <v>158</v>
      </c>
      <c r="F662" t="s">
        <v>38</v>
      </c>
      <c r="G662" t="s">
        <v>44</v>
      </c>
      <c r="H662" t="s">
        <v>82</v>
      </c>
      <c r="I662" t="s">
        <v>43</v>
      </c>
      <c r="J662" t="s">
        <v>159</v>
      </c>
      <c r="K662" t="s">
        <v>43</v>
      </c>
      <c r="L662" t="s">
        <v>147</v>
      </c>
      <c r="M662" t="s">
        <v>49</v>
      </c>
      <c r="N662" t="s">
        <v>95</v>
      </c>
      <c r="P662" t="s">
        <v>144</v>
      </c>
      <c r="Q662">
        <v>11</v>
      </c>
      <c r="R662">
        <v>1</v>
      </c>
      <c r="S662">
        <v>5</v>
      </c>
      <c r="T662">
        <v>0</v>
      </c>
      <c r="U662">
        <v>4</v>
      </c>
      <c r="V662">
        <v>2</v>
      </c>
      <c r="W662">
        <v>74</v>
      </c>
      <c r="X662">
        <v>1377</v>
      </c>
      <c r="Y662">
        <v>5242</v>
      </c>
      <c r="Z662">
        <v>4478</v>
      </c>
      <c r="AA662">
        <v>3</v>
      </c>
      <c r="AB662" s="29">
        <v>44773</v>
      </c>
      <c r="AC662" s="29">
        <v>35143</v>
      </c>
      <c r="AD662" s="29">
        <v>43282</v>
      </c>
      <c r="AE662" s="29"/>
      <c r="AF662">
        <v>4</v>
      </c>
      <c r="AG662" t="s">
        <v>157</v>
      </c>
      <c r="AI662">
        <v>23</v>
      </c>
      <c r="AJ662">
        <v>1</v>
      </c>
      <c r="AK662" t="s">
        <v>162</v>
      </c>
      <c r="AL662" t="s">
        <v>78</v>
      </c>
      <c r="AM662">
        <f t="shared" si="50"/>
        <v>3</v>
      </c>
      <c r="AN662">
        <f t="shared" si="51"/>
        <v>7</v>
      </c>
      <c r="AO662" t="str">
        <f t="shared" si="52"/>
        <v/>
      </c>
      <c r="AP662" t="str">
        <f t="shared" si="53"/>
        <v/>
      </c>
      <c r="AQ662">
        <f t="shared" si="54"/>
        <v>2018</v>
      </c>
    </row>
    <row r="663" spans="1:43" x14ac:dyDescent="0.35">
      <c r="A663">
        <v>1707</v>
      </c>
      <c r="B663">
        <v>24</v>
      </c>
      <c r="C663" t="s">
        <v>148</v>
      </c>
      <c r="D663" t="s">
        <v>145</v>
      </c>
      <c r="E663" t="s">
        <v>4</v>
      </c>
      <c r="F663" t="s">
        <v>38</v>
      </c>
      <c r="G663" t="s">
        <v>43</v>
      </c>
      <c r="H663" t="s">
        <v>82</v>
      </c>
      <c r="I663" t="s">
        <v>44</v>
      </c>
      <c r="J663" t="s">
        <v>146</v>
      </c>
      <c r="K663" t="s">
        <v>43</v>
      </c>
      <c r="L663" t="s">
        <v>147</v>
      </c>
      <c r="M663" t="s">
        <v>49</v>
      </c>
      <c r="N663" t="s">
        <v>160</v>
      </c>
      <c r="O663" t="s">
        <v>41</v>
      </c>
      <c r="P663" t="s">
        <v>148</v>
      </c>
      <c r="Q663">
        <v>16</v>
      </c>
      <c r="R663">
        <v>1</v>
      </c>
      <c r="S663">
        <v>5</v>
      </c>
      <c r="T663">
        <v>0</v>
      </c>
      <c r="U663">
        <v>4</v>
      </c>
      <c r="V663">
        <v>9</v>
      </c>
      <c r="W663">
        <v>62</v>
      </c>
      <c r="X663">
        <v>581</v>
      </c>
      <c r="Y663">
        <v>17616</v>
      </c>
      <c r="Z663">
        <v>4401</v>
      </c>
      <c r="AA663">
        <v>1</v>
      </c>
      <c r="AB663" s="29">
        <v>44773</v>
      </c>
      <c r="AC663" s="29">
        <v>36361</v>
      </c>
      <c r="AD663" s="29">
        <v>43288</v>
      </c>
      <c r="AE663" s="29"/>
      <c r="AF663">
        <v>4</v>
      </c>
      <c r="AG663" t="s">
        <v>157</v>
      </c>
      <c r="AI663">
        <v>20</v>
      </c>
      <c r="AJ663">
        <v>1</v>
      </c>
      <c r="AK663" t="s">
        <v>162</v>
      </c>
      <c r="AL663" t="s">
        <v>77</v>
      </c>
      <c r="AM663">
        <f t="shared" si="50"/>
        <v>3</v>
      </c>
      <c r="AN663">
        <f t="shared" si="51"/>
        <v>7</v>
      </c>
      <c r="AO663" t="str">
        <f t="shared" si="52"/>
        <v/>
      </c>
      <c r="AP663" t="str">
        <f t="shared" si="53"/>
        <v/>
      </c>
      <c r="AQ663">
        <f t="shared" si="54"/>
        <v>2018</v>
      </c>
    </row>
    <row r="664" spans="1:43" x14ac:dyDescent="0.35">
      <c r="A664">
        <v>2054</v>
      </c>
      <c r="B664">
        <v>29</v>
      </c>
      <c r="C664" t="s">
        <v>148</v>
      </c>
      <c r="D664" t="s">
        <v>145</v>
      </c>
      <c r="E664" t="s">
        <v>4</v>
      </c>
      <c r="F664" t="s">
        <v>37</v>
      </c>
      <c r="G664" t="s">
        <v>44</v>
      </c>
      <c r="H664" t="s">
        <v>81</v>
      </c>
      <c r="I664" t="s">
        <v>42</v>
      </c>
      <c r="J664" t="s">
        <v>146</v>
      </c>
      <c r="K664" t="s">
        <v>41</v>
      </c>
      <c r="L664" t="s">
        <v>147</v>
      </c>
      <c r="M664" t="s">
        <v>47</v>
      </c>
      <c r="N664" t="s">
        <v>95</v>
      </c>
      <c r="P664" t="s">
        <v>148</v>
      </c>
      <c r="Q664">
        <v>14</v>
      </c>
      <c r="R664">
        <v>1</v>
      </c>
      <c r="S664">
        <v>5</v>
      </c>
      <c r="T664">
        <v>0</v>
      </c>
      <c r="U664">
        <v>4</v>
      </c>
      <c r="V664">
        <v>28</v>
      </c>
      <c r="W664">
        <v>73</v>
      </c>
      <c r="X664">
        <v>468</v>
      </c>
      <c r="Y664">
        <v>8489</v>
      </c>
      <c r="Z664">
        <v>3785</v>
      </c>
      <c r="AA664">
        <v>3</v>
      </c>
      <c r="AB664" s="29">
        <v>44773</v>
      </c>
      <c r="AC664" s="29">
        <v>34533</v>
      </c>
      <c r="AD664" s="29">
        <v>43301</v>
      </c>
      <c r="AE664" s="29"/>
      <c r="AF664">
        <v>4</v>
      </c>
      <c r="AG664" t="s">
        <v>157</v>
      </c>
      <c r="AI664">
        <v>25</v>
      </c>
      <c r="AJ664">
        <v>1</v>
      </c>
      <c r="AK664" t="s">
        <v>162</v>
      </c>
      <c r="AL664" t="s">
        <v>77</v>
      </c>
      <c r="AM664">
        <f t="shared" si="50"/>
        <v>3</v>
      </c>
      <c r="AN664">
        <f t="shared" si="51"/>
        <v>7</v>
      </c>
      <c r="AO664" t="str">
        <f t="shared" si="52"/>
        <v/>
      </c>
      <c r="AP664" t="str">
        <f t="shared" si="53"/>
        <v/>
      </c>
      <c r="AQ664">
        <f t="shared" si="54"/>
        <v>2018</v>
      </c>
    </row>
    <row r="665" spans="1:43" x14ac:dyDescent="0.35">
      <c r="A665">
        <v>758</v>
      </c>
      <c r="B665">
        <v>23</v>
      </c>
      <c r="C665" t="s">
        <v>148</v>
      </c>
      <c r="D665" t="s">
        <v>145</v>
      </c>
      <c r="E665" t="s">
        <v>4</v>
      </c>
      <c r="F665" t="s">
        <v>35</v>
      </c>
      <c r="G665" t="s">
        <v>42</v>
      </c>
      <c r="H665" t="s">
        <v>82</v>
      </c>
      <c r="I665" t="s">
        <v>43</v>
      </c>
      <c r="J665" t="s">
        <v>155</v>
      </c>
      <c r="K665" t="s">
        <v>41</v>
      </c>
      <c r="L665" t="s">
        <v>147</v>
      </c>
      <c r="M665" t="s">
        <v>50</v>
      </c>
      <c r="N665" t="s">
        <v>160</v>
      </c>
      <c r="O665" t="s">
        <v>41</v>
      </c>
      <c r="P665" t="s">
        <v>148</v>
      </c>
      <c r="Q665">
        <v>14</v>
      </c>
      <c r="R665">
        <v>1</v>
      </c>
      <c r="S665">
        <v>5</v>
      </c>
      <c r="T665">
        <v>0</v>
      </c>
      <c r="U665">
        <v>2</v>
      </c>
      <c r="V665">
        <v>9</v>
      </c>
      <c r="W665">
        <v>37</v>
      </c>
      <c r="X665">
        <v>650</v>
      </c>
      <c r="Y665">
        <v>4344</v>
      </c>
      <c r="Z665">
        <v>2500</v>
      </c>
      <c r="AA665">
        <v>2</v>
      </c>
      <c r="AB665" s="29">
        <v>44773</v>
      </c>
      <c r="AC665" s="29">
        <v>36709</v>
      </c>
      <c r="AD665" s="29">
        <v>43356</v>
      </c>
      <c r="AE665" s="29"/>
      <c r="AF665">
        <v>4</v>
      </c>
      <c r="AG665" t="s">
        <v>157</v>
      </c>
      <c r="AI665">
        <v>19</v>
      </c>
      <c r="AJ665">
        <v>2</v>
      </c>
      <c r="AK665" t="s">
        <v>162</v>
      </c>
      <c r="AL665" t="s">
        <v>77</v>
      </c>
      <c r="AM665">
        <f t="shared" si="50"/>
        <v>3</v>
      </c>
      <c r="AN665">
        <f t="shared" si="51"/>
        <v>9</v>
      </c>
      <c r="AO665" t="str">
        <f t="shared" si="52"/>
        <v/>
      </c>
      <c r="AP665" t="str">
        <f t="shared" si="53"/>
        <v/>
      </c>
      <c r="AQ665">
        <f t="shared" si="54"/>
        <v>2018</v>
      </c>
    </row>
    <row r="666" spans="1:43" x14ac:dyDescent="0.35">
      <c r="A666">
        <v>1448</v>
      </c>
      <c r="B666">
        <v>41</v>
      </c>
      <c r="C666" t="s">
        <v>148</v>
      </c>
      <c r="D666" t="s">
        <v>145</v>
      </c>
      <c r="E666" t="s">
        <v>4</v>
      </c>
      <c r="F666" t="s">
        <v>34</v>
      </c>
      <c r="G666" t="s">
        <v>42</v>
      </c>
      <c r="H666" t="s">
        <v>82</v>
      </c>
      <c r="I666" t="s">
        <v>44</v>
      </c>
      <c r="J666" t="s">
        <v>146</v>
      </c>
      <c r="K666" t="s">
        <v>43</v>
      </c>
      <c r="L666" t="s">
        <v>147</v>
      </c>
      <c r="M666" t="s">
        <v>48</v>
      </c>
      <c r="N666" t="s">
        <v>160</v>
      </c>
      <c r="P666" t="s">
        <v>144</v>
      </c>
      <c r="Q666">
        <v>12</v>
      </c>
      <c r="R666">
        <v>2</v>
      </c>
      <c r="S666">
        <v>7</v>
      </c>
      <c r="T666">
        <v>0</v>
      </c>
      <c r="U666">
        <v>3</v>
      </c>
      <c r="V666">
        <v>5</v>
      </c>
      <c r="W666">
        <v>90</v>
      </c>
      <c r="X666">
        <v>1283</v>
      </c>
      <c r="Y666">
        <v>5561</v>
      </c>
      <c r="Z666">
        <v>2127</v>
      </c>
      <c r="AA666">
        <v>5</v>
      </c>
      <c r="AB666" s="29">
        <v>44773</v>
      </c>
      <c r="AC666" s="29">
        <v>29853</v>
      </c>
      <c r="AD666" s="29">
        <v>43363</v>
      </c>
      <c r="AE666" s="29"/>
      <c r="AF666">
        <v>4</v>
      </c>
      <c r="AG666" t="s">
        <v>153</v>
      </c>
      <c r="AI666">
        <v>37</v>
      </c>
      <c r="AJ666">
        <v>1</v>
      </c>
      <c r="AK666" t="s">
        <v>162</v>
      </c>
      <c r="AL666" t="s">
        <v>77</v>
      </c>
      <c r="AM666">
        <f t="shared" si="50"/>
        <v>3</v>
      </c>
      <c r="AN666">
        <f t="shared" si="51"/>
        <v>9</v>
      </c>
      <c r="AO666" t="str">
        <f t="shared" si="52"/>
        <v/>
      </c>
      <c r="AP666" t="str">
        <f t="shared" si="53"/>
        <v/>
      </c>
      <c r="AQ666">
        <f t="shared" si="54"/>
        <v>2018</v>
      </c>
    </row>
    <row r="667" spans="1:43" x14ac:dyDescent="0.35">
      <c r="A667">
        <v>887</v>
      </c>
      <c r="B667">
        <v>49</v>
      </c>
      <c r="C667" t="s">
        <v>148</v>
      </c>
      <c r="D667" t="s">
        <v>145</v>
      </c>
      <c r="E667" t="s">
        <v>4</v>
      </c>
      <c r="F667" t="s">
        <v>38</v>
      </c>
      <c r="G667" t="s">
        <v>43</v>
      </c>
      <c r="H667" t="s">
        <v>81</v>
      </c>
      <c r="I667" t="s">
        <v>43</v>
      </c>
      <c r="J667" t="s">
        <v>146</v>
      </c>
      <c r="K667" t="s">
        <v>41</v>
      </c>
      <c r="L667" t="s">
        <v>147</v>
      </c>
      <c r="M667" t="s">
        <v>49</v>
      </c>
      <c r="N667" t="s">
        <v>160</v>
      </c>
      <c r="O667" t="s">
        <v>41</v>
      </c>
      <c r="P667" t="s">
        <v>148</v>
      </c>
      <c r="Q667">
        <v>16</v>
      </c>
      <c r="R667">
        <v>2</v>
      </c>
      <c r="S667">
        <v>7</v>
      </c>
      <c r="T667">
        <v>0</v>
      </c>
      <c r="U667">
        <v>2</v>
      </c>
      <c r="V667">
        <v>1</v>
      </c>
      <c r="W667">
        <v>36</v>
      </c>
      <c r="X667">
        <v>1418</v>
      </c>
      <c r="Y667">
        <v>10554</v>
      </c>
      <c r="Z667">
        <v>3580</v>
      </c>
      <c r="AA667">
        <v>2</v>
      </c>
      <c r="AB667" s="29">
        <v>44773</v>
      </c>
      <c r="AC667" s="29">
        <v>26994</v>
      </c>
      <c r="AD667" s="29">
        <v>43373</v>
      </c>
      <c r="AE667" s="29"/>
      <c r="AF667">
        <v>4</v>
      </c>
      <c r="AG667" t="s">
        <v>153</v>
      </c>
      <c r="AI667">
        <v>45</v>
      </c>
      <c r="AJ667">
        <v>1</v>
      </c>
      <c r="AK667" t="s">
        <v>162</v>
      </c>
      <c r="AL667" t="s">
        <v>77</v>
      </c>
      <c r="AM667">
        <f t="shared" si="50"/>
        <v>3</v>
      </c>
      <c r="AN667">
        <f t="shared" si="51"/>
        <v>9</v>
      </c>
      <c r="AO667" t="str">
        <f t="shared" si="52"/>
        <v/>
      </c>
      <c r="AP667" t="str">
        <f t="shared" si="53"/>
        <v/>
      </c>
      <c r="AQ667">
        <f t="shared" si="54"/>
        <v>2018</v>
      </c>
    </row>
    <row r="668" spans="1:43" x14ac:dyDescent="0.35">
      <c r="A668">
        <v>1446</v>
      </c>
      <c r="B668">
        <v>32</v>
      </c>
      <c r="C668" t="s">
        <v>148</v>
      </c>
      <c r="D668" t="s">
        <v>145</v>
      </c>
      <c r="E668" t="s">
        <v>158</v>
      </c>
      <c r="F668" t="s">
        <v>34</v>
      </c>
      <c r="G668" t="s">
        <v>44</v>
      </c>
      <c r="H668" t="s">
        <v>82</v>
      </c>
      <c r="I668" t="s">
        <v>43</v>
      </c>
      <c r="J668" t="s">
        <v>159</v>
      </c>
      <c r="K668" t="s">
        <v>44</v>
      </c>
      <c r="L668" t="s">
        <v>147</v>
      </c>
      <c r="M668" t="s">
        <v>48</v>
      </c>
      <c r="N668" t="s">
        <v>160</v>
      </c>
      <c r="O668" t="s">
        <v>41</v>
      </c>
      <c r="P668" t="s">
        <v>148</v>
      </c>
      <c r="Q668">
        <v>12</v>
      </c>
      <c r="R668">
        <v>4</v>
      </c>
      <c r="S668">
        <v>7</v>
      </c>
      <c r="T668">
        <v>0</v>
      </c>
      <c r="U668">
        <v>3</v>
      </c>
      <c r="V668">
        <v>7</v>
      </c>
      <c r="W668">
        <v>97</v>
      </c>
      <c r="X668">
        <v>601</v>
      </c>
      <c r="Y668">
        <v>23343</v>
      </c>
      <c r="Z668">
        <v>9204</v>
      </c>
      <c r="AA668">
        <v>3</v>
      </c>
      <c r="AB668" s="29">
        <v>44773</v>
      </c>
      <c r="AC668" s="29">
        <v>33424</v>
      </c>
      <c r="AD668" s="29">
        <v>43377</v>
      </c>
      <c r="AE668" s="29"/>
      <c r="AF668">
        <v>4</v>
      </c>
      <c r="AG668" t="s">
        <v>149</v>
      </c>
      <c r="AI668">
        <v>28</v>
      </c>
      <c r="AJ668">
        <v>1</v>
      </c>
      <c r="AK668" t="s">
        <v>162</v>
      </c>
      <c r="AL668" t="s">
        <v>77</v>
      </c>
      <c r="AM668">
        <f t="shared" si="50"/>
        <v>4</v>
      </c>
      <c r="AN668">
        <f t="shared" si="51"/>
        <v>10</v>
      </c>
      <c r="AO668" t="str">
        <f t="shared" si="52"/>
        <v/>
      </c>
      <c r="AP668" t="str">
        <f t="shared" si="53"/>
        <v/>
      </c>
      <c r="AQ668">
        <f t="shared" si="54"/>
        <v>2018</v>
      </c>
    </row>
    <row r="669" spans="1:43" x14ac:dyDescent="0.35">
      <c r="A669">
        <v>912</v>
      </c>
      <c r="B669">
        <v>29</v>
      </c>
      <c r="C669" t="s">
        <v>148</v>
      </c>
      <c r="D669" t="s">
        <v>145</v>
      </c>
      <c r="E669" t="s">
        <v>4</v>
      </c>
      <c r="F669" t="s">
        <v>35</v>
      </c>
      <c r="G669" t="s">
        <v>41</v>
      </c>
      <c r="H669" t="s">
        <v>81</v>
      </c>
      <c r="I669" t="s">
        <v>42</v>
      </c>
      <c r="J669" t="s">
        <v>155</v>
      </c>
      <c r="K669" t="s">
        <v>44</v>
      </c>
      <c r="L669" t="s">
        <v>147</v>
      </c>
      <c r="M669" t="s">
        <v>49</v>
      </c>
      <c r="N669" t="s">
        <v>96</v>
      </c>
      <c r="O669" t="s">
        <v>43</v>
      </c>
      <c r="P669" t="s">
        <v>148</v>
      </c>
      <c r="Q669">
        <v>14</v>
      </c>
      <c r="R669">
        <v>6</v>
      </c>
      <c r="S669">
        <v>8</v>
      </c>
      <c r="T669">
        <v>0</v>
      </c>
      <c r="U669">
        <v>3</v>
      </c>
      <c r="V669">
        <v>7</v>
      </c>
      <c r="W669">
        <v>62</v>
      </c>
      <c r="X669">
        <v>1086</v>
      </c>
      <c r="Y669">
        <v>6054</v>
      </c>
      <c r="Z669">
        <v>2532</v>
      </c>
      <c r="AA669">
        <v>5</v>
      </c>
      <c r="AB669" s="29">
        <v>44773</v>
      </c>
      <c r="AC669" s="29">
        <v>34363</v>
      </c>
      <c r="AD669" s="29">
        <v>43383</v>
      </c>
      <c r="AE669" s="29"/>
      <c r="AF669">
        <v>4</v>
      </c>
      <c r="AG669" t="s">
        <v>157</v>
      </c>
      <c r="AI669">
        <v>25</v>
      </c>
      <c r="AJ669">
        <v>1</v>
      </c>
      <c r="AK669" t="s">
        <v>162</v>
      </c>
      <c r="AL669" t="s">
        <v>77</v>
      </c>
      <c r="AM669">
        <f t="shared" si="50"/>
        <v>4</v>
      </c>
      <c r="AN669">
        <f t="shared" si="51"/>
        <v>10</v>
      </c>
      <c r="AO669" t="str">
        <f t="shared" si="52"/>
        <v/>
      </c>
      <c r="AP669" t="str">
        <f t="shared" si="53"/>
        <v/>
      </c>
      <c r="AQ669">
        <f t="shared" si="54"/>
        <v>2018</v>
      </c>
    </row>
    <row r="670" spans="1:43" x14ac:dyDescent="0.35">
      <c r="A670">
        <v>916</v>
      </c>
      <c r="B670">
        <v>28</v>
      </c>
      <c r="C670" t="s">
        <v>148</v>
      </c>
      <c r="D670" t="s">
        <v>145</v>
      </c>
      <c r="E670" t="s">
        <v>158</v>
      </c>
      <c r="F670" t="s">
        <v>37</v>
      </c>
      <c r="G670" t="s">
        <v>41</v>
      </c>
      <c r="H670" t="s">
        <v>82</v>
      </c>
      <c r="I670" t="s">
        <v>43</v>
      </c>
      <c r="J670" t="s">
        <v>159</v>
      </c>
      <c r="K670" t="s">
        <v>44</v>
      </c>
      <c r="L670" t="s">
        <v>147</v>
      </c>
      <c r="M670" t="s">
        <v>49</v>
      </c>
      <c r="N670" t="s">
        <v>95</v>
      </c>
      <c r="P670" t="s">
        <v>148</v>
      </c>
      <c r="Q670">
        <v>14</v>
      </c>
      <c r="R670">
        <v>1</v>
      </c>
      <c r="S670">
        <v>4</v>
      </c>
      <c r="T670">
        <v>0</v>
      </c>
      <c r="U670">
        <v>2</v>
      </c>
      <c r="V670">
        <v>5</v>
      </c>
      <c r="W670">
        <v>98</v>
      </c>
      <c r="X670">
        <v>821</v>
      </c>
      <c r="Y670">
        <v>24252</v>
      </c>
      <c r="Z670">
        <v>4908</v>
      </c>
      <c r="AA670">
        <v>3</v>
      </c>
      <c r="AB670" s="29">
        <v>44773</v>
      </c>
      <c r="AC670" s="29">
        <v>34772</v>
      </c>
      <c r="AD670" s="29">
        <v>43396</v>
      </c>
      <c r="AE670" s="29"/>
      <c r="AF670">
        <v>4</v>
      </c>
      <c r="AG670" t="s">
        <v>157</v>
      </c>
      <c r="AI670">
        <v>24</v>
      </c>
      <c r="AJ670">
        <v>1</v>
      </c>
      <c r="AK670" t="s">
        <v>162</v>
      </c>
      <c r="AL670" t="s">
        <v>78</v>
      </c>
      <c r="AM670">
        <f t="shared" si="50"/>
        <v>4</v>
      </c>
      <c r="AN670">
        <f t="shared" si="51"/>
        <v>10</v>
      </c>
      <c r="AO670" t="str">
        <f t="shared" si="52"/>
        <v/>
      </c>
      <c r="AP670" t="str">
        <f t="shared" si="53"/>
        <v/>
      </c>
      <c r="AQ670">
        <f t="shared" si="54"/>
        <v>2018</v>
      </c>
    </row>
    <row r="671" spans="1:43" x14ac:dyDescent="0.35">
      <c r="A671">
        <v>1739</v>
      </c>
      <c r="B671">
        <v>32</v>
      </c>
      <c r="C671" t="s">
        <v>148</v>
      </c>
      <c r="D671" t="s">
        <v>145</v>
      </c>
      <c r="E671" t="s">
        <v>158</v>
      </c>
      <c r="F671" t="s">
        <v>38</v>
      </c>
      <c r="G671" t="s">
        <v>44</v>
      </c>
      <c r="H671" t="s">
        <v>82</v>
      </c>
      <c r="I671" t="s">
        <v>41</v>
      </c>
      <c r="J671" t="s">
        <v>159</v>
      </c>
      <c r="K671" t="s">
        <v>43</v>
      </c>
      <c r="L671" t="s">
        <v>147</v>
      </c>
      <c r="M671" t="s">
        <v>47</v>
      </c>
      <c r="N671" t="s">
        <v>160</v>
      </c>
      <c r="O671" t="s">
        <v>41</v>
      </c>
      <c r="P671" t="s">
        <v>148</v>
      </c>
      <c r="Q671">
        <v>13</v>
      </c>
      <c r="R671">
        <v>3</v>
      </c>
      <c r="S671">
        <v>10</v>
      </c>
      <c r="T671">
        <v>0</v>
      </c>
      <c r="U671">
        <v>2</v>
      </c>
      <c r="V671">
        <v>19</v>
      </c>
      <c r="W671">
        <v>80</v>
      </c>
      <c r="X671">
        <v>371</v>
      </c>
      <c r="Y671">
        <v>3840</v>
      </c>
      <c r="Z671">
        <v>9610</v>
      </c>
      <c r="AA671">
        <v>2</v>
      </c>
      <c r="AB671" s="29">
        <v>44773</v>
      </c>
      <c r="AC671" s="29">
        <v>33182</v>
      </c>
      <c r="AD671" s="29">
        <v>43448</v>
      </c>
      <c r="AE671" s="29"/>
      <c r="AF671">
        <v>4</v>
      </c>
      <c r="AG671" t="s">
        <v>149</v>
      </c>
      <c r="AI671">
        <v>28</v>
      </c>
      <c r="AJ671">
        <v>1</v>
      </c>
      <c r="AK671" t="s">
        <v>162</v>
      </c>
      <c r="AL671" t="s">
        <v>77</v>
      </c>
      <c r="AM671">
        <f t="shared" si="50"/>
        <v>4</v>
      </c>
      <c r="AN671">
        <f t="shared" si="51"/>
        <v>12</v>
      </c>
      <c r="AO671" t="str">
        <f t="shared" si="52"/>
        <v/>
      </c>
      <c r="AP671" t="str">
        <f t="shared" si="53"/>
        <v/>
      </c>
      <c r="AQ671">
        <f t="shared" si="54"/>
        <v>2018</v>
      </c>
    </row>
    <row r="672" spans="1:43" x14ac:dyDescent="0.35">
      <c r="A672">
        <v>465</v>
      </c>
      <c r="B672">
        <v>23</v>
      </c>
      <c r="C672" t="s">
        <v>148</v>
      </c>
      <c r="D672" t="s">
        <v>145</v>
      </c>
      <c r="E672" t="s">
        <v>4</v>
      </c>
      <c r="F672" t="s">
        <v>35</v>
      </c>
      <c r="G672" t="s">
        <v>43</v>
      </c>
      <c r="H672" t="s">
        <v>82</v>
      </c>
      <c r="I672" t="s">
        <v>43</v>
      </c>
      <c r="J672" t="s">
        <v>146</v>
      </c>
      <c r="K672" t="s">
        <v>44</v>
      </c>
      <c r="L672" t="s">
        <v>147</v>
      </c>
      <c r="M672" t="s">
        <v>48</v>
      </c>
      <c r="N672" t="s">
        <v>96</v>
      </c>
      <c r="O672" t="s">
        <v>156</v>
      </c>
      <c r="P672" t="s">
        <v>148</v>
      </c>
      <c r="Q672">
        <v>12</v>
      </c>
      <c r="R672">
        <v>1</v>
      </c>
      <c r="S672">
        <v>4</v>
      </c>
      <c r="T672">
        <v>0</v>
      </c>
      <c r="U672">
        <v>2</v>
      </c>
      <c r="V672">
        <v>26</v>
      </c>
      <c r="W672">
        <v>83</v>
      </c>
      <c r="X672">
        <v>1309</v>
      </c>
      <c r="Y672">
        <v>16092</v>
      </c>
      <c r="Z672">
        <v>2904</v>
      </c>
      <c r="AA672">
        <v>2</v>
      </c>
      <c r="AB672" s="29">
        <v>44773</v>
      </c>
      <c r="AC672" s="29">
        <v>36515</v>
      </c>
      <c r="AD672" s="29">
        <v>43452</v>
      </c>
      <c r="AE672" s="29"/>
      <c r="AF672">
        <v>4</v>
      </c>
      <c r="AG672" t="s">
        <v>157</v>
      </c>
      <c r="AI672">
        <v>19</v>
      </c>
      <c r="AJ672">
        <v>2</v>
      </c>
      <c r="AK672" t="s">
        <v>162</v>
      </c>
      <c r="AL672" t="s">
        <v>78</v>
      </c>
      <c r="AM672">
        <f t="shared" si="50"/>
        <v>4</v>
      </c>
      <c r="AN672">
        <f t="shared" si="51"/>
        <v>12</v>
      </c>
      <c r="AO672" t="str">
        <f t="shared" si="52"/>
        <v/>
      </c>
      <c r="AP672" t="str">
        <f t="shared" si="53"/>
        <v/>
      </c>
      <c r="AQ672">
        <f t="shared" si="54"/>
        <v>2018</v>
      </c>
    </row>
    <row r="673" spans="1:43" x14ac:dyDescent="0.35">
      <c r="A673">
        <v>854</v>
      </c>
      <c r="B673">
        <v>25</v>
      </c>
      <c r="C673" t="s">
        <v>148</v>
      </c>
      <c r="D673" t="s">
        <v>145</v>
      </c>
      <c r="E673" t="s">
        <v>4</v>
      </c>
      <c r="F673" t="s">
        <v>35</v>
      </c>
      <c r="G673" t="s">
        <v>41</v>
      </c>
      <c r="H673" t="s">
        <v>82</v>
      </c>
      <c r="I673" t="s">
        <v>44</v>
      </c>
      <c r="J673" t="s">
        <v>146</v>
      </c>
      <c r="K673" t="s">
        <v>41</v>
      </c>
      <c r="L673" t="s">
        <v>147</v>
      </c>
      <c r="M673" t="s">
        <v>48</v>
      </c>
      <c r="N673" t="s">
        <v>95</v>
      </c>
      <c r="P673" t="s">
        <v>148</v>
      </c>
      <c r="Q673">
        <v>13</v>
      </c>
      <c r="R673">
        <v>7</v>
      </c>
      <c r="S673">
        <v>6</v>
      </c>
      <c r="T673">
        <v>0</v>
      </c>
      <c r="U673">
        <v>1</v>
      </c>
      <c r="V673">
        <v>2</v>
      </c>
      <c r="W673">
        <v>65</v>
      </c>
      <c r="X673">
        <v>180</v>
      </c>
      <c r="Y673">
        <v>21632</v>
      </c>
      <c r="Z673">
        <v>3424</v>
      </c>
      <c r="AA673">
        <v>3</v>
      </c>
      <c r="AB673" s="29">
        <v>44773</v>
      </c>
      <c r="AC673" s="29">
        <v>35678</v>
      </c>
      <c r="AD673" s="29">
        <v>43486</v>
      </c>
      <c r="AE673" s="29"/>
      <c r="AF673">
        <v>4</v>
      </c>
      <c r="AG673" t="s">
        <v>157</v>
      </c>
      <c r="AI673">
        <v>21</v>
      </c>
      <c r="AJ673">
        <v>1</v>
      </c>
      <c r="AK673" t="s">
        <v>162</v>
      </c>
      <c r="AL673" t="s">
        <v>77</v>
      </c>
      <c r="AM673">
        <f t="shared" si="50"/>
        <v>1</v>
      </c>
      <c r="AN673">
        <f t="shared" si="51"/>
        <v>1</v>
      </c>
      <c r="AO673" t="str">
        <f t="shared" si="52"/>
        <v/>
      </c>
      <c r="AP673" t="str">
        <f t="shared" si="53"/>
        <v/>
      </c>
      <c r="AQ673">
        <f t="shared" si="54"/>
        <v>2019</v>
      </c>
    </row>
    <row r="674" spans="1:43" x14ac:dyDescent="0.35">
      <c r="A674">
        <v>815</v>
      </c>
      <c r="B674">
        <v>50</v>
      </c>
      <c r="C674" t="s">
        <v>148</v>
      </c>
      <c r="D674" t="s">
        <v>145</v>
      </c>
      <c r="E674" t="s">
        <v>4</v>
      </c>
      <c r="F674" t="s">
        <v>38</v>
      </c>
      <c r="G674" t="s">
        <v>43</v>
      </c>
      <c r="H674" t="s">
        <v>82</v>
      </c>
      <c r="I674" t="s">
        <v>43</v>
      </c>
      <c r="J674" t="s">
        <v>173</v>
      </c>
      <c r="K674" t="s">
        <v>43</v>
      </c>
      <c r="L674" t="s">
        <v>147</v>
      </c>
      <c r="M674" t="s">
        <v>49</v>
      </c>
      <c r="N674" t="s">
        <v>160</v>
      </c>
      <c r="P674" t="s">
        <v>148</v>
      </c>
      <c r="Q674">
        <v>16</v>
      </c>
      <c r="R674">
        <v>5</v>
      </c>
      <c r="S674">
        <v>30</v>
      </c>
      <c r="T674">
        <v>0</v>
      </c>
      <c r="U674">
        <v>3</v>
      </c>
      <c r="V674">
        <v>2</v>
      </c>
      <c r="W674">
        <v>64</v>
      </c>
      <c r="X674">
        <v>691</v>
      </c>
      <c r="Y674">
        <v>6881</v>
      </c>
      <c r="Z674">
        <v>17639</v>
      </c>
      <c r="AA674">
        <v>3</v>
      </c>
      <c r="AB674" s="29">
        <v>44773</v>
      </c>
      <c r="AC674" s="29">
        <v>26801</v>
      </c>
      <c r="AD674" s="29">
        <v>43522</v>
      </c>
      <c r="AE674" s="29"/>
      <c r="AF674">
        <v>3</v>
      </c>
      <c r="AG674" t="s">
        <v>167</v>
      </c>
      <c r="AI674">
        <v>47</v>
      </c>
      <c r="AJ674">
        <v>1</v>
      </c>
      <c r="AK674" t="s">
        <v>170</v>
      </c>
      <c r="AL674" t="s">
        <v>78</v>
      </c>
      <c r="AM674">
        <f t="shared" si="50"/>
        <v>1</v>
      </c>
      <c r="AN674">
        <f t="shared" si="51"/>
        <v>2</v>
      </c>
      <c r="AO674" t="str">
        <f t="shared" si="52"/>
        <v/>
      </c>
      <c r="AP674" t="str">
        <f t="shared" si="53"/>
        <v/>
      </c>
      <c r="AQ674">
        <f t="shared" si="54"/>
        <v>2019</v>
      </c>
    </row>
    <row r="675" spans="1:43" x14ac:dyDescent="0.35">
      <c r="A675">
        <v>2053</v>
      </c>
      <c r="B675">
        <v>29</v>
      </c>
      <c r="C675" t="s">
        <v>148</v>
      </c>
      <c r="D675" t="s">
        <v>145</v>
      </c>
      <c r="E675" t="s">
        <v>4</v>
      </c>
      <c r="F675" t="s">
        <v>36</v>
      </c>
      <c r="G675" t="s">
        <v>44</v>
      </c>
      <c r="H675" t="s">
        <v>82</v>
      </c>
      <c r="I675" t="s">
        <v>42</v>
      </c>
      <c r="J675" t="s">
        <v>155</v>
      </c>
      <c r="K675" t="s">
        <v>42</v>
      </c>
      <c r="L675" t="s">
        <v>147</v>
      </c>
      <c r="M675" t="s">
        <v>49</v>
      </c>
      <c r="N675" t="s">
        <v>160</v>
      </c>
      <c r="O675" t="s">
        <v>41</v>
      </c>
      <c r="P675" t="s">
        <v>144</v>
      </c>
      <c r="Q675">
        <v>13</v>
      </c>
      <c r="R675">
        <v>4</v>
      </c>
      <c r="S675">
        <v>10</v>
      </c>
      <c r="T675">
        <v>0</v>
      </c>
      <c r="U675">
        <v>3</v>
      </c>
      <c r="V675">
        <v>13</v>
      </c>
      <c r="W675">
        <v>46</v>
      </c>
      <c r="X675">
        <v>1378</v>
      </c>
      <c r="Y675">
        <v>23679</v>
      </c>
      <c r="Z675">
        <v>4025</v>
      </c>
      <c r="AA675">
        <v>2</v>
      </c>
      <c r="AB675" s="29">
        <v>44773</v>
      </c>
      <c r="AC675" s="29">
        <v>34376</v>
      </c>
      <c r="AD675" s="29">
        <v>43542</v>
      </c>
      <c r="AE675" s="29"/>
      <c r="AF675">
        <v>3</v>
      </c>
      <c r="AG675" t="s">
        <v>157</v>
      </c>
      <c r="AI675">
        <v>26</v>
      </c>
      <c r="AJ675">
        <v>2</v>
      </c>
      <c r="AK675" t="s">
        <v>170</v>
      </c>
      <c r="AL675" t="s">
        <v>77</v>
      </c>
      <c r="AM675">
        <f t="shared" si="50"/>
        <v>1</v>
      </c>
      <c r="AN675">
        <f t="shared" si="51"/>
        <v>3</v>
      </c>
      <c r="AO675" t="str">
        <f t="shared" si="52"/>
        <v/>
      </c>
      <c r="AP675" t="str">
        <f t="shared" si="53"/>
        <v/>
      </c>
      <c r="AQ675">
        <f t="shared" si="54"/>
        <v>2019</v>
      </c>
    </row>
    <row r="676" spans="1:43" x14ac:dyDescent="0.35">
      <c r="A676">
        <v>126</v>
      </c>
      <c r="B676">
        <v>54</v>
      </c>
      <c r="C676" t="s">
        <v>148</v>
      </c>
      <c r="D676" t="s">
        <v>145</v>
      </c>
      <c r="E676" t="s">
        <v>4</v>
      </c>
      <c r="F676" t="s">
        <v>37</v>
      </c>
      <c r="G676" t="s">
        <v>41</v>
      </c>
      <c r="H676" t="s">
        <v>81</v>
      </c>
      <c r="I676" t="s">
        <v>43</v>
      </c>
      <c r="J676" t="s">
        <v>173</v>
      </c>
      <c r="K676" t="s">
        <v>43</v>
      </c>
      <c r="L676" t="s">
        <v>147</v>
      </c>
      <c r="M676" t="s">
        <v>47</v>
      </c>
      <c r="N676" t="s">
        <v>160</v>
      </c>
      <c r="O676" t="s">
        <v>41</v>
      </c>
      <c r="P676" t="s">
        <v>148</v>
      </c>
      <c r="Q676">
        <v>12</v>
      </c>
      <c r="R676">
        <v>9</v>
      </c>
      <c r="S676">
        <v>16</v>
      </c>
      <c r="T676">
        <v>0</v>
      </c>
      <c r="U676">
        <v>3</v>
      </c>
      <c r="V676">
        <v>2</v>
      </c>
      <c r="W676">
        <v>60</v>
      </c>
      <c r="X676">
        <v>1217</v>
      </c>
      <c r="Y676">
        <v>24001</v>
      </c>
      <c r="Z676">
        <v>13549</v>
      </c>
      <c r="AA676">
        <v>5</v>
      </c>
      <c r="AB676" s="29">
        <v>44773</v>
      </c>
      <c r="AC676" s="29">
        <v>25247</v>
      </c>
      <c r="AD676" s="29">
        <v>43549</v>
      </c>
      <c r="AE676" s="29"/>
      <c r="AF676">
        <v>3</v>
      </c>
      <c r="AG676" t="s">
        <v>167</v>
      </c>
      <c r="AI676">
        <v>51</v>
      </c>
      <c r="AJ676">
        <v>2</v>
      </c>
      <c r="AK676" t="s">
        <v>170</v>
      </c>
      <c r="AL676" t="s">
        <v>77</v>
      </c>
      <c r="AM676">
        <f t="shared" si="50"/>
        <v>1</v>
      </c>
      <c r="AN676">
        <f t="shared" si="51"/>
        <v>3</v>
      </c>
      <c r="AO676" t="str">
        <f t="shared" si="52"/>
        <v/>
      </c>
      <c r="AP676" t="str">
        <f t="shared" si="53"/>
        <v/>
      </c>
      <c r="AQ676">
        <f t="shared" si="54"/>
        <v>2019</v>
      </c>
    </row>
    <row r="677" spans="1:43" x14ac:dyDescent="0.35">
      <c r="A677">
        <v>288</v>
      </c>
      <c r="B677">
        <v>46</v>
      </c>
      <c r="C677" t="s">
        <v>148</v>
      </c>
      <c r="D677" t="s">
        <v>145</v>
      </c>
      <c r="E677" t="s">
        <v>4</v>
      </c>
      <c r="F677" t="s">
        <v>37</v>
      </c>
      <c r="G677" t="s">
        <v>44</v>
      </c>
      <c r="H677" t="s">
        <v>82</v>
      </c>
      <c r="I677" t="s">
        <v>43</v>
      </c>
      <c r="J677" t="s">
        <v>161</v>
      </c>
      <c r="K677" t="s">
        <v>41</v>
      </c>
      <c r="L677" t="s">
        <v>147</v>
      </c>
      <c r="M677" t="s">
        <v>49</v>
      </c>
      <c r="N677" t="s">
        <v>96</v>
      </c>
      <c r="O677" t="s">
        <v>41</v>
      </c>
      <c r="P677" t="s">
        <v>148</v>
      </c>
      <c r="Q677">
        <v>16</v>
      </c>
      <c r="R677">
        <v>7</v>
      </c>
      <c r="S677">
        <v>17</v>
      </c>
      <c r="T677">
        <v>0</v>
      </c>
      <c r="U677">
        <v>3</v>
      </c>
      <c r="V677">
        <v>1</v>
      </c>
      <c r="W677">
        <v>97</v>
      </c>
      <c r="X677">
        <v>644</v>
      </c>
      <c r="Y677">
        <v>12368</v>
      </c>
      <c r="Z677">
        <v>9396</v>
      </c>
      <c r="AA677">
        <v>3</v>
      </c>
      <c r="AB677" s="29">
        <v>44773</v>
      </c>
      <c r="AC677" s="29">
        <v>28180</v>
      </c>
      <c r="AD677" s="29">
        <v>43559</v>
      </c>
      <c r="AE677" s="29"/>
      <c r="AF677">
        <v>3</v>
      </c>
      <c r="AG677" t="s">
        <v>153</v>
      </c>
      <c r="AI677">
        <v>43</v>
      </c>
      <c r="AJ677">
        <v>1</v>
      </c>
      <c r="AK677" t="s">
        <v>170</v>
      </c>
      <c r="AL677" t="s">
        <v>77</v>
      </c>
      <c r="AM677">
        <f t="shared" si="50"/>
        <v>2</v>
      </c>
      <c r="AN677">
        <f t="shared" si="51"/>
        <v>4</v>
      </c>
      <c r="AO677" t="str">
        <f t="shared" si="52"/>
        <v/>
      </c>
      <c r="AP677" t="str">
        <f t="shared" si="53"/>
        <v/>
      </c>
      <c r="AQ677">
        <f t="shared" si="54"/>
        <v>2019</v>
      </c>
    </row>
    <row r="678" spans="1:43" x14ac:dyDescent="0.35">
      <c r="A678">
        <v>1211</v>
      </c>
      <c r="B678">
        <v>30</v>
      </c>
      <c r="C678" t="s">
        <v>148</v>
      </c>
      <c r="D678" t="s">
        <v>145</v>
      </c>
      <c r="E678" t="s">
        <v>158</v>
      </c>
      <c r="F678" t="s">
        <v>37</v>
      </c>
      <c r="G678" t="s">
        <v>43</v>
      </c>
      <c r="H678" t="s">
        <v>82</v>
      </c>
      <c r="I678" t="s">
        <v>43</v>
      </c>
      <c r="J678" t="s">
        <v>159</v>
      </c>
      <c r="K678" t="s">
        <v>41</v>
      </c>
      <c r="L678" t="s">
        <v>147</v>
      </c>
      <c r="M678" t="s">
        <v>49</v>
      </c>
      <c r="N678" t="s">
        <v>96</v>
      </c>
      <c r="O678" t="s">
        <v>43</v>
      </c>
      <c r="P678" t="s">
        <v>148</v>
      </c>
      <c r="Q678">
        <v>19</v>
      </c>
      <c r="R678">
        <v>8</v>
      </c>
      <c r="S678">
        <v>8</v>
      </c>
      <c r="T678">
        <v>0</v>
      </c>
      <c r="U678">
        <v>3</v>
      </c>
      <c r="V678">
        <v>29</v>
      </c>
      <c r="W678">
        <v>61</v>
      </c>
      <c r="X678">
        <v>1329</v>
      </c>
      <c r="Y678">
        <v>13192</v>
      </c>
      <c r="Z678">
        <v>4115</v>
      </c>
      <c r="AA678">
        <v>3</v>
      </c>
      <c r="AB678" s="29">
        <v>44773</v>
      </c>
      <c r="AC678" s="29">
        <v>33848</v>
      </c>
      <c r="AD678" s="29">
        <v>43592</v>
      </c>
      <c r="AE678" s="29"/>
      <c r="AF678">
        <v>3</v>
      </c>
      <c r="AG678" t="s">
        <v>149</v>
      </c>
      <c r="AI678">
        <v>27</v>
      </c>
      <c r="AJ678">
        <v>1</v>
      </c>
      <c r="AK678" t="s">
        <v>170</v>
      </c>
      <c r="AL678" t="s">
        <v>78</v>
      </c>
      <c r="AM678">
        <f t="shared" si="50"/>
        <v>2</v>
      </c>
      <c r="AN678">
        <f t="shared" si="51"/>
        <v>5</v>
      </c>
      <c r="AO678" t="str">
        <f t="shared" si="52"/>
        <v/>
      </c>
      <c r="AP678" t="str">
        <f t="shared" si="53"/>
        <v/>
      </c>
      <c r="AQ678">
        <f t="shared" si="54"/>
        <v>2019</v>
      </c>
    </row>
    <row r="679" spans="1:43" x14ac:dyDescent="0.35">
      <c r="A679">
        <v>1217</v>
      </c>
      <c r="B679">
        <v>46</v>
      </c>
      <c r="C679" t="s">
        <v>148</v>
      </c>
      <c r="D679" t="s">
        <v>145</v>
      </c>
      <c r="E679" t="s">
        <v>4</v>
      </c>
      <c r="F679" t="s">
        <v>36</v>
      </c>
      <c r="G679" t="s">
        <v>44</v>
      </c>
      <c r="H679" t="s">
        <v>82</v>
      </c>
      <c r="I679" t="s">
        <v>43</v>
      </c>
      <c r="J679" t="s">
        <v>173</v>
      </c>
      <c r="K679" t="s">
        <v>42</v>
      </c>
      <c r="L679" t="s">
        <v>147</v>
      </c>
      <c r="M679" t="s">
        <v>49</v>
      </c>
      <c r="N679" t="s">
        <v>160</v>
      </c>
      <c r="O679" t="s">
        <v>41</v>
      </c>
      <c r="P679" t="s">
        <v>148</v>
      </c>
      <c r="Q679">
        <v>11</v>
      </c>
      <c r="R679">
        <v>5</v>
      </c>
      <c r="S679">
        <v>25</v>
      </c>
      <c r="T679">
        <v>0</v>
      </c>
      <c r="U679">
        <v>3</v>
      </c>
      <c r="V679">
        <v>15</v>
      </c>
      <c r="W679">
        <v>52</v>
      </c>
      <c r="X679">
        <v>1450</v>
      </c>
      <c r="Y679">
        <v>10849</v>
      </c>
      <c r="Z679">
        <v>19081</v>
      </c>
      <c r="AA679">
        <v>2</v>
      </c>
      <c r="AB679" s="29">
        <v>44773</v>
      </c>
      <c r="AC679" s="29">
        <v>28275</v>
      </c>
      <c r="AD679" s="29">
        <v>43620</v>
      </c>
      <c r="AE679" s="29"/>
      <c r="AF679">
        <v>3</v>
      </c>
      <c r="AG679" t="s">
        <v>153</v>
      </c>
      <c r="AI679">
        <v>43</v>
      </c>
      <c r="AJ679">
        <v>1</v>
      </c>
      <c r="AK679" t="s">
        <v>170</v>
      </c>
      <c r="AL679" t="s">
        <v>77</v>
      </c>
      <c r="AM679">
        <f t="shared" si="50"/>
        <v>2</v>
      </c>
      <c r="AN679">
        <f t="shared" si="51"/>
        <v>6</v>
      </c>
      <c r="AO679" t="str">
        <f t="shared" si="52"/>
        <v/>
      </c>
      <c r="AP679" t="str">
        <f t="shared" si="53"/>
        <v/>
      </c>
      <c r="AQ679">
        <f t="shared" si="54"/>
        <v>2019</v>
      </c>
    </row>
    <row r="680" spans="1:43" x14ac:dyDescent="0.35">
      <c r="A680">
        <v>910</v>
      </c>
      <c r="B680">
        <v>33</v>
      </c>
      <c r="C680" t="s">
        <v>148</v>
      </c>
      <c r="D680" t="s">
        <v>145</v>
      </c>
      <c r="E680" t="s">
        <v>168</v>
      </c>
      <c r="F680" t="s">
        <v>36</v>
      </c>
      <c r="G680" t="s">
        <v>44</v>
      </c>
      <c r="H680" t="s">
        <v>82</v>
      </c>
      <c r="I680" t="s">
        <v>43</v>
      </c>
      <c r="J680" t="s">
        <v>168</v>
      </c>
      <c r="K680" t="s">
        <v>42</v>
      </c>
      <c r="L680" t="s">
        <v>147</v>
      </c>
      <c r="M680" t="s">
        <v>50</v>
      </c>
      <c r="N680" t="s">
        <v>96</v>
      </c>
      <c r="O680" t="s">
        <v>41</v>
      </c>
      <c r="P680" t="s">
        <v>144</v>
      </c>
      <c r="Q680">
        <v>11</v>
      </c>
      <c r="R680">
        <v>3</v>
      </c>
      <c r="S680">
        <v>7</v>
      </c>
      <c r="T680">
        <v>0</v>
      </c>
      <c r="U680">
        <v>3</v>
      </c>
      <c r="V680">
        <v>3</v>
      </c>
      <c r="W680">
        <v>57</v>
      </c>
      <c r="X680">
        <v>1075</v>
      </c>
      <c r="Y680">
        <v>22650</v>
      </c>
      <c r="Z680">
        <v>2277</v>
      </c>
      <c r="AA680">
        <v>4</v>
      </c>
      <c r="AB680" s="29">
        <v>44773</v>
      </c>
      <c r="AC680" s="29">
        <v>32904</v>
      </c>
      <c r="AD680" s="29">
        <v>43643</v>
      </c>
      <c r="AE680" s="29"/>
      <c r="AF680">
        <v>3</v>
      </c>
      <c r="AG680" t="s">
        <v>149</v>
      </c>
      <c r="AI680">
        <v>30</v>
      </c>
      <c r="AJ680">
        <v>2</v>
      </c>
      <c r="AK680" t="s">
        <v>170</v>
      </c>
      <c r="AL680" t="s">
        <v>77</v>
      </c>
      <c r="AM680">
        <f t="shared" si="50"/>
        <v>2</v>
      </c>
      <c r="AN680">
        <f t="shared" si="51"/>
        <v>6</v>
      </c>
      <c r="AO680" t="str">
        <f t="shared" si="52"/>
        <v/>
      </c>
      <c r="AP680" t="str">
        <f t="shared" si="53"/>
        <v/>
      </c>
      <c r="AQ680">
        <f t="shared" si="54"/>
        <v>2019</v>
      </c>
    </row>
    <row r="681" spans="1:43" x14ac:dyDescent="0.35">
      <c r="A681">
        <v>1915</v>
      </c>
      <c r="B681">
        <v>34</v>
      </c>
      <c r="C681" t="s">
        <v>148</v>
      </c>
      <c r="D681" t="s">
        <v>145</v>
      </c>
      <c r="E681" t="s">
        <v>158</v>
      </c>
      <c r="F681" t="s">
        <v>35</v>
      </c>
      <c r="G681" t="s">
        <v>44</v>
      </c>
      <c r="H681" t="s">
        <v>81</v>
      </c>
      <c r="I681" t="s">
        <v>42</v>
      </c>
      <c r="J681" t="s">
        <v>159</v>
      </c>
      <c r="K681" t="s">
        <v>44</v>
      </c>
      <c r="L681" t="s">
        <v>147</v>
      </c>
      <c r="M681" t="s">
        <v>48</v>
      </c>
      <c r="N681" t="s">
        <v>160</v>
      </c>
      <c r="P681" t="s">
        <v>144</v>
      </c>
      <c r="Q681">
        <v>12</v>
      </c>
      <c r="R681">
        <v>3</v>
      </c>
      <c r="S681">
        <v>9</v>
      </c>
      <c r="T681">
        <v>0</v>
      </c>
      <c r="U681">
        <v>1</v>
      </c>
      <c r="V681">
        <v>3</v>
      </c>
      <c r="W681">
        <v>75</v>
      </c>
      <c r="X681">
        <v>735</v>
      </c>
      <c r="Y681">
        <v>16495</v>
      </c>
      <c r="Z681">
        <v>8103</v>
      </c>
      <c r="AA681">
        <v>3</v>
      </c>
      <c r="AB681" s="29">
        <v>44773</v>
      </c>
      <c r="AC681" s="29">
        <v>32706</v>
      </c>
      <c r="AD681" s="29">
        <v>43651</v>
      </c>
      <c r="AE681" s="29"/>
      <c r="AF681">
        <v>3</v>
      </c>
      <c r="AG681" t="s">
        <v>149</v>
      </c>
      <c r="AI681">
        <v>31</v>
      </c>
      <c r="AJ681">
        <v>1</v>
      </c>
      <c r="AK681" t="s">
        <v>170</v>
      </c>
      <c r="AL681" t="s">
        <v>77</v>
      </c>
      <c r="AM681">
        <f t="shared" si="50"/>
        <v>3</v>
      </c>
      <c r="AN681">
        <f t="shared" si="51"/>
        <v>7</v>
      </c>
      <c r="AO681" t="str">
        <f t="shared" si="52"/>
        <v/>
      </c>
      <c r="AP681" t="str">
        <f t="shared" si="53"/>
        <v/>
      </c>
      <c r="AQ681">
        <f t="shared" si="54"/>
        <v>2019</v>
      </c>
    </row>
    <row r="682" spans="1:43" x14ac:dyDescent="0.35">
      <c r="A682">
        <v>827</v>
      </c>
      <c r="B682">
        <v>42</v>
      </c>
      <c r="C682" t="s">
        <v>148</v>
      </c>
      <c r="D682" t="s">
        <v>145</v>
      </c>
      <c r="E682" t="s">
        <v>4</v>
      </c>
      <c r="F682" t="s">
        <v>36</v>
      </c>
      <c r="G682" t="s">
        <v>44</v>
      </c>
      <c r="H682" t="s">
        <v>81</v>
      </c>
      <c r="I682" t="s">
        <v>42</v>
      </c>
      <c r="J682" t="s">
        <v>165</v>
      </c>
      <c r="K682" t="s">
        <v>44</v>
      </c>
      <c r="L682" t="s">
        <v>147</v>
      </c>
      <c r="M682" t="s">
        <v>49</v>
      </c>
      <c r="N682" t="s">
        <v>160</v>
      </c>
      <c r="O682" t="s">
        <v>41</v>
      </c>
      <c r="P682" t="s">
        <v>144</v>
      </c>
      <c r="Q682">
        <v>13</v>
      </c>
      <c r="R682">
        <v>9</v>
      </c>
      <c r="S682">
        <v>8</v>
      </c>
      <c r="T682">
        <v>0</v>
      </c>
      <c r="U682">
        <v>2</v>
      </c>
      <c r="V682">
        <v>1</v>
      </c>
      <c r="W682">
        <v>43</v>
      </c>
      <c r="X682">
        <v>932</v>
      </c>
      <c r="Y682">
        <v>4051</v>
      </c>
      <c r="Z682">
        <v>6062</v>
      </c>
      <c r="AA682">
        <v>4</v>
      </c>
      <c r="AB682" s="29">
        <v>44773</v>
      </c>
      <c r="AC682" s="29">
        <v>29504</v>
      </c>
      <c r="AD682" s="29">
        <v>43658</v>
      </c>
      <c r="AE682" s="29"/>
      <c r="AF682">
        <v>3</v>
      </c>
      <c r="AG682" t="s">
        <v>153</v>
      </c>
      <c r="AI682">
        <v>39</v>
      </c>
      <c r="AJ682">
        <v>2</v>
      </c>
      <c r="AK682" t="s">
        <v>170</v>
      </c>
      <c r="AL682" t="s">
        <v>77</v>
      </c>
      <c r="AM682">
        <f t="shared" si="50"/>
        <v>3</v>
      </c>
      <c r="AN682">
        <f t="shared" si="51"/>
        <v>7</v>
      </c>
      <c r="AO682" t="str">
        <f t="shared" si="52"/>
        <v/>
      </c>
      <c r="AP682" t="str">
        <f t="shared" si="53"/>
        <v/>
      </c>
      <c r="AQ682">
        <f t="shared" si="54"/>
        <v>2019</v>
      </c>
    </row>
    <row r="683" spans="1:43" x14ac:dyDescent="0.35">
      <c r="A683">
        <v>1647</v>
      </c>
      <c r="B683">
        <v>27</v>
      </c>
      <c r="C683" t="s">
        <v>148</v>
      </c>
      <c r="D683" t="s">
        <v>145</v>
      </c>
      <c r="E683" t="s">
        <v>4</v>
      </c>
      <c r="F683" t="s">
        <v>38</v>
      </c>
      <c r="G683" t="s">
        <v>42</v>
      </c>
      <c r="H683" t="s">
        <v>81</v>
      </c>
      <c r="I683" t="s">
        <v>44</v>
      </c>
      <c r="J683" t="s">
        <v>146</v>
      </c>
      <c r="K683" t="s">
        <v>43</v>
      </c>
      <c r="L683" t="s">
        <v>147</v>
      </c>
      <c r="M683" t="s">
        <v>49</v>
      </c>
      <c r="N683" t="s">
        <v>160</v>
      </c>
      <c r="P683" t="s">
        <v>148</v>
      </c>
      <c r="Q683">
        <v>17</v>
      </c>
      <c r="R683">
        <v>7</v>
      </c>
      <c r="S683">
        <v>5</v>
      </c>
      <c r="T683">
        <v>0</v>
      </c>
      <c r="U683">
        <v>2</v>
      </c>
      <c r="V683">
        <v>8</v>
      </c>
      <c r="W683">
        <v>86</v>
      </c>
      <c r="X683">
        <v>486</v>
      </c>
      <c r="Y683">
        <v>22490</v>
      </c>
      <c r="Z683">
        <v>3517</v>
      </c>
      <c r="AA683">
        <v>0</v>
      </c>
      <c r="AB683" s="29">
        <v>44773</v>
      </c>
      <c r="AC683" s="29">
        <v>35196</v>
      </c>
      <c r="AD683" s="29">
        <v>43682</v>
      </c>
      <c r="AE683" s="29"/>
      <c r="AF683">
        <v>3</v>
      </c>
      <c r="AG683" t="s">
        <v>157</v>
      </c>
      <c r="AI683">
        <v>24</v>
      </c>
      <c r="AJ683">
        <v>2</v>
      </c>
      <c r="AK683" t="s">
        <v>170</v>
      </c>
      <c r="AL683" t="s">
        <v>77</v>
      </c>
      <c r="AM683">
        <f t="shared" si="50"/>
        <v>3</v>
      </c>
      <c r="AN683">
        <f t="shared" si="51"/>
        <v>8</v>
      </c>
      <c r="AO683" t="str">
        <f t="shared" si="52"/>
        <v/>
      </c>
      <c r="AP683" t="str">
        <f t="shared" si="53"/>
        <v/>
      </c>
      <c r="AQ683">
        <f t="shared" si="54"/>
        <v>2019</v>
      </c>
    </row>
    <row r="684" spans="1:43" x14ac:dyDescent="0.35">
      <c r="A684">
        <v>1682</v>
      </c>
      <c r="B684">
        <v>36</v>
      </c>
      <c r="C684" t="s">
        <v>148</v>
      </c>
      <c r="D684" t="s">
        <v>145</v>
      </c>
      <c r="E684" t="s">
        <v>4</v>
      </c>
      <c r="F684" t="s">
        <v>37</v>
      </c>
      <c r="G684" t="s">
        <v>41</v>
      </c>
      <c r="H684" t="s">
        <v>82</v>
      </c>
      <c r="I684" t="s">
        <v>43</v>
      </c>
      <c r="J684" t="s">
        <v>161</v>
      </c>
      <c r="K684" t="s">
        <v>43</v>
      </c>
      <c r="L684" t="s">
        <v>147</v>
      </c>
      <c r="M684" t="s">
        <v>48</v>
      </c>
      <c r="N684" t="s">
        <v>160</v>
      </c>
      <c r="O684" t="s">
        <v>156</v>
      </c>
      <c r="P684" t="s">
        <v>148</v>
      </c>
      <c r="Q684">
        <v>14</v>
      </c>
      <c r="R684">
        <v>6</v>
      </c>
      <c r="S684">
        <v>10</v>
      </c>
      <c r="T684">
        <v>0</v>
      </c>
      <c r="U684">
        <v>2</v>
      </c>
      <c r="V684">
        <v>26</v>
      </c>
      <c r="W684">
        <v>80</v>
      </c>
      <c r="X684">
        <v>1351</v>
      </c>
      <c r="Y684">
        <v>7419</v>
      </c>
      <c r="Z684">
        <v>5347</v>
      </c>
      <c r="AA684">
        <v>2</v>
      </c>
      <c r="AB684" s="29">
        <v>44773</v>
      </c>
      <c r="AC684" s="29">
        <v>31824</v>
      </c>
      <c r="AD684" s="29">
        <v>43698</v>
      </c>
      <c r="AE684" s="29"/>
      <c r="AF684">
        <v>3</v>
      </c>
      <c r="AG684" t="s">
        <v>149</v>
      </c>
      <c r="AI684">
        <v>33</v>
      </c>
      <c r="AJ684">
        <v>1</v>
      </c>
      <c r="AK684" t="s">
        <v>170</v>
      </c>
      <c r="AL684" t="s">
        <v>77</v>
      </c>
      <c r="AM684">
        <f t="shared" si="50"/>
        <v>3</v>
      </c>
      <c r="AN684">
        <f t="shared" si="51"/>
        <v>8</v>
      </c>
      <c r="AO684" t="str">
        <f t="shared" si="52"/>
        <v/>
      </c>
      <c r="AP684" t="str">
        <f t="shared" si="53"/>
        <v/>
      </c>
      <c r="AQ684">
        <f t="shared" si="54"/>
        <v>2019</v>
      </c>
    </row>
    <row r="685" spans="1:43" x14ac:dyDescent="0.35">
      <c r="A685">
        <v>340</v>
      </c>
      <c r="B685">
        <v>37</v>
      </c>
      <c r="C685" t="s">
        <v>148</v>
      </c>
      <c r="D685" t="s">
        <v>145</v>
      </c>
      <c r="E685" t="s">
        <v>4</v>
      </c>
      <c r="F685" t="s">
        <v>36</v>
      </c>
      <c r="G685" t="s">
        <v>43</v>
      </c>
      <c r="H685" t="s">
        <v>81</v>
      </c>
      <c r="I685" t="s">
        <v>42</v>
      </c>
      <c r="J685" t="s">
        <v>146</v>
      </c>
      <c r="K685" t="s">
        <v>41</v>
      </c>
      <c r="L685" t="s">
        <v>147</v>
      </c>
      <c r="M685" t="s">
        <v>48</v>
      </c>
      <c r="N685" t="s">
        <v>160</v>
      </c>
      <c r="O685" t="s">
        <v>41</v>
      </c>
      <c r="P685" t="s">
        <v>148</v>
      </c>
      <c r="Q685">
        <v>14</v>
      </c>
      <c r="R685">
        <v>2</v>
      </c>
      <c r="S685">
        <v>17</v>
      </c>
      <c r="T685">
        <v>0</v>
      </c>
      <c r="U685">
        <v>2</v>
      </c>
      <c r="V685">
        <v>1</v>
      </c>
      <c r="W685">
        <v>83</v>
      </c>
      <c r="X685">
        <v>1017</v>
      </c>
      <c r="Y685">
        <v>18697</v>
      </c>
      <c r="Z685">
        <v>3920</v>
      </c>
      <c r="AA685">
        <v>2</v>
      </c>
      <c r="AB685" s="29">
        <v>44773</v>
      </c>
      <c r="AC685" s="29">
        <v>31430</v>
      </c>
      <c r="AD685" s="29">
        <v>43706</v>
      </c>
      <c r="AE685" s="29"/>
      <c r="AF685">
        <v>3</v>
      </c>
      <c r="AG685" t="s">
        <v>149</v>
      </c>
      <c r="AI685">
        <v>34</v>
      </c>
      <c r="AJ685">
        <v>1</v>
      </c>
      <c r="AK685" t="s">
        <v>170</v>
      </c>
      <c r="AL685" t="s">
        <v>77</v>
      </c>
      <c r="AM685">
        <f t="shared" si="50"/>
        <v>3</v>
      </c>
      <c r="AN685">
        <f t="shared" si="51"/>
        <v>8</v>
      </c>
      <c r="AO685" t="str">
        <f t="shared" si="52"/>
        <v/>
      </c>
      <c r="AP685" t="str">
        <f t="shared" si="53"/>
        <v/>
      </c>
      <c r="AQ685">
        <f t="shared" si="54"/>
        <v>2019</v>
      </c>
    </row>
    <row r="686" spans="1:43" x14ac:dyDescent="0.35">
      <c r="A686">
        <v>347</v>
      </c>
      <c r="B686">
        <v>42</v>
      </c>
      <c r="C686" t="s">
        <v>148</v>
      </c>
      <c r="D686" t="s">
        <v>145</v>
      </c>
      <c r="E686" t="s">
        <v>4</v>
      </c>
      <c r="F686" t="s">
        <v>36</v>
      </c>
      <c r="G686" t="s">
        <v>44</v>
      </c>
      <c r="H686" t="s">
        <v>81</v>
      </c>
      <c r="I686" t="s">
        <v>44</v>
      </c>
      <c r="J686" t="s">
        <v>146</v>
      </c>
      <c r="K686" t="s">
        <v>41</v>
      </c>
      <c r="L686" t="s">
        <v>147</v>
      </c>
      <c r="M686" t="s">
        <v>49</v>
      </c>
      <c r="N686" t="s">
        <v>95</v>
      </c>
      <c r="P686" t="s">
        <v>144</v>
      </c>
      <c r="Q686">
        <v>13</v>
      </c>
      <c r="R686">
        <v>3</v>
      </c>
      <c r="S686">
        <v>10</v>
      </c>
      <c r="T686">
        <v>0</v>
      </c>
      <c r="U686">
        <v>2</v>
      </c>
      <c r="V686">
        <v>17</v>
      </c>
      <c r="W686">
        <v>82</v>
      </c>
      <c r="X686">
        <v>916</v>
      </c>
      <c r="Y686">
        <v>23016</v>
      </c>
      <c r="Z686">
        <v>6545</v>
      </c>
      <c r="AA686">
        <v>1</v>
      </c>
      <c r="AB686" s="29">
        <v>44773</v>
      </c>
      <c r="AC686" s="29">
        <v>29681</v>
      </c>
      <c r="AD686" s="29">
        <v>43711</v>
      </c>
      <c r="AE686" s="29"/>
      <c r="AF686">
        <v>3</v>
      </c>
      <c r="AG686" t="s">
        <v>153</v>
      </c>
      <c r="AI686">
        <v>39</v>
      </c>
      <c r="AJ686">
        <v>2</v>
      </c>
      <c r="AK686" t="s">
        <v>170</v>
      </c>
      <c r="AL686" t="s">
        <v>77</v>
      </c>
      <c r="AM686">
        <f t="shared" si="50"/>
        <v>3</v>
      </c>
      <c r="AN686">
        <f t="shared" si="51"/>
        <v>9</v>
      </c>
      <c r="AO686" t="str">
        <f t="shared" si="52"/>
        <v/>
      </c>
      <c r="AP686" t="str">
        <f t="shared" si="53"/>
        <v/>
      </c>
      <c r="AQ686">
        <f t="shared" si="54"/>
        <v>2019</v>
      </c>
    </row>
    <row r="687" spans="1:43" x14ac:dyDescent="0.35">
      <c r="A687">
        <v>1436</v>
      </c>
      <c r="B687">
        <v>36</v>
      </c>
      <c r="C687" t="s">
        <v>148</v>
      </c>
      <c r="D687" t="s">
        <v>145</v>
      </c>
      <c r="E687" t="s">
        <v>158</v>
      </c>
      <c r="F687" t="s">
        <v>37</v>
      </c>
      <c r="G687" t="s">
        <v>43</v>
      </c>
      <c r="H687" t="s">
        <v>81</v>
      </c>
      <c r="I687" t="s">
        <v>42</v>
      </c>
      <c r="J687" t="s">
        <v>159</v>
      </c>
      <c r="K687" t="s">
        <v>41</v>
      </c>
      <c r="L687" t="s">
        <v>147</v>
      </c>
      <c r="M687" t="s">
        <v>48</v>
      </c>
      <c r="N687" t="s">
        <v>160</v>
      </c>
      <c r="O687" t="s">
        <v>156</v>
      </c>
      <c r="P687" t="s">
        <v>148</v>
      </c>
      <c r="Q687">
        <v>13</v>
      </c>
      <c r="R687">
        <v>4</v>
      </c>
      <c r="S687">
        <v>11</v>
      </c>
      <c r="T687">
        <v>0</v>
      </c>
      <c r="U687">
        <v>2</v>
      </c>
      <c r="V687">
        <v>16</v>
      </c>
      <c r="W687">
        <v>98</v>
      </c>
      <c r="X687">
        <v>329</v>
      </c>
      <c r="Y687">
        <v>13494</v>
      </c>
      <c r="Z687">
        <v>5647</v>
      </c>
      <c r="AA687">
        <v>3</v>
      </c>
      <c r="AB687" s="29">
        <v>44773</v>
      </c>
      <c r="AC687" s="29">
        <v>31708</v>
      </c>
      <c r="AD687" s="29">
        <v>43770</v>
      </c>
      <c r="AE687" s="29"/>
      <c r="AF687">
        <v>3</v>
      </c>
      <c r="AG687" t="s">
        <v>149</v>
      </c>
      <c r="AI687">
        <v>33</v>
      </c>
      <c r="AJ687">
        <v>1</v>
      </c>
      <c r="AK687" t="s">
        <v>170</v>
      </c>
      <c r="AL687" t="s">
        <v>77</v>
      </c>
      <c r="AM687">
        <f t="shared" si="50"/>
        <v>4</v>
      </c>
      <c r="AN687">
        <f t="shared" si="51"/>
        <v>11</v>
      </c>
      <c r="AO687" t="str">
        <f t="shared" si="52"/>
        <v/>
      </c>
      <c r="AP687" t="str">
        <f t="shared" si="53"/>
        <v/>
      </c>
      <c r="AQ687">
        <f t="shared" si="54"/>
        <v>2019</v>
      </c>
    </row>
    <row r="688" spans="1:43" x14ac:dyDescent="0.35">
      <c r="A688">
        <v>699</v>
      </c>
      <c r="B688">
        <v>36</v>
      </c>
      <c r="C688" t="s">
        <v>148</v>
      </c>
      <c r="D688" t="s">
        <v>145</v>
      </c>
      <c r="E688" t="s">
        <v>4</v>
      </c>
      <c r="F688" t="s">
        <v>36</v>
      </c>
      <c r="G688" t="s">
        <v>42</v>
      </c>
      <c r="H688" t="s">
        <v>82</v>
      </c>
      <c r="I688" t="s">
        <v>42</v>
      </c>
      <c r="J688" t="s">
        <v>165</v>
      </c>
      <c r="K688" t="s">
        <v>42</v>
      </c>
      <c r="L688" t="s">
        <v>147</v>
      </c>
      <c r="M688" t="s">
        <v>49</v>
      </c>
      <c r="N688" t="s">
        <v>96</v>
      </c>
      <c r="O688" t="s">
        <v>41</v>
      </c>
      <c r="P688" t="s">
        <v>144</v>
      </c>
      <c r="Q688">
        <v>11</v>
      </c>
      <c r="R688">
        <v>2</v>
      </c>
      <c r="S688">
        <v>13</v>
      </c>
      <c r="T688">
        <v>0</v>
      </c>
      <c r="U688">
        <v>2</v>
      </c>
      <c r="V688">
        <v>9</v>
      </c>
      <c r="W688">
        <v>48</v>
      </c>
      <c r="X688">
        <v>913</v>
      </c>
      <c r="Y688">
        <v>13934</v>
      </c>
      <c r="Z688">
        <v>8847</v>
      </c>
      <c r="AA688">
        <v>2</v>
      </c>
      <c r="AB688" s="29">
        <v>44773</v>
      </c>
      <c r="AC688" s="29">
        <v>31638</v>
      </c>
      <c r="AD688" s="29">
        <v>43774</v>
      </c>
      <c r="AE688" s="29"/>
      <c r="AF688">
        <v>3</v>
      </c>
      <c r="AG688" t="s">
        <v>149</v>
      </c>
      <c r="AI688">
        <v>33</v>
      </c>
      <c r="AJ688">
        <v>1</v>
      </c>
      <c r="AK688" t="s">
        <v>170</v>
      </c>
      <c r="AL688" t="s">
        <v>77</v>
      </c>
      <c r="AM688">
        <f t="shared" si="50"/>
        <v>4</v>
      </c>
      <c r="AN688">
        <f t="shared" si="51"/>
        <v>11</v>
      </c>
      <c r="AO688" t="str">
        <f t="shared" si="52"/>
        <v/>
      </c>
      <c r="AP688" t="str">
        <f t="shared" si="53"/>
        <v/>
      </c>
      <c r="AQ688">
        <f t="shared" si="54"/>
        <v>2019</v>
      </c>
    </row>
    <row r="689" spans="1:43" x14ac:dyDescent="0.35">
      <c r="A689">
        <v>664</v>
      </c>
      <c r="B689">
        <v>48</v>
      </c>
      <c r="C689" t="s">
        <v>148</v>
      </c>
      <c r="D689" t="s">
        <v>145</v>
      </c>
      <c r="E689" t="s">
        <v>4</v>
      </c>
      <c r="F689" t="s">
        <v>37</v>
      </c>
      <c r="G689" t="s">
        <v>44</v>
      </c>
      <c r="H689" t="s">
        <v>81</v>
      </c>
      <c r="I689" t="s">
        <v>42</v>
      </c>
      <c r="J689" t="s">
        <v>169</v>
      </c>
      <c r="K689" t="s">
        <v>41</v>
      </c>
      <c r="L689" t="s">
        <v>147</v>
      </c>
      <c r="M689" t="s">
        <v>47</v>
      </c>
      <c r="N689" t="s">
        <v>160</v>
      </c>
      <c r="O689" t="s">
        <v>41</v>
      </c>
      <c r="P689" t="s">
        <v>148</v>
      </c>
      <c r="Q689">
        <v>11</v>
      </c>
      <c r="R689">
        <v>7</v>
      </c>
      <c r="S689">
        <v>21</v>
      </c>
      <c r="T689">
        <v>0</v>
      </c>
      <c r="U689">
        <v>2</v>
      </c>
      <c r="V689">
        <v>1</v>
      </c>
      <c r="W689">
        <v>40</v>
      </c>
      <c r="X689">
        <v>1236</v>
      </c>
      <c r="Y689">
        <v>17997</v>
      </c>
      <c r="Z689">
        <v>15402</v>
      </c>
      <c r="AA689">
        <v>3</v>
      </c>
      <c r="AB689" s="29">
        <v>44773</v>
      </c>
      <c r="AC689" s="29">
        <v>27584</v>
      </c>
      <c r="AD689" s="29">
        <v>43781</v>
      </c>
      <c r="AE689" s="29"/>
      <c r="AF689">
        <v>3</v>
      </c>
      <c r="AG689" t="s">
        <v>153</v>
      </c>
      <c r="AI689">
        <v>45</v>
      </c>
      <c r="AJ689">
        <v>1</v>
      </c>
      <c r="AK689" t="s">
        <v>170</v>
      </c>
      <c r="AL689" t="s">
        <v>77</v>
      </c>
      <c r="AM689">
        <f t="shared" si="50"/>
        <v>4</v>
      </c>
      <c r="AN689">
        <f t="shared" si="51"/>
        <v>11</v>
      </c>
      <c r="AO689" t="str">
        <f t="shared" si="52"/>
        <v/>
      </c>
      <c r="AP689" t="str">
        <f t="shared" si="53"/>
        <v/>
      </c>
      <c r="AQ689">
        <f t="shared" si="54"/>
        <v>2019</v>
      </c>
    </row>
    <row r="690" spans="1:43" x14ac:dyDescent="0.35">
      <c r="A690">
        <v>1886</v>
      </c>
      <c r="B690">
        <v>35</v>
      </c>
      <c r="C690" t="s">
        <v>148</v>
      </c>
      <c r="D690" t="s">
        <v>145</v>
      </c>
      <c r="E690" t="s">
        <v>4</v>
      </c>
      <c r="F690" t="s">
        <v>36</v>
      </c>
      <c r="G690" t="s">
        <v>44</v>
      </c>
      <c r="H690" t="s">
        <v>81</v>
      </c>
      <c r="I690" t="s">
        <v>42</v>
      </c>
      <c r="J690" t="s">
        <v>165</v>
      </c>
      <c r="K690" t="s">
        <v>42</v>
      </c>
      <c r="L690" t="s">
        <v>147</v>
      </c>
      <c r="M690" t="s">
        <v>49</v>
      </c>
      <c r="N690" t="s">
        <v>160</v>
      </c>
      <c r="P690" t="s">
        <v>144</v>
      </c>
      <c r="Q690">
        <v>11</v>
      </c>
      <c r="R690">
        <v>0</v>
      </c>
      <c r="S690">
        <v>4</v>
      </c>
      <c r="T690">
        <v>0</v>
      </c>
      <c r="U690">
        <v>2</v>
      </c>
      <c r="V690">
        <v>16</v>
      </c>
      <c r="W690">
        <v>44</v>
      </c>
      <c r="X690">
        <v>219</v>
      </c>
      <c r="Y690">
        <v>25388</v>
      </c>
      <c r="Z690">
        <v>4788</v>
      </c>
      <c r="AA690">
        <v>2</v>
      </c>
      <c r="AB690" s="29">
        <v>44773</v>
      </c>
      <c r="AC690" s="29">
        <v>32174</v>
      </c>
      <c r="AD690" s="29">
        <v>43788</v>
      </c>
      <c r="AE690" s="29"/>
      <c r="AF690">
        <v>3</v>
      </c>
      <c r="AG690" t="s">
        <v>149</v>
      </c>
      <c r="AI690">
        <v>32</v>
      </c>
      <c r="AJ690">
        <v>2</v>
      </c>
      <c r="AK690" t="s">
        <v>170</v>
      </c>
      <c r="AL690" t="s">
        <v>77</v>
      </c>
      <c r="AM690">
        <f t="shared" si="50"/>
        <v>4</v>
      </c>
      <c r="AN690">
        <f t="shared" si="51"/>
        <v>11</v>
      </c>
      <c r="AO690" t="str">
        <f t="shared" si="52"/>
        <v/>
      </c>
      <c r="AP690" t="str">
        <f t="shared" si="53"/>
        <v/>
      </c>
      <c r="AQ690">
        <f t="shared" si="54"/>
        <v>2019</v>
      </c>
    </row>
    <row r="691" spans="1:43" x14ac:dyDescent="0.35">
      <c r="A691">
        <v>1461</v>
      </c>
      <c r="B691">
        <v>31</v>
      </c>
      <c r="C691" t="s">
        <v>148</v>
      </c>
      <c r="D691" t="s">
        <v>145</v>
      </c>
      <c r="E691" t="s">
        <v>168</v>
      </c>
      <c r="F691" t="s">
        <v>36</v>
      </c>
      <c r="G691" t="s">
        <v>44</v>
      </c>
      <c r="H691" t="s">
        <v>81</v>
      </c>
      <c r="I691" t="s">
        <v>44</v>
      </c>
      <c r="J691" t="s">
        <v>168</v>
      </c>
      <c r="K691" t="s">
        <v>42</v>
      </c>
      <c r="L691" t="s">
        <v>147</v>
      </c>
      <c r="M691" t="s">
        <v>49</v>
      </c>
      <c r="N691" t="s">
        <v>95</v>
      </c>
      <c r="P691" t="s">
        <v>148</v>
      </c>
      <c r="Q691">
        <v>18</v>
      </c>
      <c r="R691">
        <v>9</v>
      </c>
      <c r="S691">
        <v>8</v>
      </c>
      <c r="T691">
        <v>0</v>
      </c>
      <c r="U691">
        <v>2</v>
      </c>
      <c r="V691">
        <v>8</v>
      </c>
      <c r="W691">
        <v>96</v>
      </c>
      <c r="X691">
        <v>1398</v>
      </c>
      <c r="Y691">
        <v>24609</v>
      </c>
      <c r="Z691">
        <v>2109</v>
      </c>
      <c r="AA691">
        <v>3</v>
      </c>
      <c r="AB691" s="29">
        <v>44773</v>
      </c>
      <c r="AC691" s="29">
        <v>33774</v>
      </c>
      <c r="AD691" s="29">
        <v>43790</v>
      </c>
      <c r="AE691" s="29"/>
      <c r="AF691">
        <v>3</v>
      </c>
      <c r="AG691" t="s">
        <v>149</v>
      </c>
      <c r="AI691">
        <v>28</v>
      </c>
      <c r="AJ691">
        <v>1</v>
      </c>
      <c r="AK691" t="s">
        <v>170</v>
      </c>
      <c r="AL691" t="s">
        <v>78</v>
      </c>
      <c r="AM691">
        <f t="shared" si="50"/>
        <v>4</v>
      </c>
      <c r="AN691">
        <f t="shared" si="51"/>
        <v>11</v>
      </c>
      <c r="AO691" t="str">
        <f t="shared" si="52"/>
        <v/>
      </c>
      <c r="AP691" t="str">
        <f t="shared" si="53"/>
        <v/>
      </c>
      <c r="AQ691">
        <f t="shared" si="54"/>
        <v>2019</v>
      </c>
    </row>
    <row r="692" spans="1:43" x14ac:dyDescent="0.35">
      <c r="A692">
        <v>705</v>
      </c>
      <c r="B692">
        <v>23</v>
      </c>
      <c r="C692" t="s">
        <v>148</v>
      </c>
      <c r="D692" t="s">
        <v>145</v>
      </c>
      <c r="E692" t="s">
        <v>4</v>
      </c>
      <c r="F692" t="s">
        <v>38</v>
      </c>
      <c r="G692" t="s">
        <v>41</v>
      </c>
      <c r="H692" t="s">
        <v>82</v>
      </c>
      <c r="I692" t="s">
        <v>44</v>
      </c>
      <c r="J692" t="s">
        <v>146</v>
      </c>
      <c r="K692" t="s">
        <v>41</v>
      </c>
      <c r="L692" t="s">
        <v>147</v>
      </c>
      <c r="M692" t="s">
        <v>50</v>
      </c>
      <c r="N692" t="s">
        <v>160</v>
      </c>
      <c r="O692" t="s">
        <v>41</v>
      </c>
      <c r="P692" t="s">
        <v>148</v>
      </c>
      <c r="Q692">
        <v>16</v>
      </c>
      <c r="R692">
        <v>2</v>
      </c>
      <c r="S692">
        <v>5</v>
      </c>
      <c r="T692">
        <v>0</v>
      </c>
      <c r="U692">
        <v>2</v>
      </c>
      <c r="V692">
        <v>4</v>
      </c>
      <c r="W692">
        <v>58</v>
      </c>
      <c r="X692">
        <v>885</v>
      </c>
      <c r="Y692">
        <v>8544</v>
      </c>
      <c r="Z692">
        <v>2819</v>
      </c>
      <c r="AA692">
        <v>3</v>
      </c>
      <c r="AB692" s="29">
        <v>44773</v>
      </c>
      <c r="AC692" s="29">
        <v>36698</v>
      </c>
      <c r="AD692" s="29">
        <v>43809</v>
      </c>
      <c r="AE692" s="29"/>
      <c r="AF692">
        <v>3</v>
      </c>
      <c r="AG692" t="s">
        <v>157</v>
      </c>
      <c r="AI692">
        <v>20</v>
      </c>
      <c r="AJ692">
        <v>1</v>
      </c>
      <c r="AK692" t="s">
        <v>170</v>
      </c>
      <c r="AL692" t="s">
        <v>77</v>
      </c>
      <c r="AM692">
        <f t="shared" si="50"/>
        <v>4</v>
      </c>
      <c r="AN692">
        <f t="shared" si="51"/>
        <v>12</v>
      </c>
      <c r="AO692" t="str">
        <f t="shared" si="52"/>
        <v/>
      </c>
      <c r="AP692" t="str">
        <f t="shared" si="53"/>
        <v/>
      </c>
      <c r="AQ692">
        <f t="shared" si="54"/>
        <v>2019</v>
      </c>
    </row>
    <row r="693" spans="1:43" x14ac:dyDescent="0.35">
      <c r="A693">
        <v>1411</v>
      </c>
      <c r="B693">
        <v>37</v>
      </c>
      <c r="C693" t="s">
        <v>148</v>
      </c>
      <c r="D693" t="s">
        <v>145</v>
      </c>
      <c r="E693" t="s">
        <v>4</v>
      </c>
      <c r="F693" t="s">
        <v>38</v>
      </c>
      <c r="G693" t="s">
        <v>41</v>
      </c>
      <c r="H693" t="s">
        <v>81</v>
      </c>
      <c r="I693" t="s">
        <v>43</v>
      </c>
      <c r="J693" t="s">
        <v>155</v>
      </c>
      <c r="K693" t="s">
        <v>43</v>
      </c>
      <c r="L693" t="s">
        <v>147</v>
      </c>
      <c r="M693" t="s">
        <v>49</v>
      </c>
      <c r="N693" t="s">
        <v>95</v>
      </c>
      <c r="P693" t="s">
        <v>148</v>
      </c>
      <c r="Q693">
        <v>18</v>
      </c>
      <c r="R693">
        <v>4</v>
      </c>
      <c r="S693">
        <v>8</v>
      </c>
      <c r="T693">
        <v>0</v>
      </c>
      <c r="U693">
        <v>2</v>
      </c>
      <c r="V693">
        <v>11</v>
      </c>
      <c r="W693">
        <v>94</v>
      </c>
      <c r="X693">
        <v>1462</v>
      </c>
      <c r="Y693">
        <v>19106</v>
      </c>
      <c r="Z693">
        <v>3629</v>
      </c>
      <c r="AA693">
        <v>6</v>
      </c>
      <c r="AB693" s="29">
        <v>44773</v>
      </c>
      <c r="AC693" s="29">
        <v>31620</v>
      </c>
      <c r="AD693" s="29">
        <v>43817</v>
      </c>
      <c r="AE693" s="29"/>
      <c r="AF693">
        <v>3</v>
      </c>
      <c r="AG693" t="s">
        <v>149</v>
      </c>
      <c r="AI693">
        <v>34</v>
      </c>
      <c r="AJ693">
        <v>1</v>
      </c>
      <c r="AK693" t="s">
        <v>170</v>
      </c>
      <c r="AL693" t="s">
        <v>77</v>
      </c>
      <c r="AM693">
        <f t="shared" si="50"/>
        <v>4</v>
      </c>
      <c r="AN693">
        <f t="shared" si="51"/>
        <v>12</v>
      </c>
      <c r="AO693" t="str">
        <f t="shared" si="52"/>
        <v/>
      </c>
      <c r="AP693" t="str">
        <f t="shared" si="53"/>
        <v/>
      </c>
      <c r="AQ693">
        <f t="shared" si="54"/>
        <v>2019</v>
      </c>
    </row>
    <row r="694" spans="1:43" x14ac:dyDescent="0.35">
      <c r="A694">
        <v>1607</v>
      </c>
      <c r="B694">
        <v>32</v>
      </c>
      <c r="C694" t="s">
        <v>148</v>
      </c>
      <c r="D694" t="s">
        <v>145</v>
      </c>
      <c r="E694" t="s">
        <v>4</v>
      </c>
      <c r="F694" t="s">
        <v>37</v>
      </c>
      <c r="G694" t="s">
        <v>42</v>
      </c>
      <c r="H694" t="s">
        <v>81</v>
      </c>
      <c r="I694" t="s">
        <v>44</v>
      </c>
      <c r="J694" t="s">
        <v>146</v>
      </c>
      <c r="K694" t="s">
        <v>44</v>
      </c>
      <c r="L694" t="s">
        <v>147</v>
      </c>
      <c r="M694" t="s">
        <v>49</v>
      </c>
      <c r="N694" t="s">
        <v>160</v>
      </c>
      <c r="O694" t="s">
        <v>156</v>
      </c>
      <c r="P694" t="s">
        <v>148</v>
      </c>
      <c r="Q694">
        <v>17</v>
      </c>
      <c r="R694">
        <v>3</v>
      </c>
      <c r="S694">
        <v>6</v>
      </c>
      <c r="T694">
        <v>0</v>
      </c>
      <c r="U694">
        <v>2</v>
      </c>
      <c r="V694">
        <v>5</v>
      </c>
      <c r="W694">
        <v>35</v>
      </c>
      <c r="X694">
        <v>634</v>
      </c>
      <c r="Y694">
        <v>18783</v>
      </c>
      <c r="Z694">
        <v>3312</v>
      </c>
      <c r="AA694">
        <v>3</v>
      </c>
      <c r="AB694" s="29">
        <v>44773</v>
      </c>
      <c r="AC694" s="29">
        <v>33112</v>
      </c>
      <c r="AD694" s="29">
        <v>43834</v>
      </c>
      <c r="AE694" s="29"/>
      <c r="AF694">
        <v>3</v>
      </c>
      <c r="AG694" t="s">
        <v>149</v>
      </c>
      <c r="AI694">
        <v>29</v>
      </c>
      <c r="AJ694">
        <v>2</v>
      </c>
      <c r="AK694" t="s">
        <v>170</v>
      </c>
      <c r="AL694" t="s">
        <v>77</v>
      </c>
      <c r="AM694">
        <f t="shared" si="50"/>
        <v>1</v>
      </c>
      <c r="AN694">
        <f t="shared" si="51"/>
        <v>1</v>
      </c>
      <c r="AO694" t="str">
        <f t="shared" si="52"/>
        <v/>
      </c>
      <c r="AP694" t="str">
        <f t="shared" si="53"/>
        <v/>
      </c>
      <c r="AQ694">
        <f t="shared" si="54"/>
        <v>2020</v>
      </c>
    </row>
    <row r="695" spans="1:43" x14ac:dyDescent="0.35">
      <c r="A695">
        <v>575</v>
      </c>
      <c r="B695">
        <v>46</v>
      </c>
      <c r="C695" t="s">
        <v>148</v>
      </c>
      <c r="D695" t="s">
        <v>145</v>
      </c>
      <c r="E695" t="s">
        <v>4</v>
      </c>
      <c r="F695" t="s">
        <v>38</v>
      </c>
      <c r="G695" t="s">
        <v>41</v>
      </c>
      <c r="H695" t="s">
        <v>82</v>
      </c>
      <c r="I695" t="s">
        <v>43</v>
      </c>
      <c r="J695" t="s">
        <v>173</v>
      </c>
      <c r="K695" t="s">
        <v>43</v>
      </c>
      <c r="L695" t="s">
        <v>147</v>
      </c>
      <c r="M695" t="s">
        <v>47</v>
      </c>
      <c r="N695" t="s">
        <v>160</v>
      </c>
      <c r="P695" t="s">
        <v>148</v>
      </c>
      <c r="Q695">
        <v>13</v>
      </c>
      <c r="R695">
        <v>6</v>
      </c>
      <c r="S695">
        <v>26</v>
      </c>
      <c r="T695">
        <v>0</v>
      </c>
      <c r="U695">
        <v>1</v>
      </c>
      <c r="V695">
        <v>2</v>
      </c>
      <c r="W695">
        <v>51</v>
      </c>
      <c r="X695">
        <v>1009</v>
      </c>
      <c r="Y695">
        <v>2288</v>
      </c>
      <c r="Z695">
        <v>17861</v>
      </c>
      <c r="AA695">
        <v>2</v>
      </c>
      <c r="AB695" s="29">
        <v>44773</v>
      </c>
      <c r="AC695" s="29">
        <v>28089</v>
      </c>
      <c r="AD695" s="29">
        <v>43855</v>
      </c>
      <c r="AE695" s="29"/>
      <c r="AF695">
        <v>2</v>
      </c>
      <c r="AG695" t="s">
        <v>153</v>
      </c>
      <c r="AI695">
        <v>44</v>
      </c>
      <c r="AJ695">
        <v>1</v>
      </c>
      <c r="AK695" t="s">
        <v>170</v>
      </c>
      <c r="AL695" t="s">
        <v>77</v>
      </c>
      <c r="AM695">
        <f t="shared" si="50"/>
        <v>1</v>
      </c>
      <c r="AN695">
        <f t="shared" si="51"/>
        <v>1</v>
      </c>
      <c r="AO695" t="str">
        <f t="shared" si="52"/>
        <v/>
      </c>
      <c r="AP695" t="str">
        <f t="shared" si="53"/>
        <v/>
      </c>
      <c r="AQ695">
        <f t="shared" si="54"/>
        <v>2020</v>
      </c>
    </row>
    <row r="696" spans="1:43" x14ac:dyDescent="0.35">
      <c r="A696">
        <v>995</v>
      </c>
      <c r="B696">
        <v>33</v>
      </c>
      <c r="C696" t="s">
        <v>148</v>
      </c>
      <c r="D696" t="s">
        <v>145</v>
      </c>
      <c r="E696" t="s">
        <v>4</v>
      </c>
      <c r="F696" t="s">
        <v>35</v>
      </c>
      <c r="G696" t="s">
        <v>42</v>
      </c>
      <c r="H696" t="s">
        <v>81</v>
      </c>
      <c r="I696" t="s">
        <v>43</v>
      </c>
      <c r="J696" t="s">
        <v>146</v>
      </c>
      <c r="K696" t="s">
        <v>44</v>
      </c>
      <c r="L696" t="s">
        <v>147</v>
      </c>
      <c r="M696" t="s">
        <v>49</v>
      </c>
      <c r="N696" t="s">
        <v>95</v>
      </c>
      <c r="P696" t="s">
        <v>148</v>
      </c>
      <c r="Q696">
        <v>18</v>
      </c>
      <c r="R696">
        <v>3</v>
      </c>
      <c r="S696">
        <v>5</v>
      </c>
      <c r="T696">
        <v>0</v>
      </c>
      <c r="U696">
        <v>2</v>
      </c>
      <c r="V696">
        <v>13</v>
      </c>
      <c r="W696">
        <v>53</v>
      </c>
      <c r="X696">
        <v>461</v>
      </c>
      <c r="Y696">
        <v>17241</v>
      </c>
      <c r="Z696">
        <v>3452</v>
      </c>
      <c r="AA696">
        <v>4</v>
      </c>
      <c r="AB696" s="29">
        <v>44773</v>
      </c>
      <c r="AC696" s="29">
        <v>32983</v>
      </c>
      <c r="AD696" s="29">
        <v>43856</v>
      </c>
      <c r="AE696" s="29"/>
      <c r="AF696">
        <v>3</v>
      </c>
      <c r="AG696" t="s">
        <v>149</v>
      </c>
      <c r="AI696">
        <v>30</v>
      </c>
      <c r="AJ696">
        <v>1</v>
      </c>
      <c r="AK696" t="s">
        <v>170</v>
      </c>
      <c r="AL696" t="s">
        <v>77</v>
      </c>
      <c r="AM696">
        <f t="shared" si="50"/>
        <v>1</v>
      </c>
      <c r="AN696">
        <f t="shared" si="51"/>
        <v>1</v>
      </c>
      <c r="AO696" t="str">
        <f t="shared" si="52"/>
        <v/>
      </c>
      <c r="AP696" t="str">
        <f t="shared" si="53"/>
        <v/>
      </c>
      <c r="AQ696">
        <f t="shared" si="54"/>
        <v>2020</v>
      </c>
    </row>
    <row r="697" spans="1:43" x14ac:dyDescent="0.35">
      <c r="A697">
        <v>349</v>
      </c>
      <c r="B697">
        <v>29</v>
      </c>
      <c r="C697" t="s">
        <v>148</v>
      </c>
      <c r="D697" t="s">
        <v>145</v>
      </c>
      <c r="E697" t="s">
        <v>158</v>
      </c>
      <c r="F697" t="s">
        <v>36</v>
      </c>
      <c r="G697" t="s">
        <v>44</v>
      </c>
      <c r="H697" t="s">
        <v>82</v>
      </c>
      <c r="I697" t="s">
        <v>43</v>
      </c>
      <c r="J697" t="s">
        <v>159</v>
      </c>
      <c r="K697" t="s">
        <v>44</v>
      </c>
      <c r="L697" t="s">
        <v>147</v>
      </c>
      <c r="M697" t="s">
        <v>49</v>
      </c>
      <c r="N697" t="s">
        <v>96</v>
      </c>
      <c r="O697" t="s">
        <v>41</v>
      </c>
      <c r="P697" t="s">
        <v>148</v>
      </c>
      <c r="Q697">
        <v>14</v>
      </c>
      <c r="R697">
        <v>2</v>
      </c>
      <c r="S697">
        <v>10</v>
      </c>
      <c r="T697">
        <v>0</v>
      </c>
      <c r="U697">
        <v>2</v>
      </c>
      <c r="V697">
        <v>20</v>
      </c>
      <c r="W697">
        <v>45</v>
      </c>
      <c r="X697">
        <v>1247</v>
      </c>
      <c r="Y697">
        <v>10732</v>
      </c>
      <c r="Z697">
        <v>6931</v>
      </c>
      <c r="AA697">
        <v>2</v>
      </c>
      <c r="AB697" s="29">
        <v>44773</v>
      </c>
      <c r="AC697" s="29">
        <v>34395</v>
      </c>
      <c r="AD697" s="29">
        <v>43891</v>
      </c>
      <c r="AE697" s="29"/>
      <c r="AF697">
        <v>2</v>
      </c>
      <c r="AG697" t="s">
        <v>157</v>
      </c>
      <c r="AI697">
        <v>27</v>
      </c>
      <c r="AJ697">
        <v>1</v>
      </c>
      <c r="AK697" t="s">
        <v>170</v>
      </c>
      <c r="AL697" t="s">
        <v>77</v>
      </c>
      <c r="AM697">
        <f t="shared" si="50"/>
        <v>1</v>
      </c>
      <c r="AN697">
        <f t="shared" si="51"/>
        <v>3</v>
      </c>
      <c r="AO697" t="str">
        <f t="shared" si="52"/>
        <v/>
      </c>
      <c r="AP697" t="str">
        <f t="shared" si="53"/>
        <v/>
      </c>
      <c r="AQ697">
        <f t="shared" si="54"/>
        <v>2020</v>
      </c>
    </row>
    <row r="698" spans="1:43" x14ac:dyDescent="0.35">
      <c r="A698">
        <v>939</v>
      </c>
      <c r="B698">
        <v>33</v>
      </c>
      <c r="C698" t="s">
        <v>148</v>
      </c>
      <c r="D698" t="s">
        <v>145</v>
      </c>
      <c r="E698" t="s">
        <v>4</v>
      </c>
      <c r="F698" t="s">
        <v>37</v>
      </c>
      <c r="G698" t="s">
        <v>43</v>
      </c>
      <c r="H698" t="s">
        <v>82</v>
      </c>
      <c r="I698" t="s">
        <v>42</v>
      </c>
      <c r="J698" t="s">
        <v>146</v>
      </c>
      <c r="K698" t="s">
        <v>41</v>
      </c>
      <c r="L698" t="s">
        <v>147</v>
      </c>
      <c r="M698" t="s">
        <v>49</v>
      </c>
      <c r="N698" t="s">
        <v>95</v>
      </c>
      <c r="P698" t="s">
        <v>144</v>
      </c>
      <c r="Q698">
        <v>11</v>
      </c>
      <c r="R698">
        <v>3</v>
      </c>
      <c r="S698">
        <v>6</v>
      </c>
      <c r="T698">
        <v>0</v>
      </c>
      <c r="U698">
        <v>2</v>
      </c>
      <c r="V698">
        <v>1</v>
      </c>
      <c r="W698">
        <v>100</v>
      </c>
      <c r="X698">
        <v>1198</v>
      </c>
      <c r="Y698">
        <v>3339</v>
      </c>
      <c r="Z698">
        <v>2799</v>
      </c>
      <c r="AA698">
        <v>1</v>
      </c>
      <c r="AB698" s="29">
        <v>44773</v>
      </c>
      <c r="AC698" s="29">
        <v>32795</v>
      </c>
      <c r="AD698" s="29">
        <v>43894</v>
      </c>
      <c r="AE698" s="29"/>
      <c r="AF698">
        <v>2</v>
      </c>
      <c r="AG698" t="s">
        <v>149</v>
      </c>
      <c r="AI698">
        <v>31</v>
      </c>
      <c r="AJ698">
        <v>1</v>
      </c>
      <c r="AK698" t="s">
        <v>170</v>
      </c>
      <c r="AL698" t="s">
        <v>78</v>
      </c>
      <c r="AM698">
        <f t="shared" si="50"/>
        <v>1</v>
      </c>
      <c r="AN698">
        <f t="shared" si="51"/>
        <v>3</v>
      </c>
      <c r="AO698" t="str">
        <f t="shared" si="52"/>
        <v/>
      </c>
      <c r="AP698" t="str">
        <f t="shared" si="53"/>
        <v/>
      </c>
      <c r="AQ698">
        <f t="shared" si="54"/>
        <v>2020</v>
      </c>
    </row>
    <row r="699" spans="1:43" x14ac:dyDescent="0.35">
      <c r="A699">
        <v>1281</v>
      </c>
      <c r="B699">
        <v>34</v>
      </c>
      <c r="C699" t="s">
        <v>148</v>
      </c>
      <c r="D699" t="s">
        <v>145</v>
      </c>
      <c r="E699" t="s">
        <v>158</v>
      </c>
      <c r="F699" t="s">
        <v>38</v>
      </c>
      <c r="G699" t="s">
        <v>43</v>
      </c>
      <c r="H699" t="s">
        <v>81</v>
      </c>
      <c r="I699" t="s">
        <v>43</v>
      </c>
      <c r="J699" t="s">
        <v>159</v>
      </c>
      <c r="K699" t="s">
        <v>41</v>
      </c>
      <c r="L699" t="s">
        <v>147</v>
      </c>
      <c r="M699" t="s">
        <v>49</v>
      </c>
      <c r="N699" t="s">
        <v>95</v>
      </c>
      <c r="P699" t="s">
        <v>144</v>
      </c>
      <c r="Q699">
        <v>12</v>
      </c>
      <c r="R699">
        <v>0</v>
      </c>
      <c r="S699">
        <v>4</v>
      </c>
      <c r="T699">
        <v>0</v>
      </c>
      <c r="U699">
        <v>2</v>
      </c>
      <c r="V699">
        <v>2</v>
      </c>
      <c r="W699">
        <v>86</v>
      </c>
      <c r="X699">
        <v>131</v>
      </c>
      <c r="Y699">
        <v>6039</v>
      </c>
      <c r="Z699">
        <v>4538</v>
      </c>
      <c r="AA699">
        <v>3</v>
      </c>
      <c r="AB699" s="29">
        <v>44773</v>
      </c>
      <c r="AC699" s="29">
        <v>32365</v>
      </c>
      <c r="AD699" s="29">
        <v>43902</v>
      </c>
      <c r="AE699" s="29"/>
      <c r="AF699">
        <v>2</v>
      </c>
      <c r="AG699" t="s">
        <v>149</v>
      </c>
      <c r="AI699">
        <v>32</v>
      </c>
      <c r="AJ699">
        <v>1</v>
      </c>
      <c r="AK699" t="s">
        <v>170</v>
      </c>
      <c r="AL699" t="s">
        <v>77</v>
      </c>
      <c r="AM699">
        <f t="shared" si="50"/>
        <v>1</v>
      </c>
      <c r="AN699">
        <f t="shared" si="51"/>
        <v>3</v>
      </c>
      <c r="AO699" t="str">
        <f t="shared" si="52"/>
        <v/>
      </c>
      <c r="AP699" t="str">
        <f t="shared" si="53"/>
        <v/>
      </c>
      <c r="AQ699">
        <f t="shared" si="54"/>
        <v>2020</v>
      </c>
    </row>
    <row r="700" spans="1:43" x14ac:dyDescent="0.35">
      <c r="A700">
        <v>242</v>
      </c>
      <c r="B700">
        <v>33</v>
      </c>
      <c r="C700" t="s">
        <v>148</v>
      </c>
      <c r="D700" t="s">
        <v>145</v>
      </c>
      <c r="E700" t="s">
        <v>4</v>
      </c>
      <c r="F700" t="s">
        <v>38</v>
      </c>
      <c r="G700" t="s">
        <v>43</v>
      </c>
      <c r="H700" t="s">
        <v>82</v>
      </c>
      <c r="I700" t="s">
        <v>43</v>
      </c>
      <c r="J700" t="s">
        <v>146</v>
      </c>
      <c r="K700" t="s">
        <v>44</v>
      </c>
      <c r="L700" t="s">
        <v>147</v>
      </c>
      <c r="M700" t="s">
        <v>50</v>
      </c>
      <c r="N700" t="s">
        <v>95</v>
      </c>
      <c r="P700" t="s">
        <v>148</v>
      </c>
      <c r="Q700">
        <v>14</v>
      </c>
      <c r="R700">
        <v>0</v>
      </c>
      <c r="S700">
        <v>4</v>
      </c>
      <c r="T700">
        <v>0</v>
      </c>
      <c r="U700">
        <v>2</v>
      </c>
      <c r="V700">
        <v>2</v>
      </c>
      <c r="W700">
        <v>90</v>
      </c>
      <c r="X700">
        <v>134</v>
      </c>
      <c r="Y700">
        <v>10515</v>
      </c>
      <c r="Z700">
        <v>2500</v>
      </c>
      <c r="AA700">
        <v>2</v>
      </c>
      <c r="AB700" s="29">
        <v>44773</v>
      </c>
      <c r="AC700" s="29">
        <v>32776</v>
      </c>
      <c r="AD700" s="29">
        <v>43920</v>
      </c>
      <c r="AE700" s="29"/>
      <c r="AF700">
        <v>2</v>
      </c>
      <c r="AG700" t="s">
        <v>149</v>
      </c>
      <c r="AI700">
        <v>31</v>
      </c>
      <c r="AJ700">
        <v>1</v>
      </c>
      <c r="AK700" t="s">
        <v>170</v>
      </c>
      <c r="AL700" t="s">
        <v>77</v>
      </c>
      <c r="AM700">
        <f t="shared" si="50"/>
        <v>1</v>
      </c>
      <c r="AN700">
        <f t="shared" si="51"/>
        <v>3</v>
      </c>
      <c r="AO700" t="str">
        <f t="shared" si="52"/>
        <v/>
      </c>
      <c r="AP700" t="str">
        <f t="shared" si="53"/>
        <v/>
      </c>
      <c r="AQ700">
        <f t="shared" si="54"/>
        <v>2020</v>
      </c>
    </row>
    <row r="701" spans="1:43" x14ac:dyDescent="0.35">
      <c r="A701">
        <v>847</v>
      </c>
      <c r="B701">
        <v>34</v>
      </c>
      <c r="C701" t="s">
        <v>148</v>
      </c>
      <c r="D701" t="s">
        <v>145</v>
      </c>
      <c r="E701" t="s">
        <v>168</v>
      </c>
      <c r="F701" t="s">
        <v>36</v>
      </c>
      <c r="G701" t="s">
        <v>43</v>
      </c>
      <c r="H701" t="s">
        <v>82</v>
      </c>
      <c r="I701" t="s">
        <v>43</v>
      </c>
      <c r="J701" t="s">
        <v>168</v>
      </c>
      <c r="K701" t="s">
        <v>44</v>
      </c>
      <c r="L701" t="s">
        <v>147</v>
      </c>
      <c r="M701" t="s">
        <v>47</v>
      </c>
      <c r="N701" t="s">
        <v>160</v>
      </c>
      <c r="O701" t="s">
        <v>41</v>
      </c>
      <c r="P701" t="s">
        <v>148</v>
      </c>
      <c r="Q701">
        <v>19</v>
      </c>
      <c r="R701">
        <v>0</v>
      </c>
      <c r="S701">
        <v>4</v>
      </c>
      <c r="T701">
        <v>0</v>
      </c>
      <c r="U701">
        <v>2</v>
      </c>
      <c r="V701">
        <v>3</v>
      </c>
      <c r="W701">
        <v>88</v>
      </c>
      <c r="X701">
        <v>829</v>
      </c>
      <c r="Y701">
        <v>2243</v>
      </c>
      <c r="Z701">
        <v>3737</v>
      </c>
      <c r="AA701">
        <v>1</v>
      </c>
      <c r="AB701" s="29">
        <v>44773</v>
      </c>
      <c r="AC701" s="29">
        <v>32521</v>
      </c>
      <c r="AD701" s="29">
        <v>43934</v>
      </c>
      <c r="AE701" s="29"/>
      <c r="AF701">
        <v>2</v>
      </c>
      <c r="AG701" t="s">
        <v>149</v>
      </c>
      <c r="AI701">
        <v>32</v>
      </c>
      <c r="AJ701">
        <v>1</v>
      </c>
      <c r="AK701" t="s">
        <v>170</v>
      </c>
      <c r="AL701" t="s">
        <v>77</v>
      </c>
      <c r="AM701">
        <f t="shared" si="50"/>
        <v>2</v>
      </c>
      <c r="AN701">
        <f t="shared" si="51"/>
        <v>4</v>
      </c>
      <c r="AO701" t="str">
        <f t="shared" si="52"/>
        <v/>
      </c>
      <c r="AP701" t="str">
        <f t="shared" si="53"/>
        <v/>
      </c>
      <c r="AQ701">
        <f t="shared" si="54"/>
        <v>2020</v>
      </c>
    </row>
    <row r="702" spans="1:43" x14ac:dyDescent="0.35">
      <c r="A702">
        <v>652</v>
      </c>
      <c r="B702">
        <v>35</v>
      </c>
      <c r="C702" t="s">
        <v>148</v>
      </c>
      <c r="D702" t="s">
        <v>145</v>
      </c>
      <c r="E702" t="s">
        <v>4</v>
      </c>
      <c r="F702" t="s">
        <v>36</v>
      </c>
      <c r="G702" t="s">
        <v>41</v>
      </c>
      <c r="H702" t="s">
        <v>82</v>
      </c>
      <c r="I702" t="s">
        <v>42</v>
      </c>
      <c r="J702" t="s">
        <v>155</v>
      </c>
      <c r="K702" t="s">
        <v>44</v>
      </c>
      <c r="L702" t="s">
        <v>147</v>
      </c>
      <c r="M702" t="s">
        <v>49</v>
      </c>
      <c r="N702" t="s">
        <v>95</v>
      </c>
      <c r="P702" t="s">
        <v>148</v>
      </c>
      <c r="Q702">
        <v>14</v>
      </c>
      <c r="R702">
        <v>4</v>
      </c>
      <c r="S702">
        <v>9</v>
      </c>
      <c r="T702">
        <v>0</v>
      </c>
      <c r="U702">
        <v>2</v>
      </c>
      <c r="V702">
        <v>25</v>
      </c>
      <c r="W702">
        <v>54</v>
      </c>
      <c r="X702">
        <v>538</v>
      </c>
      <c r="Y702">
        <v>14004</v>
      </c>
      <c r="Z702">
        <v>3681</v>
      </c>
      <c r="AA702">
        <v>3</v>
      </c>
      <c r="AB702" s="29">
        <v>44773</v>
      </c>
      <c r="AC702" s="29">
        <v>32114</v>
      </c>
      <c r="AD702" s="29">
        <v>43940</v>
      </c>
      <c r="AE702" s="29"/>
      <c r="AF702">
        <v>2</v>
      </c>
      <c r="AG702" t="s">
        <v>149</v>
      </c>
      <c r="AI702">
        <v>33</v>
      </c>
      <c r="AJ702">
        <v>2</v>
      </c>
      <c r="AK702" t="s">
        <v>170</v>
      </c>
      <c r="AL702" t="s">
        <v>77</v>
      </c>
      <c r="AM702">
        <f t="shared" si="50"/>
        <v>2</v>
      </c>
      <c r="AN702">
        <f t="shared" si="51"/>
        <v>4</v>
      </c>
      <c r="AO702" t="str">
        <f t="shared" si="52"/>
        <v/>
      </c>
      <c r="AP702" t="str">
        <f t="shared" si="53"/>
        <v/>
      </c>
      <c r="AQ702">
        <f t="shared" si="54"/>
        <v>2020</v>
      </c>
    </row>
    <row r="703" spans="1:43" x14ac:dyDescent="0.35">
      <c r="A703">
        <v>1651</v>
      </c>
      <c r="B703">
        <v>36</v>
      </c>
      <c r="C703" t="s">
        <v>148</v>
      </c>
      <c r="D703" t="s">
        <v>145</v>
      </c>
      <c r="E703" t="s">
        <v>4</v>
      </c>
      <c r="F703" t="s">
        <v>37</v>
      </c>
      <c r="G703" t="s">
        <v>42</v>
      </c>
      <c r="H703" t="s">
        <v>81</v>
      </c>
      <c r="I703" t="s">
        <v>43</v>
      </c>
      <c r="J703" t="s">
        <v>161</v>
      </c>
      <c r="K703" t="s">
        <v>41</v>
      </c>
      <c r="L703" t="s">
        <v>147</v>
      </c>
      <c r="M703" t="s">
        <v>49</v>
      </c>
      <c r="N703" t="s">
        <v>160</v>
      </c>
      <c r="O703" t="s">
        <v>156</v>
      </c>
      <c r="P703" t="s">
        <v>148</v>
      </c>
      <c r="Q703">
        <v>12</v>
      </c>
      <c r="R703">
        <v>4</v>
      </c>
      <c r="S703">
        <v>9</v>
      </c>
      <c r="T703">
        <v>0</v>
      </c>
      <c r="U703">
        <v>2</v>
      </c>
      <c r="V703">
        <v>5</v>
      </c>
      <c r="W703">
        <v>42</v>
      </c>
      <c r="X703">
        <v>711</v>
      </c>
      <c r="Y703">
        <v>22792</v>
      </c>
      <c r="Z703">
        <v>8008</v>
      </c>
      <c r="AA703">
        <v>6</v>
      </c>
      <c r="AB703" s="29">
        <v>44773</v>
      </c>
      <c r="AC703" s="29">
        <v>31662</v>
      </c>
      <c r="AD703" s="29">
        <v>43957</v>
      </c>
      <c r="AE703" s="29"/>
      <c r="AF703">
        <v>2</v>
      </c>
      <c r="AG703" t="s">
        <v>149</v>
      </c>
      <c r="AI703">
        <v>34</v>
      </c>
      <c r="AJ703">
        <v>1</v>
      </c>
      <c r="AK703" t="s">
        <v>170</v>
      </c>
      <c r="AL703" t="s">
        <v>78</v>
      </c>
      <c r="AM703">
        <f t="shared" si="50"/>
        <v>2</v>
      </c>
      <c r="AN703">
        <f t="shared" si="51"/>
        <v>5</v>
      </c>
      <c r="AO703" t="str">
        <f t="shared" si="52"/>
        <v/>
      </c>
      <c r="AP703" t="str">
        <f t="shared" si="53"/>
        <v/>
      </c>
      <c r="AQ703">
        <f t="shared" si="54"/>
        <v>2020</v>
      </c>
    </row>
    <row r="704" spans="1:43" x14ac:dyDescent="0.35">
      <c r="A704">
        <v>1415</v>
      </c>
      <c r="B704">
        <v>25</v>
      </c>
      <c r="C704" t="s">
        <v>148</v>
      </c>
      <c r="D704" t="s">
        <v>145</v>
      </c>
      <c r="E704" t="s">
        <v>4</v>
      </c>
      <c r="F704" t="s">
        <v>38</v>
      </c>
      <c r="G704" t="s">
        <v>41</v>
      </c>
      <c r="H704" t="s">
        <v>82</v>
      </c>
      <c r="I704" t="s">
        <v>43</v>
      </c>
      <c r="J704" t="s">
        <v>155</v>
      </c>
      <c r="K704" t="s">
        <v>44</v>
      </c>
      <c r="L704" t="s">
        <v>147</v>
      </c>
      <c r="M704" t="s">
        <v>48</v>
      </c>
      <c r="N704" t="s">
        <v>160</v>
      </c>
      <c r="O704" t="s">
        <v>41</v>
      </c>
      <c r="P704" t="s">
        <v>148</v>
      </c>
      <c r="Q704">
        <v>11</v>
      </c>
      <c r="R704">
        <v>4</v>
      </c>
      <c r="S704">
        <v>7</v>
      </c>
      <c r="T704">
        <v>0</v>
      </c>
      <c r="U704">
        <v>2</v>
      </c>
      <c r="V704">
        <v>1</v>
      </c>
      <c r="W704">
        <v>81</v>
      </c>
      <c r="X704">
        <v>949</v>
      </c>
      <c r="Y704">
        <v>4910</v>
      </c>
      <c r="Z704">
        <v>3229</v>
      </c>
      <c r="AA704">
        <v>2</v>
      </c>
      <c r="AB704" s="29">
        <v>44773</v>
      </c>
      <c r="AC704" s="29">
        <v>35708</v>
      </c>
      <c r="AD704" s="29">
        <v>44002</v>
      </c>
      <c r="AE704" s="29"/>
      <c r="AF704">
        <v>2</v>
      </c>
      <c r="AG704" t="s">
        <v>157</v>
      </c>
      <c r="AI704">
        <v>23</v>
      </c>
      <c r="AJ704">
        <v>1</v>
      </c>
      <c r="AK704" t="s">
        <v>170</v>
      </c>
      <c r="AL704" t="s">
        <v>77</v>
      </c>
      <c r="AM704">
        <f t="shared" si="50"/>
        <v>2</v>
      </c>
      <c r="AN704">
        <f t="shared" si="51"/>
        <v>6</v>
      </c>
      <c r="AO704" t="str">
        <f t="shared" si="52"/>
        <v/>
      </c>
      <c r="AP704" t="str">
        <f t="shared" si="53"/>
        <v/>
      </c>
      <c r="AQ704">
        <f t="shared" si="54"/>
        <v>2020</v>
      </c>
    </row>
    <row r="705" spans="1:43" x14ac:dyDescent="0.35">
      <c r="A705">
        <v>686</v>
      </c>
      <c r="B705">
        <v>26</v>
      </c>
      <c r="C705" t="s">
        <v>148</v>
      </c>
      <c r="D705" t="s">
        <v>145</v>
      </c>
      <c r="E705" t="s">
        <v>4</v>
      </c>
      <c r="F705" t="s">
        <v>38</v>
      </c>
      <c r="G705" t="s">
        <v>43</v>
      </c>
      <c r="H705" t="s">
        <v>81</v>
      </c>
      <c r="I705" t="s">
        <v>43</v>
      </c>
      <c r="J705" t="s">
        <v>155</v>
      </c>
      <c r="K705" t="s">
        <v>44</v>
      </c>
      <c r="L705" t="s">
        <v>147</v>
      </c>
      <c r="M705" t="s">
        <v>49</v>
      </c>
      <c r="N705" t="s">
        <v>160</v>
      </c>
      <c r="O705" t="s">
        <v>41</v>
      </c>
      <c r="P705" t="s">
        <v>144</v>
      </c>
      <c r="Q705">
        <v>13</v>
      </c>
      <c r="R705">
        <v>1</v>
      </c>
      <c r="S705">
        <v>3</v>
      </c>
      <c r="T705">
        <v>0</v>
      </c>
      <c r="U705">
        <v>2</v>
      </c>
      <c r="V705">
        <v>6</v>
      </c>
      <c r="W705">
        <v>71</v>
      </c>
      <c r="X705">
        <v>991</v>
      </c>
      <c r="Y705">
        <v>17759</v>
      </c>
      <c r="Z705">
        <v>2659</v>
      </c>
      <c r="AA705">
        <v>2</v>
      </c>
      <c r="AB705" s="29">
        <v>44773</v>
      </c>
      <c r="AC705" s="29">
        <v>35383</v>
      </c>
      <c r="AD705" s="29">
        <v>44018</v>
      </c>
      <c r="AE705" s="29"/>
      <c r="AF705">
        <v>2</v>
      </c>
      <c r="AG705" t="s">
        <v>157</v>
      </c>
      <c r="AI705">
        <v>24</v>
      </c>
      <c r="AJ705">
        <v>1</v>
      </c>
      <c r="AK705" t="s">
        <v>170</v>
      </c>
      <c r="AL705" t="s">
        <v>77</v>
      </c>
      <c r="AM705">
        <f t="shared" si="50"/>
        <v>3</v>
      </c>
      <c r="AN705">
        <f t="shared" si="51"/>
        <v>7</v>
      </c>
      <c r="AO705" t="str">
        <f t="shared" si="52"/>
        <v/>
      </c>
      <c r="AP705" t="str">
        <f t="shared" si="53"/>
        <v/>
      </c>
      <c r="AQ705">
        <f t="shared" si="54"/>
        <v>2020</v>
      </c>
    </row>
    <row r="706" spans="1:43" x14ac:dyDescent="0.35">
      <c r="A706">
        <v>338</v>
      </c>
      <c r="B706">
        <v>33</v>
      </c>
      <c r="C706" t="s">
        <v>148</v>
      </c>
      <c r="D706" t="s">
        <v>145</v>
      </c>
      <c r="E706" t="s">
        <v>4</v>
      </c>
      <c r="F706" t="s">
        <v>37</v>
      </c>
      <c r="G706" t="s">
        <v>43</v>
      </c>
      <c r="H706" t="s">
        <v>81</v>
      </c>
      <c r="I706" t="s">
        <v>42</v>
      </c>
      <c r="J706" t="s">
        <v>146</v>
      </c>
      <c r="K706" t="s">
        <v>44</v>
      </c>
      <c r="L706" t="s">
        <v>147</v>
      </c>
      <c r="M706" t="s">
        <v>48</v>
      </c>
      <c r="N706" t="s">
        <v>160</v>
      </c>
      <c r="O706" t="s">
        <v>41</v>
      </c>
      <c r="P706" t="s">
        <v>148</v>
      </c>
      <c r="Q706">
        <v>13</v>
      </c>
      <c r="R706">
        <v>1</v>
      </c>
      <c r="S706">
        <v>2</v>
      </c>
      <c r="T706">
        <v>0</v>
      </c>
      <c r="U706">
        <v>2</v>
      </c>
      <c r="V706">
        <v>5</v>
      </c>
      <c r="W706">
        <v>63</v>
      </c>
      <c r="X706">
        <v>832</v>
      </c>
      <c r="Y706">
        <v>14776</v>
      </c>
      <c r="Z706">
        <v>2911</v>
      </c>
      <c r="AA706">
        <v>2</v>
      </c>
      <c r="AB706" s="29">
        <v>44773</v>
      </c>
      <c r="AC706" s="29">
        <v>33067</v>
      </c>
      <c r="AD706" s="29">
        <v>44212</v>
      </c>
      <c r="AE706" s="29"/>
      <c r="AF706">
        <v>2</v>
      </c>
      <c r="AG706" t="s">
        <v>149</v>
      </c>
      <c r="AI706">
        <v>31</v>
      </c>
      <c r="AJ706">
        <v>1</v>
      </c>
      <c r="AK706" t="s">
        <v>170</v>
      </c>
      <c r="AL706" t="s">
        <v>77</v>
      </c>
      <c r="AM706">
        <f t="shared" ref="AM706:AM769" si="55">ROUNDUP(MONTH(AD706)/3,0)</f>
        <v>1</v>
      </c>
      <c r="AN706">
        <f t="shared" ref="AN706:AN769" si="56">MONTH(AD706)</f>
        <v>1</v>
      </c>
      <c r="AO706" t="str">
        <f t="shared" ref="AO706:AO769" si="57">IF(C706="Yes",ROUNDUP(MONTH(AE706)/3,0),"")</f>
        <v/>
      </c>
      <c r="AP706" t="str">
        <f t="shared" ref="AP706:AP769" si="58">IF(C706="Yes",MONTH(AE706),"")</f>
        <v/>
      </c>
      <c r="AQ706">
        <f t="shared" ref="AQ706:AQ769" si="59">YEAR(AD706)</f>
        <v>2021</v>
      </c>
    </row>
    <row r="707" spans="1:43" x14ac:dyDescent="0.35">
      <c r="A707">
        <v>671</v>
      </c>
      <c r="B707">
        <v>44</v>
      </c>
      <c r="C707" t="s">
        <v>148</v>
      </c>
      <c r="D707" t="s">
        <v>145</v>
      </c>
      <c r="E707" t="s">
        <v>4</v>
      </c>
      <c r="F707" t="s">
        <v>37</v>
      </c>
      <c r="G707" t="s">
        <v>44</v>
      </c>
      <c r="H707" t="s">
        <v>82</v>
      </c>
      <c r="I707" t="s">
        <v>43</v>
      </c>
      <c r="J707" t="s">
        <v>169</v>
      </c>
      <c r="K707" t="s">
        <v>44</v>
      </c>
      <c r="L707" t="s">
        <v>147</v>
      </c>
      <c r="M707" t="s">
        <v>50</v>
      </c>
      <c r="N707" t="s">
        <v>160</v>
      </c>
      <c r="O707" t="s">
        <v>41</v>
      </c>
      <c r="P707" t="s">
        <v>144</v>
      </c>
      <c r="Q707">
        <v>12</v>
      </c>
      <c r="R707">
        <v>4</v>
      </c>
      <c r="S707">
        <v>26</v>
      </c>
      <c r="T707">
        <v>0</v>
      </c>
      <c r="U707">
        <v>1</v>
      </c>
      <c r="V707">
        <v>3</v>
      </c>
      <c r="W707">
        <v>35</v>
      </c>
      <c r="X707">
        <v>1315</v>
      </c>
      <c r="Y707">
        <v>9358</v>
      </c>
      <c r="Z707">
        <v>19513</v>
      </c>
      <c r="AA707">
        <v>2</v>
      </c>
      <c r="AB707" s="29">
        <v>44773</v>
      </c>
      <c r="AC707" s="29">
        <v>28785</v>
      </c>
      <c r="AD707" s="29">
        <v>44244</v>
      </c>
      <c r="AE707" s="29"/>
      <c r="AF707">
        <v>1</v>
      </c>
      <c r="AG707" t="s">
        <v>153</v>
      </c>
      <c r="AI707">
        <v>43</v>
      </c>
      <c r="AJ707">
        <v>1</v>
      </c>
      <c r="AK707" t="s">
        <v>170</v>
      </c>
      <c r="AL707" t="s">
        <v>77</v>
      </c>
      <c r="AM707">
        <f t="shared" si="55"/>
        <v>1</v>
      </c>
      <c r="AN707">
        <f t="shared" si="56"/>
        <v>2</v>
      </c>
      <c r="AO707" t="str">
        <f t="shared" si="57"/>
        <v/>
      </c>
      <c r="AP707" t="str">
        <f t="shared" si="58"/>
        <v/>
      </c>
      <c r="AQ707">
        <f t="shared" si="59"/>
        <v>2021</v>
      </c>
    </row>
    <row r="708" spans="1:43" x14ac:dyDescent="0.35">
      <c r="A708">
        <v>784</v>
      </c>
      <c r="B708">
        <v>23</v>
      </c>
      <c r="C708" t="s">
        <v>148</v>
      </c>
      <c r="D708" t="s">
        <v>145</v>
      </c>
      <c r="E708" t="s">
        <v>4</v>
      </c>
      <c r="F708" t="s">
        <v>35</v>
      </c>
      <c r="G708" t="s">
        <v>41</v>
      </c>
      <c r="H708" t="s">
        <v>82</v>
      </c>
      <c r="I708" t="s">
        <v>44</v>
      </c>
      <c r="J708" t="s">
        <v>146</v>
      </c>
      <c r="K708" t="s">
        <v>43</v>
      </c>
      <c r="L708" t="s">
        <v>147</v>
      </c>
      <c r="M708" t="s">
        <v>49</v>
      </c>
      <c r="N708" t="s">
        <v>95</v>
      </c>
      <c r="P708" t="s">
        <v>148</v>
      </c>
      <c r="Q708">
        <v>18</v>
      </c>
      <c r="R708">
        <v>1</v>
      </c>
      <c r="S708">
        <v>2</v>
      </c>
      <c r="T708">
        <v>0</v>
      </c>
      <c r="U708">
        <v>1</v>
      </c>
      <c r="V708">
        <v>10</v>
      </c>
      <c r="W708">
        <v>79</v>
      </c>
      <c r="X708">
        <v>310</v>
      </c>
      <c r="Y708">
        <v>19630</v>
      </c>
      <c r="Z708">
        <v>3505</v>
      </c>
      <c r="AA708">
        <v>3</v>
      </c>
      <c r="AB708" s="29">
        <v>44773</v>
      </c>
      <c r="AC708" s="29">
        <v>36399</v>
      </c>
      <c r="AD708" s="29">
        <v>44292</v>
      </c>
      <c r="AE708" s="29"/>
      <c r="AF708">
        <v>1</v>
      </c>
      <c r="AG708" t="s">
        <v>157</v>
      </c>
      <c r="AI708">
        <v>22</v>
      </c>
      <c r="AJ708">
        <v>1</v>
      </c>
      <c r="AK708" t="s">
        <v>170</v>
      </c>
      <c r="AL708" t="s">
        <v>78</v>
      </c>
      <c r="AM708">
        <f t="shared" si="55"/>
        <v>2</v>
      </c>
      <c r="AN708">
        <f t="shared" si="56"/>
        <v>4</v>
      </c>
      <c r="AO708" t="str">
        <f t="shared" si="57"/>
        <v/>
      </c>
      <c r="AP708" t="str">
        <f t="shared" si="58"/>
        <v/>
      </c>
      <c r="AQ708">
        <f t="shared" si="59"/>
        <v>2021</v>
      </c>
    </row>
    <row r="709" spans="1:43" x14ac:dyDescent="0.35">
      <c r="A709">
        <v>665</v>
      </c>
      <c r="B709">
        <v>44</v>
      </c>
      <c r="C709" t="s">
        <v>148</v>
      </c>
      <c r="D709" t="s">
        <v>145</v>
      </c>
      <c r="E709" t="s">
        <v>168</v>
      </c>
      <c r="F709" t="s">
        <v>37</v>
      </c>
      <c r="G709" t="s">
        <v>41</v>
      </c>
      <c r="H709" t="s">
        <v>81</v>
      </c>
      <c r="I709" t="s">
        <v>42</v>
      </c>
      <c r="J709" t="s">
        <v>168</v>
      </c>
      <c r="K709" t="s">
        <v>43</v>
      </c>
      <c r="L709" t="s">
        <v>147</v>
      </c>
      <c r="M709" t="s">
        <v>50</v>
      </c>
      <c r="N709" t="s">
        <v>95</v>
      </c>
      <c r="P709" t="s">
        <v>148</v>
      </c>
      <c r="Q709">
        <v>11</v>
      </c>
      <c r="R709">
        <v>4</v>
      </c>
      <c r="S709">
        <v>10</v>
      </c>
      <c r="T709">
        <v>0</v>
      </c>
      <c r="U709">
        <v>1</v>
      </c>
      <c r="V709">
        <v>1</v>
      </c>
      <c r="W709">
        <v>50</v>
      </c>
      <c r="X709">
        <v>1112</v>
      </c>
      <c r="Y709">
        <v>26894</v>
      </c>
      <c r="Z709">
        <v>5985</v>
      </c>
      <c r="AA709">
        <v>1</v>
      </c>
      <c r="AB709" s="29">
        <v>44773</v>
      </c>
      <c r="AC709" s="29">
        <v>28967</v>
      </c>
      <c r="AD709" s="29">
        <v>44320</v>
      </c>
      <c r="AE709" s="29"/>
      <c r="AF709">
        <v>1</v>
      </c>
      <c r="AG709" t="s">
        <v>153</v>
      </c>
      <c r="AI709">
        <v>43</v>
      </c>
      <c r="AJ709">
        <v>1</v>
      </c>
      <c r="AK709" t="s">
        <v>170</v>
      </c>
      <c r="AL709" t="s">
        <v>77</v>
      </c>
      <c r="AM709">
        <f t="shared" si="55"/>
        <v>2</v>
      </c>
      <c r="AN709">
        <f t="shared" si="56"/>
        <v>5</v>
      </c>
      <c r="AO709" t="str">
        <f t="shared" si="57"/>
        <v/>
      </c>
      <c r="AP709" t="str">
        <f t="shared" si="58"/>
        <v/>
      </c>
      <c r="AQ709">
        <f t="shared" si="59"/>
        <v>2021</v>
      </c>
    </row>
    <row r="710" spans="1:43" x14ac:dyDescent="0.35">
      <c r="A710">
        <v>143</v>
      </c>
      <c r="B710">
        <v>25</v>
      </c>
      <c r="C710" t="s">
        <v>148</v>
      </c>
      <c r="D710" t="s">
        <v>145</v>
      </c>
      <c r="E710" t="s">
        <v>4</v>
      </c>
      <c r="F710" t="s">
        <v>35</v>
      </c>
      <c r="G710" t="s">
        <v>44</v>
      </c>
      <c r="H710" t="s">
        <v>82</v>
      </c>
      <c r="I710" t="s">
        <v>42</v>
      </c>
      <c r="J710" t="s">
        <v>146</v>
      </c>
      <c r="K710" t="s">
        <v>44</v>
      </c>
      <c r="L710" t="s">
        <v>147</v>
      </c>
      <c r="M710" t="s">
        <v>49</v>
      </c>
      <c r="N710" t="s">
        <v>160</v>
      </c>
      <c r="O710" t="s">
        <v>156</v>
      </c>
      <c r="P710" t="s">
        <v>148</v>
      </c>
      <c r="Q710">
        <v>11</v>
      </c>
      <c r="R710">
        <v>1</v>
      </c>
      <c r="S710">
        <v>2</v>
      </c>
      <c r="T710">
        <v>0</v>
      </c>
      <c r="U710">
        <v>1</v>
      </c>
      <c r="V710">
        <v>7</v>
      </c>
      <c r="W710">
        <v>64</v>
      </c>
      <c r="X710">
        <v>1280</v>
      </c>
      <c r="Y710">
        <v>26897</v>
      </c>
      <c r="Z710">
        <v>2889</v>
      </c>
      <c r="AA710">
        <v>2</v>
      </c>
      <c r="AB710" s="29">
        <v>44773</v>
      </c>
      <c r="AC710" s="29">
        <v>35981</v>
      </c>
      <c r="AD710" s="29">
        <v>44355</v>
      </c>
      <c r="AE710" s="29"/>
      <c r="AF710">
        <v>1</v>
      </c>
      <c r="AG710" t="s">
        <v>157</v>
      </c>
      <c r="AI710">
        <v>24</v>
      </c>
      <c r="AJ710">
        <v>2</v>
      </c>
      <c r="AK710" t="s">
        <v>170</v>
      </c>
      <c r="AL710" t="s">
        <v>78</v>
      </c>
      <c r="AM710">
        <f t="shared" si="55"/>
        <v>2</v>
      </c>
      <c r="AN710">
        <f t="shared" si="56"/>
        <v>6</v>
      </c>
      <c r="AO710" t="str">
        <f t="shared" si="57"/>
        <v/>
      </c>
      <c r="AP710" t="str">
        <f t="shared" si="58"/>
        <v/>
      </c>
      <c r="AQ710">
        <f t="shared" si="59"/>
        <v>2021</v>
      </c>
    </row>
    <row r="711" spans="1:43" x14ac:dyDescent="0.35">
      <c r="A711">
        <v>1680</v>
      </c>
      <c r="B711">
        <v>20</v>
      </c>
      <c r="C711" t="s">
        <v>148</v>
      </c>
      <c r="D711" t="s">
        <v>145</v>
      </c>
      <c r="E711" t="s">
        <v>158</v>
      </c>
      <c r="F711" t="s">
        <v>35</v>
      </c>
      <c r="G711" t="s">
        <v>44</v>
      </c>
      <c r="H711" t="s">
        <v>82</v>
      </c>
      <c r="I711" t="s">
        <v>43</v>
      </c>
      <c r="J711" t="s">
        <v>166</v>
      </c>
      <c r="K711" t="s">
        <v>41</v>
      </c>
      <c r="L711" t="s">
        <v>147</v>
      </c>
      <c r="M711" t="s">
        <v>49</v>
      </c>
      <c r="N711" t="s">
        <v>95</v>
      </c>
      <c r="P711" t="s">
        <v>148</v>
      </c>
      <c r="Q711">
        <v>11</v>
      </c>
      <c r="R711">
        <v>1</v>
      </c>
      <c r="S711">
        <v>2</v>
      </c>
      <c r="T711">
        <v>0</v>
      </c>
      <c r="U711">
        <v>1</v>
      </c>
      <c r="V711">
        <v>9</v>
      </c>
      <c r="W711">
        <v>54</v>
      </c>
      <c r="X711">
        <v>727</v>
      </c>
      <c r="Y711">
        <v>21082</v>
      </c>
      <c r="Z711">
        <v>2728</v>
      </c>
      <c r="AA711">
        <v>3</v>
      </c>
      <c r="AB711" s="29">
        <v>44773</v>
      </c>
      <c r="AC711" s="29">
        <v>37742</v>
      </c>
      <c r="AD711" s="29">
        <v>44383</v>
      </c>
      <c r="AE711" s="29"/>
      <c r="AF711">
        <v>1</v>
      </c>
      <c r="AG711" t="s">
        <v>157</v>
      </c>
      <c r="AI711">
        <v>19</v>
      </c>
      <c r="AJ711">
        <v>1</v>
      </c>
      <c r="AK711" t="s">
        <v>170</v>
      </c>
      <c r="AL711" t="s">
        <v>77</v>
      </c>
      <c r="AM711">
        <f t="shared" si="55"/>
        <v>3</v>
      </c>
      <c r="AN711">
        <f t="shared" si="56"/>
        <v>7</v>
      </c>
      <c r="AO711" t="str">
        <f t="shared" si="57"/>
        <v/>
      </c>
      <c r="AP711" t="str">
        <f t="shared" si="58"/>
        <v/>
      </c>
      <c r="AQ711">
        <f t="shared" si="59"/>
        <v>2021</v>
      </c>
    </row>
    <row r="712" spans="1:43" x14ac:dyDescent="0.35">
      <c r="A712">
        <v>1269</v>
      </c>
      <c r="B712">
        <v>19</v>
      </c>
      <c r="C712" t="s">
        <v>148</v>
      </c>
      <c r="D712" t="s">
        <v>145</v>
      </c>
      <c r="E712" t="s">
        <v>4</v>
      </c>
      <c r="F712" t="s">
        <v>38</v>
      </c>
      <c r="G712" t="s">
        <v>42</v>
      </c>
      <c r="H712" t="s">
        <v>81</v>
      </c>
      <c r="I712" t="s">
        <v>44</v>
      </c>
      <c r="J712" t="s">
        <v>146</v>
      </c>
      <c r="K712" t="s">
        <v>44</v>
      </c>
      <c r="L712" t="s">
        <v>147</v>
      </c>
      <c r="M712" t="s">
        <v>49</v>
      </c>
      <c r="N712" t="s">
        <v>95</v>
      </c>
      <c r="P712" t="s">
        <v>144</v>
      </c>
      <c r="Q712">
        <v>12</v>
      </c>
      <c r="R712">
        <v>1</v>
      </c>
      <c r="S712">
        <v>1</v>
      </c>
      <c r="T712">
        <v>0</v>
      </c>
      <c r="U712">
        <v>1</v>
      </c>
      <c r="V712">
        <v>25</v>
      </c>
      <c r="W712">
        <v>57</v>
      </c>
      <c r="X712">
        <v>265</v>
      </c>
      <c r="Y712">
        <v>21221</v>
      </c>
      <c r="Z712">
        <v>2994</v>
      </c>
      <c r="AA712">
        <v>2</v>
      </c>
      <c r="AB712" s="29">
        <v>44773</v>
      </c>
      <c r="AC712" s="29">
        <v>37893</v>
      </c>
      <c r="AD712" s="29">
        <v>44410</v>
      </c>
      <c r="AE712" s="29"/>
      <c r="AF712">
        <v>1</v>
      </c>
      <c r="AG712" t="s">
        <v>172</v>
      </c>
      <c r="AI712">
        <v>18</v>
      </c>
      <c r="AJ712">
        <v>1</v>
      </c>
      <c r="AK712" t="s">
        <v>170</v>
      </c>
      <c r="AL712" t="s">
        <v>77</v>
      </c>
      <c r="AM712">
        <f t="shared" si="55"/>
        <v>3</v>
      </c>
      <c r="AN712">
        <f t="shared" si="56"/>
        <v>8</v>
      </c>
      <c r="AO712" t="str">
        <f t="shared" si="57"/>
        <v/>
      </c>
      <c r="AP712" t="str">
        <f t="shared" si="58"/>
        <v/>
      </c>
      <c r="AQ712">
        <f t="shared" si="59"/>
        <v>2021</v>
      </c>
    </row>
    <row r="713" spans="1:43" x14ac:dyDescent="0.35">
      <c r="A713">
        <v>1601</v>
      </c>
      <c r="B713">
        <v>35</v>
      </c>
      <c r="C713" t="s">
        <v>148</v>
      </c>
      <c r="D713" t="s">
        <v>145</v>
      </c>
      <c r="E713" t="s">
        <v>4</v>
      </c>
      <c r="F713" t="s">
        <v>36</v>
      </c>
      <c r="G713" t="s">
        <v>43</v>
      </c>
      <c r="H713" t="s">
        <v>82</v>
      </c>
      <c r="I713" t="s">
        <v>42</v>
      </c>
      <c r="J713" t="s">
        <v>155</v>
      </c>
      <c r="K713" t="s">
        <v>44</v>
      </c>
      <c r="L713" t="s">
        <v>147</v>
      </c>
      <c r="M713" t="s">
        <v>48</v>
      </c>
      <c r="N713" t="s">
        <v>160</v>
      </c>
      <c r="O713" t="s">
        <v>41</v>
      </c>
      <c r="P713" t="s">
        <v>148</v>
      </c>
      <c r="Q713">
        <v>18</v>
      </c>
      <c r="R713">
        <v>1</v>
      </c>
      <c r="S713">
        <v>1</v>
      </c>
      <c r="T713">
        <v>0</v>
      </c>
      <c r="U713">
        <v>1</v>
      </c>
      <c r="V713">
        <v>7</v>
      </c>
      <c r="W713">
        <v>63</v>
      </c>
      <c r="X713">
        <v>1349</v>
      </c>
      <c r="Y713">
        <v>7713</v>
      </c>
      <c r="Z713">
        <v>2690</v>
      </c>
      <c r="AA713">
        <v>5</v>
      </c>
      <c r="AB713" s="29">
        <v>44773</v>
      </c>
      <c r="AC713" s="29">
        <v>32266</v>
      </c>
      <c r="AD713" s="29">
        <v>44527</v>
      </c>
      <c r="AE713" s="29"/>
      <c r="AF713">
        <v>1</v>
      </c>
      <c r="AG713" t="s">
        <v>149</v>
      </c>
      <c r="AI713">
        <v>34</v>
      </c>
      <c r="AJ713">
        <v>2</v>
      </c>
      <c r="AK713" t="s">
        <v>170</v>
      </c>
      <c r="AL713" t="s">
        <v>77</v>
      </c>
      <c r="AM713">
        <f t="shared" si="55"/>
        <v>4</v>
      </c>
      <c r="AN713">
        <f t="shared" si="56"/>
        <v>11</v>
      </c>
      <c r="AO713" t="str">
        <f t="shared" si="57"/>
        <v/>
      </c>
      <c r="AP713" t="str">
        <f t="shared" si="58"/>
        <v/>
      </c>
      <c r="AQ713">
        <f t="shared" si="59"/>
        <v>2021</v>
      </c>
    </row>
    <row r="714" spans="1:43" x14ac:dyDescent="0.35">
      <c r="A714">
        <v>776</v>
      </c>
      <c r="B714">
        <v>52</v>
      </c>
      <c r="C714" t="s">
        <v>148</v>
      </c>
      <c r="D714" t="s">
        <v>145</v>
      </c>
      <c r="E714" t="s">
        <v>158</v>
      </c>
      <c r="F714" t="s">
        <v>37</v>
      </c>
      <c r="G714" t="s">
        <v>43</v>
      </c>
      <c r="H714" t="s">
        <v>82</v>
      </c>
      <c r="I714" t="s">
        <v>42</v>
      </c>
      <c r="J714" t="s">
        <v>169</v>
      </c>
      <c r="K714" t="s">
        <v>41</v>
      </c>
      <c r="L714" t="s">
        <v>48</v>
      </c>
      <c r="M714" t="s">
        <v>50</v>
      </c>
      <c r="N714" t="s">
        <v>160</v>
      </c>
      <c r="P714" t="s">
        <v>148</v>
      </c>
      <c r="Q714">
        <v>11</v>
      </c>
      <c r="R714">
        <v>1</v>
      </c>
      <c r="S714">
        <v>34</v>
      </c>
      <c r="T714">
        <v>1</v>
      </c>
      <c r="U714">
        <v>16</v>
      </c>
      <c r="V714">
        <v>3</v>
      </c>
      <c r="W714">
        <v>31</v>
      </c>
      <c r="X714">
        <v>621</v>
      </c>
      <c r="Y714">
        <v>10084</v>
      </c>
      <c r="Z714">
        <v>16856</v>
      </c>
      <c r="AA714">
        <v>3</v>
      </c>
      <c r="AB714" s="29">
        <v>44773</v>
      </c>
      <c r="AC714" s="29">
        <v>25997</v>
      </c>
      <c r="AD714" s="29">
        <v>32601</v>
      </c>
      <c r="AE714" s="29"/>
      <c r="AF714">
        <v>33</v>
      </c>
      <c r="AG714" t="s">
        <v>167</v>
      </c>
      <c r="AI714">
        <v>19</v>
      </c>
      <c r="AJ714">
        <v>1</v>
      </c>
      <c r="AK714" t="s">
        <v>163</v>
      </c>
      <c r="AL714" t="s">
        <v>77</v>
      </c>
      <c r="AM714">
        <f t="shared" si="55"/>
        <v>2</v>
      </c>
      <c r="AN714">
        <f t="shared" si="56"/>
        <v>4</v>
      </c>
      <c r="AO714" t="str">
        <f t="shared" si="57"/>
        <v/>
      </c>
      <c r="AP714" t="str">
        <f t="shared" si="58"/>
        <v/>
      </c>
      <c r="AQ714">
        <f t="shared" si="59"/>
        <v>1989</v>
      </c>
    </row>
    <row r="715" spans="1:43" x14ac:dyDescent="0.35">
      <c r="A715">
        <v>1402</v>
      </c>
      <c r="B715">
        <v>43</v>
      </c>
      <c r="C715" t="s">
        <v>148</v>
      </c>
      <c r="D715" t="s">
        <v>145</v>
      </c>
      <c r="E715" t="s">
        <v>4</v>
      </c>
      <c r="F715" t="s">
        <v>38</v>
      </c>
      <c r="G715" t="s">
        <v>41</v>
      </c>
      <c r="H715" t="s">
        <v>81</v>
      </c>
      <c r="I715" t="s">
        <v>42</v>
      </c>
      <c r="J715" t="s">
        <v>146</v>
      </c>
      <c r="K715" t="s">
        <v>43</v>
      </c>
      <c r="L715" t="s">
        <v>48</v>
      </c>
      <c r="M715" t="s">
        <v>47</v>
      </c>
      <c r="N715" t="s">
        <v>95</v>
      </c>
      <c r="P715" t="s">
        <v>144</v>
      </c>
      <c r="Q715">
        <v>14</v>
      </c>
      <c r="R715">
        <v>1</v>
      </c>
      <c r="S715">
        <v>20</v>
      </c>
      <c r="T715">
        <v>1</v>
      </c>
      <c r="U715">
        <v>8</v>
      </c>
      <c r="V715">
        <v>6</v>
      </c>
      <c r="W715">
        <v>73</v>
      </c>
      <c r="X715">
        <v>930</v>
      </c>
      <c r="Y715">
        <v>20003</v>
      </c>
      <c r="Z715">
        <v>4081</v>
      </c>
      <c r="AA715">
        <v>3</v>
      </c>
      <c r="AB715" s="29">
        <v>44773</v>
      </c>
      <c r="AC715" s="29">
        <v>29204</v>
      </c>
      <c r="AD715" s="29">
        <v>37624</v>
      </c>
      <c r="AE715" s="29"/>
      <c r="AF715">
        <v>20</v>
      </c>
      <c r="AG715" t="s">
        <v>153</v>
      </c>
      <c r="AI715">
        <v>23</v>
      </c>
      <c r="AJ715">
        <v>1</v>
      </c>
      <c r="AK715" t="s">
        <v>163</v>
      </c>
      <c r="AL715" t="s">
        <v>77</v>
      </c>
      <c r="AM715">
        <f t="shared" si="55"/>
        <v>1</v>
      </c>
      <c r="AN715">
        <f t="shared" si="56"/>
        <v>1</v>
      </c>
      <c r="AO715" t="str">
        <f t="shared" si="57"/>
        <v/>
      </c>
      <c r="AP715" t="str">
        <f t="shared" si="58"/>
        <v/>
      </c>
      <c r="AQ715">
        <f t="shared" si="59"/>
        <v>2003</v>
      </c>
    </row>
    <row r="716" spans="1:43" x14ac:dyDescent="0.35">
      <c r="A716">
        <v>729</v>
      </c>
      <c r="B716">
        <v>40</v>
      </c>
      <c r="C716" t="s">
        <v>148</v>
      </c>
      <c r="D716" t="s">
        <v>151</v>
      </c>
      <c r="E716" t="s">
        <v>158</v>
      </c>
      <c r="F716" t="s">
        <v>37</v>
      </c>
      <c r="G716" t="s">
        <v>44</v>
      </c>
      <c r="H716" t="s">
        <v>82</v>
      </c>
      <c r="I716" t="s">
        <v>42</v>
      </c>
      <c r="J716" t="s">
        <v>159</v>
      </c>
      <c r="K716" t="s">
        <v>41</v>
      </c>
      <c r="L716" t="s">
        <v>152</v>
      </c>
      <c r="M716" t="s">
        <v>49</v>
      </c>
      <c r="N716" t="s">
        <v>160</v>
      </c>
      <c r="O716" t="s">
        <v>41</v>
      </c>
      <c r="P716" t="s">
        <v>144</v>
      </c>
      <c r="Q716">
        <v>21</v>
      </c>
      <c r="R716">
        <v>5</v>
      </c>
      <c r="S716">
        <v>20</v>
      </c>
      <c r="T716">
        <v>1</v>
      </c>
      <c r="U716">
        <v>12</v>
      </c>
      <c r="V716">
        <v>5</v>
      </c>
      <c r="W716">
        <v>48</v>
      </c>
      <c r="X716">
        <v>580</v>
      </c>
      <c r="Y716">
        <v>23772</v>
      </c>
      <c r="Z716">
        <v>10475</v>
      </c>
      <c r="AA716">
        <v>2</v>
      </c>
      <c r="AB716" s="29">
        <v>44773</v>
      </c>
      <c r="AC716" s="29">
        <v>30275</v>
      </c>
      <c r="AD716" s="29">
        <v>38321</v>
      </c>
      <c r="AE716" s="29"/>
      <c r="AF716">
        <v>18</v>
      </c>
      <c r="AG716" t="s">
        <v>153</v>
      </c>
      <c r="AI716">
        <v>22</v>
      </c>
      <c r="AJ716">
        <v>1</v>
      </c>
      <c r="AK716" t="s">
        <v>163</v>
      </c>
      <c r="AL716" t="s">
        <v>77</v>
      </c>
      <c r="AM716">
        <f t="shared" si="55"/>
        <v>4</v>
      </c>
      <c r="AN716">
        <f t="shared" si="56"/>
        <v>11</v>
      </c>
      <c r="AO716" t="str">
        <f t="shared" si="57"/>
        <v/>
      </c>
      <c r="AP716" t="str">
        <f t="shared" si="58"/>
        <v/>
      </c>
      <c r="AQ716">
        <f t="shared" si="59"/>
        <v>2004</v>
      </c>
    </row>
    <row r="717" spans="1:43" x14ac:dyDescent="0.35">
      <c r="A717">
        <v>327</v>
      </c>
      <c r="B717">
        <v>43</v>
      </c>
      <c r="C717" t="s">
        <v>148</v>
      </c>
      <c r="D717" t="s">
        <v>145</v>
      </c>
      <c r="E717" t="s">
        <v>158</v>
      </c>
      <c r="F717" t="s">
        <v>38</v>
      </c>
      <c r="G717" t="s">
        <v>44</v>
      </c>
      <c r="H717" t="s">
        <v>81</v>
      </c>
      <c r="I717" t="s">
        <v>43</v>
      </c>
      <c r="J717" t="s">
        <v>169</v>
      </c>
      <c r="K717" t="s">
        <v>44</v>
      </c>
      <c r="L717" t="s">
        <v>152</v>
      </c>
      <c r="M717" t="s">
        <v>49</v>
      </c>
      <c r="N717" t="s">
        <v>160</v>
      </c>
      <c r="O717" t="s">
        <v>41</v>
      </c>
      <c r="P717" t="s">
        <v>144</v>
      </c>
      <c r="Q717">
        <v>22</v>
      </c>
      <c r="R717">
        <v>5</v>
      </c>
      <c r="S717">
        <v>22</v>
      </c>
      <c r="T717">
        <v>1</v>
      </c>
      <c r="U717">
        <v>9</v>
      </c>
      <c r="V717">
        <v>16</v>
      </c>
      <c r="W717">
        <v>80</v>
      </c>
      <c r="X717">
        <v>1034</v>
      </c>
      <c r="Y717">
        <v>7744</v>
      </c>
      <c r="Z717">
        <v>16064</v>
      </c>
      <c r="AA717">
        <v>3</v>
      </c>
      <c r="AB717" s="29">
        <v>44773</v>
      </c>
      <c r="AC717" s="29">
        <v>29214</v>
      </c>
      <c r="AD717" s="29">
        <v>38873</v>
      </c>
      <c r="AE717" s="29"/>
      <c r="AF717">
        <v>16</v>
      </c>
      <c r="AG717" t="s">
        <v>153</v>
      </c>
      <c r="AI717">
        <v>27</v>
      </c>
      <c r="AJ717">
        <v>1</v>
      </c>
      <c r="AK717" t="s">
        <v>163</v>
      </c>
      <c r="AL717" t="s">
        <v>77</v>
      </c>
      <c r="AM717">
        <f t="shared" si="55"/>
        <v>2</v>
      </c>
      <c r="AN717">
        <f t="shared" si="56"/>
        <v>6</v>
      </c>
      <c r="AO717" t="str">
        <f t="shared" si="57"/>
        <v/>
      </c>
      <c r="AP717" t="str">
        <f t="shared" si="58"/>
        <v/>
      </c>
      <c r="AQ717">
        <f t="shared" si="59"/>
        <v>2006</v>
      </c>
    </row>
    <row r="718" spans="1:43" x14ac:dyDescent="0.35">
      <c r="A718">
        <v>1621</v>
      </c>
      <c r="B718">
        <v>35</v>
      </c>
      <c r="C718" t="s">
        <v>148</v>
      </c>
      <c r="D718" t="s">
        <v>145</v>
      </c>
      <c r="E718" t="s">
        <v>4</v>
      </c>
      <c r="F718" t="s">
        <v>34</v>
      </c>
      <c r="G718" t="s">
        <v>42</v>
      </c>
      <c r="H718" t="s">
        <v>82</v>
      </c>
      <c r="I718" t="s">
        <v>44</v>
      </c>
      <c r="J718" t="s">
        <v>146</v>
      </c>
      <c r="K718" t="s">
        <v>41</v>
      </c>
      <c r="L718" t="s">
        <v>48</v>
      </c>
      <c r="M718" t="s">
        <v>49</v>
      </c>
      <c r="N718" t="s">
        <v>160</v>
      </c>
      <c r="P718" t="s">
        <v>148</v>
      </c>
      <c r="Q718">
        <v>11</v>
      </c>
      <c r="R718">
        <v>1</v>
      </c>
      <c r="S718">
        <v>16</v>
      </c>
      <c r="T718">
        <v>1</v>
      </c>
      <c r="U718">
        <v>10</v>
      </c>
      <c r="V718">
        <v>18</v>
      </c>
      <c r="W718">
        <v>48</v>
      </c>
      <c r="X718">
        <v>819</v>
      </c>
      <c r="Y718">
        <v>26312</v>
      </c>
      <c r="Z718">
        <v>5208</v>
      </c>
      <c r="AA718">
        <v>2</v>
      </c>
      <c r="AB718" s="29">
        <v>44773</v>
      </c>
      <c r="AC718" s="29">
        <v>32116</v>
      </c>
      <c r="AD718" s="29">
        <v>39058</v>
      </c>
      <c r="AE718" s="29"/>
      <c r="AF718">
        <v>16</v>
      </c>
      <c r="AG718" t="s">
        <v>149</v>
      </c>
      <c r="AI718">
        <v>19</v>
      </c>
      <c r="AJ718">
        <v>1</v>
      </c>
      <c r="AK718" t="s">
        <v>163</v>
      </c>
      <c r="AL718" t="s">
        <v>77</v>
      </c>
      <c r="AM718">
        <f t="shared" si="55"/>
        <v>4</v>
      </c>
      <c r="AN718">
        <f t="shared" si="56"/>
        <v>12</v>
      </c>
      <c r="AO718" t="str">
        <f t="shared" si="57"/>
        <v/>
      </c>
      <c r="AP718" t="str">
        <f t="shared" si="58"/>
        <v/>
      </c>
      <c r="AQ718">
        <f t="shared" si="59"/>
        <v>2006</v>
      </c>
    </row>
    <row r="719" spans="1:43" x14ac:dyDescent="0.35">
      <c r="A719">
        <v>1080</v>
      </c>
      <c r="B719">
        <v>46</v>
      </c>
      <c r="C719" t="s">
        <v>148</v>
      </c>
      <c r="D719" t="s">
        <v>145</v>
      </c>
      <c r="E719" t="s">
        <v>4</v>
      </c>
      <c r="F719" t="s">
        <v>37</v>
      </c>
      <c r="G719" t="s">
        <v>44</v>
      </c>
      <c r="H719" t="s">
        <v>81</v>
      </c>
      <c r="I719" t="s">
        <v>42</v>
      </c>
      <c r="J719" t="s">
        <v>146</v>
      </c>
      <c r="K719" t="s">
        <v>41</v>
      </c>
      <c r="L719" t="s">
        <v>152</v>
      </c>
      <c r="M719" t="s">
        <v>49</v>
      </c>
      <c r="N719" t="s">
        <v>96</v>
      </c>
      <c r="O719" t="s">
        <v>43</v>
      </c>
      <c r="P719" t="s">
        <v>144</v>
      </c>
      <c r="Q719">
        <v>23</v>
      </c>
      <c r="R719">
        <v>8</v>
      </c>
      <c r="S719">
        <v>19</v>
      </c>
      <c r="T719">
        <v>1</v>
      </c>
      <c r="U719">
        <v>7</v>
      </c>
      <c r="V719">
        <v>8</v>
      </c>
      <c r="W719">
        <v>74</v>
      </c>
      <c r="X719">
        <v>1003</v>
      </c>
      <c r="Y719">
        <v>21029</v>
      </c>
      <c r="Z719">
        <v>4615</v>
      </c>
      <c r="AA719">
        <v>2</v>
      </c>
      <c r="AB719" s="29">
        <v>44773</v>
      </c>
      <c r="AC719" s="29">
        <v>28230</v>
      </c>
      <c r="AD719" s="29">
        <v>39206</v>
      </c>
      <c r="AE719" s="29"/>
      <c r="AF719">
        <v>15</v>
      </c>
      <c r="AG719" t="s">
        <v>153</v>
      </c>
      <c r="AI719">
        <v>31</v>
      </c>
      <c r="AJ719">
        <v>1</v>
      </c>
      <c r="AK719" t="s">
        <v>163</v>
      </c>
      <c r="AL719" t="s">
        <v>77</v>
      </c>
      <c r="AM719">
        <f t="shared" si="55"/>
        <v>2</v>
      </c>
      <c r="AN719">
        <f t="shared" si="56"/>
        <v>5</v>
      </c>
      <c r="AO719" t="str">
        <f t="shared" si="57"/>
        <v/>
      </c>
      <c r="AP719" t="str">
        <f t="shared" si="58"/>
        <v/>
      </c>
      <c r="AQ719">
        <f t="shared" si="59"/>
        <v>2007</v>
      </c>
    </row>
    <row r="720" spans="1:43" x14ac:dyDescent="0.35">
      <c r="A720">
        <v>1520</v>
      </c>
      <c r="B720">
        <v>54</v>
      </c>
      <c r="C720" t="s">
        <v>148</v>
      </c>
      <c r="D720" t="s">
        <v>151</v>
      </c>
      <c r="E720" t="s">
        <v>4</v>
      </c>
      <c r="F720" t="s">
        <v>37</v>
      </c>
      <c r="G720" t="s">
        <v>42</v>
      </c>
      <c r="H720" t="s">
        <v>81</v>
      </c>
      <c r="I720" t="s">
        <v>43</v>
      </c>
      <c r="J720" t="s">
        <v>169</v>
      </c>
      <c r="K720" t="s">
        <v>44</v>
      </c>
      <c r="L720" t="s">
        <v>152</v>
      </c>
      <c r="M720" t="s">
        <v>49</v>
      </c>
      <c r="N720" t="s">
        <v>96</v>
      </c>
      <c r="O720" t="s">
        <v>41</v>
      </c>
      <c r="P720" t="s">
        <v>148</v>
      </c>
      <c r="Q720">
        <v>20</v>
      </c>
      <c r="R720">
        <v>3</v>
      </c>
      <c r="S720">
        <v>26</v>
      </c>
      <c r="T720">
        <v>1</v>
      </c>
      <c r="U720">
        <v>12</v>
      </c>
      <c r="V720">
        <v>11</v>
      </c>
      <c r="W720">
        <v>87</v>
      </c>
      <c r="X720">
        <v>1050</v>
      </c>
      <c r="Y720">
        <v>24456</v>
      </c>
      <c r="Z720">
        <v>16032</v>
      </c>
      <c r="AA720">
        <v>2</v>
      </c>
      <c r="AB720" s="29">
        <v>44773</v>
      </c>
      <c r="AC720" s="29">
        <v>25338</v>
      </c>
      <c r="AD720" s="29">
        <v>39720</v>
      </c>
      <c r="AE720" s="29"/>
      <c r="AF720">
        <v>14</v>
      </c>
      <c r="AG720" t="s">
        <v>167</v>
      </c>
      <c r="AI720">
        <v>40</v>
      </c>
      <c r="AJ720">
        <v>1</v>
      </c>
      <c r="AK720" t="s">
        <v>154</v>
      </c>
      <c r="AL720" t="s">
        <v>77</v>
      </c>
      <c r="AM720">
        <f t="shared" si="55"/>
        <v>3</v>
      </c>
      <c r="AN720">
        <f t="shared" si="56"/>
        <v>9</v>
      </c>
      <c r="AO720" t="str">
        <f t="shared" si="57"/>
        <v/>
      </c>
      <c r="AP720" t="str">
        <f t="shared" si="58"/>
        <v/>
      </c>
      <c r="AQ720">
        <f t="shared" si="59"/>
        <v>2008</v>
      </c>
    </row>
    <row r="721" spans="1:43" x14ac:dyDescent="0.35">
      <c r="A721">
        <v>107</v>
      </c>
      <c r="B721">
        <v>38</v>
      </c>
      <c r="C721" t="s">
        <v>148</v>
      </c>
      <c r="D721" t="s">
        <v>164</v>
      </c>
      <c r="E721" t="s">
        <v>4</v>
      </c>
      <c r="F721" t="s">
        <v>38</v>
      </c>
      <c r="G721" t="s">
        <v>42</v>
      </c>
      <c r="H721" t="s">
        <v>81</v>
      </c>
      <c r="I721" t="s">
        <v>41</v>
      </c>
      <c r="J721" t="s">
        <v>146</v>
      </c>
      <c r="K721" t="s">
        <v>44</v>
      </c>
      <c r="L721" t="s">
        <v>48</v>
      </c>
      <c r="M721" t="s">
        <v>49</v>
      </c>
      <c r="N721" t="s">
        <v>96</v>
      </c>
      <c r="O721" t="s">
        <v>43</v>
      </c>
      <c r="P721" t="s">
        <v>144</v>
      </c>
      <c r="Q721">
        <v>12</v>
      </c>
      <c r="R721">
        <v>7</v>
      </c>
      <c r="S721">
        <v>17</v>
      </c>
      <c r="T721">
        <v>1</v>
      </c>
      <c r="U721">
        <v>9</v>
      </c>
      <c r="V721">
        <v>6</v>
      </c>
      <c r="W721">
        <v>79</v>
      </c>
      <c r="X721">
        <v>573</v>
      </c>
      <c r="Y721">
        <v>15717</v>
      </c>
      <c r="Z721">
        <v>5329</v>
      </c>
      <c r="AA721">
        <v>3</v>
      </c>
      <c r="AB721" s="29">
        <v>44773</v>
      </c>
      <c r="AC721" s="29">
        <v>31025</v>
      </c>
      <c r="AD721" s="29">
        <v>40246</v>
      </c>
      <c r="AE721" s="29"/>
      <c r="AF721">
        <v>12</v>
      </c>
      <c r="AG721" t="s">
        <v>149</v>
      </c>
      <c r="AI721">
        <v>26</v>
      </c>
      <c r="AJ721">
        <v>1</v>
      </c>
      <c r="AK721" t="s">
        <v>154</v>
      </c>
      <c r="AL721" t="s">
        <v>77</v>
      </c>
      <c r="AM721">
        <f t="shared" si="55"/>
        <v>1</v>
      </c>
      <c r="AN721">
        <f t="shared" si="56"/>
        <v>3</v>
      </c>
      <c r="AO721" t="str">
        <f t="shared" si="57"/>
        <v/>
      </c>
      <c r="AP721" t="str">
        <f t="shared" si="58"/>
        <v/>
      </c>
      <c r="AQ721">
        <f t="shared" si="59"/>
        <v>2010</v>
      </c>
    </row>
    <row r="722" spans="1:43" x14ac:dyDescent="0.35">
      <c r="A722">
        <v>2026</v>
      </c>
      <c r="B722">
        <v>56</v>
      </c>
      <c r="C722" t="s">
        <v>148</v>
      </c>
      <c r="D722" t="s">
        <v>164</v>
      </c>
      <c r="E722" t="s">
        <v>4</v>
      </c>
      <c r="F722" t="s">
        <v>37</v>
      </c>
      <c r="G722" t="s">
        <v>43</v>
      </c>
      <c r="H722" t="s">
        <v>82</v>
      </c>
      <c r="I722" t="s">
        <v>43</v>
      </c>
      <c r="J722" t="s">
        <v>161</v>
      </c>
      <c r="K722" t="s">
        <v>43</v>
      </c>
      <c r="L722" t="s">
        <v>152</v>
      </c>
      <c r="M722" t="s">
        <v>48</v>
      </c>
      <c r="N722" t="s">
        <v>96</v>
      </c>
      <c r="O722" t="s">
        <v>41</v>
      </c>
      <c r="P722" t="s">
        <v>148</v>
      </c>
      <c r="Q722">
        <v>21</v>
      </c>
      <c r="R722">
        <v>1</v>
      </c>
      <c r="S722">
        <v>13</v>
      </c>
      <c r="T722">
        <v>1</v>
      </c>
      <c r="U722">
        <v>9</v>
      </c>
      <c r="V722">
        <v>1</v>
      </c>
      <c r="W722">
        <v>57</v>
      </c>
      <c r="X722">
        <v>667</v>
      </c>
      <c r="Y722">
        <v>26236</v>
      </c>
      <c r="Z722">
        <v>6306</v>
      </c>
      <c r="AA722">
        <v>2</v>
      </c>
      <c r="AB722" s="29">
        <v>44773</v>
      </c>
      <c r="AC722" s="29">
        <v>24412</v>
      </c>
      <c r="AD722" s="29">
        <v>40327</v>
      </c>
      <c r="AE722" s="29"/>
      <c r="AF722">
        <v>12</v>
      </c>
      <c r="AG722" t="s">
        <v>167</v>
      </c>
      <c r="AI722">
        <v>44</v>
      </c>
      <c r="AJ722">
        <v>1</v>
      </c>
      <c r="AK722" t="s">
        <v>154</v>
      </c>
      <c r="AL722" t="s">
        <v>77</v>
      </c>
      <c r="AM722">
        <f t="shared" si="55"/>
        <v>2</v>
      </c>
      <c r="AN722">
        <f t="shared" si="56"/>
        <v>5</v>
      </c>
      <c r="AO722" t="str">
        <f t="shared" si="57"/>
        <v/>
      </c>
      <c r="AP722" t="str">
        <f t="shared" si="58"/>
        <v/>
      </c>
      <c r="AQ722">
        <f t="shared" si="59"/>
        <v>2010</v>
      </c>
    </row>
    <row r="723" spans="1:43" x14ac:dyDescent="0.35">
      <c r="A723">
        <v>1233</v>
      </c>
      <c r="B723">
        <v>60</v>
      </c>
      <c r="C723" t="s">
        <v>148</v>
      </c>
      <c r="D723" t="s">
        <v>145</v>
      </c>
      <c r="E723" t="s">
        <v>158</v>
      </c>
      <c r="F723" t="s">
        <v>37</v>
      </c>
      <c r="G723" t="s">
        <v>42</v>
      </c>
      <c r="H723" t="s">
        <v>82</v>
      </c>
      <c r="I723" t="s">
        <v>44</v>
      </c>
      <c r="J723" t="s">
        <v>159</v>
      </c>
      <c r="K723" t="s">
        <v>44</v>
      </c>
      <c r="L723" t="s">
        <v>48</v>
      </c>
      <c r="M723" t="s">
        <v>49</v>
      </c>
      <c r="N723" t="s">
        <v>96</v>
      </c>
      <c r="O723" t="s">
        <v>41</v>
      </c>
      <c r="P723" t="s">
        <v>144</v>
      </c>
      <c r="Q723">
        <v>18</v>
      </c>
      <c r="R723">
        <v>0</v>
      </c>
      <c r="S723">
        <v>12</v>
      </c>
      <c r="T723">
        <v>1</v>
      </c>
      <c r="U723">
        <v>9</v>
      </c>
      <c r="V723">
        <v>7</v>
      </c>
      <c r="W723">
        <v>52</v>
      </c>
      <c r="X723">
        <v>696</v>
      </c>
      <c r="Y723">
        <v>10893</v>
      </c>
      <c r="Z723">
        <v>5220</v>
      </c>
      <c r="AA723">
        <v>3</v>
      </c>
      <c r="AB723" s="29">
        <v>44773</v>
      </c>
      <c r="AC723" s="29">
        <v>22985</v>
      </c>
      <c r="AD723" s="29">
        <v>40825</v>
      </c>
      <c r="AE723" s="29"/>
      <c r="AF723">
        <v>11</v>
      </c>
      <c r="AG723" t="s">
        <v>174</v>
      </c>
      <c r="AI723">
        <v>49</v>
      </c>
      <c r="AJ723">
        <v>1</v>
      </c>
      <c r="AK723" t="s">
        <v>154</v>
      </c>
      <c r="AL723" t="s">
        <v>77</v>
      </c>
      <c r="AM723">
        <f t="shared" si="55"/>
        <v>4</v>
      </c>
      <c r="AN723">
        <f t="shared" si="56"/>
        <v>10</v>
      </c>
      <c r="AO723" t="str">
        <f t="shared" si="57"/>
        <v/>
      </c>
      <c r="AP723" t="str">
        <f t="shared" si="58"/>
        <v/>
      </c>
      <c r="AQ723">
        <f t="shared" si="59"/>
        <v>2011</v>
      </c>
    </row>
    <row r="724" spans="1:43" x14ac:dyDescent="0.35">
      <c r="A724">
        <v>98</v>
      </c>
      <c r="B724">
        <v>31</v>
      </c>
      <c r="C724" t="s">
        <v>148</v>
      </c>
      <c r="D724" t="s">
        <v>145</v>
      </c>
      <c r="E724" t="s">
        <v>4</v>
      </c>
      <c r="F724" t="s">
        <v>37</v>
      </c>
      <c r="G724" t="s">
        <v>43</v>
      </c>
      <c r="H724" t="s">
        <v>81</v>
      </c>
      <c r="I724" t="s">
        <v>43</v>
      </c>
      <c r="J724" t="s">
        <v>165</v>
      </c>
      <c r="K724" t="s">
        <v>44</v>
      </c>
      <c r="L724" t="s">
        <v>152</v>
      </c>
      <c r="M724" t="s">
        <v>49</v>
      </c>
      <c r="N724" t="s">
        <v>95</v>
      </c>
      <c r="P724" t="s">
        <v>148</v>
      </c>
      <c r="Q724">
        <v>23</v>
      </c>
      <c r="R724">
        <v>1</v>
      </c>
      <c r="S724">
        <v>11</v>
      </c>
      <c r="T724">
        <v>1</v>
      </c>
      <c r="U724">
        <v>8</v>
      </c>
      <c r="V724">
        <v>8</v>
      </c>
      <c r="W724">
        <v>61</v>
      </c>
      <c r="X724">
        <v>746</v>
      </c>
      <c r="Y724">
        <v>20682</v>
      </c>
      <c r="Z724">
        <v>4424</v>
      </c>
      <c r="AA724">
        <v>2</v>
      </c>
      <c r="AB724" s="29">
        <v>44773</v>
      </c>
      <c r="AC724" s="29">
        <v>33802</v>
      </c>
      <c r="AD724" s="29">
        <v>40901</v>
      </c>
      <c r="AE724" s="29"/>
      <c r="AF724">
        <v>11</v>
      </c>
      <c r="AG724" t="s">
        <v>149</v>
      </c>
      <c r="AI724">
        <v>20</v>
      </c>
      <c r="AJ724">
        <v>1</v>
      </c>
      <c r="AK724" t="s">
        <v>154</v>
      </c>
      <c r="AL724" t="s">
        <v>77</v>
      </c>
      <c r="AM724">
        <f t="shared" si="55"/>
        <v>4</v>
      </c>
      <c r="AN724">
        <f t="shared" si="56"/>
        <v>12</v>
      </c>
      <c r="AO724" t="str">
        <f t="shared" si="57"/>
        <v/>
      </c>
      <c r="AP724" t="str">
        <f t="shared" si="58"/>
        <v/>
      </c>
      <c r="AQ724">
        <f t="shared" si="59"/>
        <v>2011</v>
      </c>
    </row>
    <row r="725" spans="1:43" x14ac:dyDescent="0.35">
      <c r="A725">
        <v>120</v>
      </c>
      <c r="B725">
        <v>51</v>
      </c>
      <c r="C725" t="s">
        <v>148</v>
      </c>
      <c r="D725" t="s">
        <v>145</v>
      </c>
      <c r="E725" t="s">
        <v>158</v>
      </c>
      <c r="F725" t="s">
        <v>37</v>
      </c>
      <c r="G725" t="s">
        <v>43</v>
      </c>
      <c r="H725" t="s">
        <v>82</v>
      </c>
      <c r="I725" t="s">
        <v>43</v>
      </c>
      <c r="J725" t="s">
        <v>159</v>
      </c>
      <c r="K725" t="s">
        <v>44</v>
      </c>
      <c r="L725" t="s">
        <v>152</v>
      </c>
      <c r="M725" t="s">
        <v>47</v>
      </c>
      <c r="N725" t="s">
        <v>95</v>
      </c>
      <c r="P725" t="s">
        <v>144</v>
      </c>
      <c r="Q725">
        <v>22</v>
      </c>
      <c r="R725">
        <v>0</v>
      </c>
      <c r="S725">
        <v>11</v>
      </c>
      <c r="T725">
        <v>1</v>
      </c>
      <c r="U725">
        <v>0</v>
      </c>
      <c r="V725">
        <v>21</v>
      </c>
      <c r="W725">
        <v>71</v>
      </c>
      <c r="X725">
        <v>632</v>
      </c>
      <c r="Y725">
        <v>8423</v>
      </c>
      <c r="Z725">
        <v>5441</v>
      </c>
      <c r="AA725">
        <v>2</v>
      </c>
      <c r="AB725" s="29">
        <v>44773</v>
      </c>
      <c r="AC725" s="29">
        <v>26365</v>
      </c>
      <c r="AD725" s="29">
        <v>41344</v>
      </c>
      <c r="AE725" s="29"/>
      <c r="AF725">
        <v>9</v>
      </c>
      <c r="AG725" t="s">
        <v>167</v>
      </c>
      <c r="AI725">
        <v>42</v>
      </c>
      <c r="AJ725">
        <v>1</v>
      </c>
      <c r="AK725" t="s">
        <v>150</v>
      </c>
      <c r="AL725" t="s">
        <v>77</v>
      </c>
      <c r="AM725">
        <f t="shared" si="55"/>
        <v>1</v>
      </c>
      <c r="AN725">
        <f t="shared" si="56"/>
        <v>3</v>
      </c>
      <c r="AO725" t="str">
        <f t="shared" si="57"/>
        <v/>
      </c>
      <c r="AP725" t="str">
        <f t="shared" si="58"/>
        <v/>
      </c>
      <c r="AQ725">
        <f t="shared" si="59"/>
        <v>2013</v>
      </c>
    </row>
    <row r="726" spans="1:43" x14ac:dyDescent="0.35">
      <c r="A726">
        <v>1252</v>
      </c>
      <c r="B726">
        <v>31</v>
      </c>
      <c r="C726" t="s">
        <v>148</v>
      </c>
      <c r="D726" t="s">
        <v>145</v>
      </c>
      <c r="E726" t="s">
        <v>4</v>
      </c>
      <c r="F726" t="s">
        <v>38</v>
      </c>
      <c r="G726" t="s">
        <v>43</v>
      </c>
      <c r="H726" t="s">
        <v>81</v>
      </c>
      <c r="I726" t="s">
        <v>42</v>
      </c>
      <c r="J726" t="s">
        <v>161</v>
      </c>
      <c r="K726" t="s">
        <v>41</v>
      </c>
      <c r="L726" t="s">
        <v>41</v>
      </c>
      <c r="M726" t="s">
        <v>49</v>
      </c>
      <c r="N726" t="s">
        <v>95</v>
      </c>
      <c r="P726" t="s">
        <v>148</v>
      </c>
      <c r="Q726">
        <v>19</v>
      </c>
      <c r="R726">
        <v>1</v>
      </c>
      <c r="S726">
        <v>10</v>
      </c>
      <c r="T726">
        <v>1</v>
      </c>
      <c r="U726">
        <v>8</v>
      </c>
      <c r="V726">
        <v>24</v>
      </c>
      <c r="W726">
        <v>96</v>
      </c>
      <c r="X726">
        <v>1062</v>
      </c>
      <c r="Y726">
        <v>17198</v>
      </c>
      <c r="Z726">
        <v>6812</v>
      </c>
      <c r="AA726">
        <v>2</v>
      </c>
      <c r="AB726" s="29">
        <v>44773</v>
      </c>
      <c r="AC726" s="29">
        <v>33633</v>
      </c>
      <c r="AD726" s="29">
        <v>41417</v>
      </c>
      <c r="AE726" s="29"/>
      <c r="AF726">
        <v>9</v>
      </c>
      <c r="AG726" t="s">
        <v>149</v>
      </c>
      <c r="AI726">
        <v>22</v>
      </c>
      <c r="AJ726">
        <v>1</v>
      </c>
      <c r="AK726" t="s">
        <v>150</v>
      </c>
      <c r="AL726" t="s">
        <v>77</v>
      </c>
      <c r="AM726">
        <f t="shared" si="55"/>
        <v>2</v>
      </c>
      <c r="AN726">
        <f t="shared" si="56"/>
        <v>5</v>
      </c>
      <c r="AO726" t="str">
        <f t="shared" si="57"/>
        <v/>
      </c>
      <c r="AP726" t="str">
        <f t="shared" si="58"/>
        <v/>
      </c>
      <c r="AQ726">
        <f t="shared" si="59"/>
        <v>2013</v>
      </c>
    </row>
    <row r="727" spans="1:43" x14ac:dyDescent="0.35">
      <c r="A727">
        <v>2</v>
      </c>
      <c r="B727">
        <v>49</v>
      </c>
      <c r="C727" t="s">
        <v>148</v>
      </c>
      <c r="D727" t="s">
        <v>151</v>
      </c>
      <c r="E727" t="s">
        <v>4</v>
      </c>
      <c r="F727" t="s">
        <v>35</v>
      </c>
      <c r="G727" t="s">
        <v>43</v>
      </c>
      <c r="H727" t="s">
        <v>82</v>
      </c>
      <c r="I727" t="s">
        <v>42</v>
      </c>
      <c r="J727" t="s">
        <v>146</v>
      </c>
      <c r="K727" t="s">
        <v>42</v>
      </c>
      <c r="L727" t="s">
        <v>152</v>
      </c>
      <c r="M727" t="s">
        <v>49</v>
      </c>
      <c r="N727" t="s">
        <v>160</v>
      </c>
      <c r="O727" t="s">
        <v>41</v>
      </c>
      <c r="P727" t="s">
        <v>148</v>
      </c>
      <c r="Q727">
        <v>23</v>
      </c>
      <c r="R727">
        <v>1</v>
      </c>
      <c r="S727">
        <v>10</v>
      </c>
      <c r="T727">
        <v>1</v>
      </c>
      <c r="U727">
        <v>7</v>
      </c>
      <c r="V727">
        <v>8</v>
      </c>
      <c r="W727">
        <v>61</v>
      </c>
      <c r="X727">
        <v>279</v>
      </c>
      <c r="Y727">
        <v>24907</v>
      </c>
      <c r="Z727">
        <v>5130</v>
      </c>
      <c r="AA727">
        <v>3</v>
      </c>
      <c r="AB727" s="29">
        <v>44773</v>
      </c>
      <c r="AC727" s="29">
        <v>26959</v>
      </c>
      <c r="AD727" s="29">
        <v>41429</v>
      </c>
      <c r="AE727" s="29"/>
      <c r="AF727">
        <v>9</v>
      </c>
      <c r="AG727" t="s">
        <v>153</v>
      </c>
      <c r="AI727">
        <v>40</v>
      </c>
      <c r="AJ727">
        <v>1</v>
      </c>
      <c r="AK727" t="s">
        <v>150</v>
      </c>
      <c r="AL727" t="s">
        <v>77</v>
      </c>
      <c r="AM727">
        <f t="shared" si="55"/>
        <v>2</v>
      </c>
      <c r="AN727">
        <f t="shared" si="56"/>
        <v>6</v>
      </c>
      <c r="AO727" t="str">
        <f t="shared" si="57"/>
        <v/>
      </c>
      <c r="AP727" t="str">
        <f t="shared" si="58"/>
        <v/>
      </c>
      <c r="AQ727">
        <f t="shared" si="59"/>
        <v>2013</v>
      </c>
    </row>
    <row r="728" spans="1:43" x14ac:dyDescent="0.35">
      <c r="A728">
        <v>12</v>
      </c>
      <c r="B728">
        <v>38</v>
      </c>
      <c r="C728" t="s">
        <v>148</v>
      </c>
      <c r="D728" t="s">
        <v>151</v>
      </c>
      <c r="E728" t="s">
        <v>4</v>
      </c>
      <c r="F728" t="s">
        <v>38</v>
      </c>
      <c r="G728" t="s">
        <v>44</v>
      </c>
      <c r="H728" t="s">
        <v>82</v>
      </c>
      <c r="I728" t="s">
        <v>42</v>
      </c>
      <c r="J728" t="s">
        <v>165</v>
      </c>
      <c r="K728" t="s">
        <v>43</v>
      </c>
      <c r="L728" t="s">
        <v>152</v>
      </c>
      <c r="M728" t="s">
        <v>49</v>
      </c>
      <c r="N728" t="s">
        <v>95</v>
      </c>
      <c r="P728" t="s">
        <v>148</v>
      </c>
      <c r="Q728">
        <v>21</v>
      </c>
      <c r="R728">
        <v>0</v>
      </c>
      <c r="S728">
        <v>10</v>
      </c>
      <c r="T728">
        <v>1</v>
      </c>
      <c r="U728">
        <v>8</v>
      </c>
      <c r="V728">
        <v>23</v>
      </c>
      <c r="W728">
        <v>44</v>
      </c>
      <c r="X728">
        <v>216</v>
      </c>
      <c r="Y728">
        <v>8787</v>
      </c>
      <c r="Z728">
        <v>9526</v>
      </c>
      <c r="AA728">
        <v>2</v>
      </c>
      <c r="AB728" s="29">
        <v>44773</v>
      </c>
      <c r="AC728" s="29">
        <v>30930</v>
      </c>
      <c r="AD728" s="29">
        <v>41527</v>
      </c>
      <c r="AE728" s="29"/>
      <c r="AF728">
        <v>9</v>
      </c>
      <c r="AG728" t="s">
        <v>149</v>
      </c>
      <c r="AI728">
        <v>29</v>
      </c>
      <c r="AJ728">
        <v>2</v>
      </c>
      <c r="AK728" t="s">
        <v>150</v>
      </c>
      <c r="AL728" t="s">
        <v>77</v>
      </c>
      <c r="AM728">
        <f t="shared" si="55"/>
        <v>3</v>
      </c>
      <c r="AN728">
        <f t="shared" si="56"/>
        <v>9</v>
      </c>
      <c r="AO728" t="str">
        <f t="shared" si="57"/>
        <v/>
      </c>
      <c r="AP728" t="str">
        <f t="shared" si="58"/>
        <v/>
      </c>
      <c r="AQ728">
        <f t="shared" si="59"/>
        <v>2013</v>
      </c>
    </row>
    <row r="729" spans="1:43" x14ac:dyDescent="0.35">
      <c r="A729">
        <v>1423</v>
      </c>
      <c r="B729">
        <v>58</v>
      </c>
      <c r="C729" t="s">
        <v>148</v>
      </c>
      <c r="D729" t="s">
        <v>145</v>
      </c>
      <c r="E729" t="s">
        <v>4</v>
      </c>
      <c r="F729" t="s">
        <v>38</v>
      </c>
      <c r="G729" t="s">
        <v>44</v>
      </c>
      <c r="H729" t="s">
        <v>81</v>
      </c>
      <c r="I729" t="s">
        <v>43</v>
      </c>
      <c r="J729" t="s">
        <v>173</v>
      </c>
      <c r="K729" t="s">
        <v>41</v>
      </c>
      <c r="L729" t="s">
        <v>152</v>
      </c>
      <c r="M729" t="s">
        <v>49</v>
      </c>
      <c r="N729" t="s">
        <v>160</v>
      </c>
      <c r="O729" t="s">
        <v>41</v>
      </c>
      <c r="P729" t="s">
        <v>144</v>
      </c>
      <c r="Q729">
        <v>21</v>
      </c>
      <c r="R729">
        <v>3</v>
      </c>
      <c r="S729">
        <v>32</v>
      </c>
      <c r="T729">
        <v>1</v>
      </c>
      <c r="U729">
        <v>5</v>
      </c>
      <c r="V729">
        <v>1</v>
      </c>
      <c r="W729">
        <v>76</v>
      </c>
      <c r="X729">
        <v>1055</v>
      </c>
      <c r="Y729">
        <v>22456</v>
      </c>
      <c r="Z729">
        <v>19701</v>
      </c>
      <c r="AA729">
        <v>3</v>
      </c>
      <c r="AB729" s="29">
        <v>44773</v>
      </c>
      <c r="AC729" s="29">
        <v>23689</v>
      </c>
      <c r="AD729" s="29">
        <v>41558</v>
      </c>
      <c r="AE729" s="29"/>
      <c r="AF729">
        <v>9</v>
      </c>
      <c r="AG729" t="s">
        <v>167</v>
      </c>
      <c r="AI729">
        <v>49</v>
      </c>
      <c r="AJ729">
        <v>1</v>
      </c>
      <c r="AK729" t="s">
        <v>150</v>
      </c>
      <c r="AL729" t="s">
        <v>77</v>
      </c>
      <c r="AM729">
        <f t="shared" si="55"/>
        <v>4</v>
      </c>
      <c r="AN729">
        <f t="shared" si="56"/>
        <v>10</v>
      </c>
      <c r="AO729" t="str">
        <f t="shared" si="57"/>
        <v/>
      </c>
      <c r="AP729" t="str">
        <f t="shared" si="58"/>
        <v/>
      </c>
      <c r="AQ729">
        <f t="shared" si="59"/>
        <v>2013</v>
      </c>
    </row>
    <row r="730" spans="1:43" x14ac:dyDescent="0.35">
      <c r="A730">
        <v>724</v>
      </c>
      <c r="B730">
        <v>38</v>
      </c>
      <c r="C730" t="s">
        <v>148</v>
      </c>
      <c r="D730" t="s">
        <v>145</v>
      </c>
      <c r="E730" t="s">
        <v>4</v>
      </c>
      <c r="F730" t="s">
        <v>37</v>
      </c>
      <c r="G730" t="s">
        <v>42</v>
      </c>
      <c r="H730" t="s">
        <v>81</v>
      </c>
      <c r="I730" t="s">
        <v>44</v>
      </c>
      <c r="J730" t="s">
        <v>161</v>
      </c>
      <c r="K730" t="s">
        <v>44</v>
      </c>
      <c r="L730" t="s">
        <v>48</v>
      </c>
      <c r="M730" t="s">
        <v>48</v>
      </c>
      <c r="N730" t="s">
        <v>95</v>
      </c>
      <c r="P730" t="s">
        <v>148</v>
      </c>
      <c r="Q730">
        <v>13</v>
      </c>
      <c r="R730">
        <v>0</v>
      </c>
      <c r="S730">
        <v>10</v>
      </c>
      <c r="T730">
        <v>1</v>
      </c>
      <c r="U730">
        <v>8</v>
      </c>
      <c r="V730">
        <v>1</v>
      </c>
      <c r="W730">
        <v>33</v>
      </c>
      <c r="X730">
        <v>827</v>
      </c>
      <c r="Y730">
        <v>19383</v>
      </c>
      <c r="Z730">
        <v>7625</v>
      </c>
      <c r="AA730">
        <v>4</v>
      </c>
      <c r="AB730" s="29">
        <v>44773</v>
      </c>
      <c r="AC730" s="29">
        <v>31258</v>
      </c>
      <c r="AD730" s="29">
        <v>41567</v>
      </c>
      <c r="AE730" s="29"/>
      <c r="AF730">
        <v>9</v>
      </c>
      <c r="AG730" t="s">
        <v>149</v>
      </c>
      <c r="AI730">
        <v>29</v>
      </c>
      <c r="AJ730">
        <v>1</v>
      </c>
      <c r="AK730" t="s">
        <v>150</v>
      </c>
      <c r="AL730" t="s">
        <v>77</v>
      </c>
      <c r="AM730">
        <f t="shared" si="55"/>
        <v>4</v>
      </c>
      <c r="AN730">
        <f t="shared" si="56"/>
        <v>10</v>
      </c>
      <c r="AO730" t="str">
        <f t="shared" si="57"/>
        <v/>
      </c>
      <c r="AP730" t="str">
        <f t="shared" si="58"/>
        <v/>
      </c>
      <c r="AQ730">
        <f t="shared" si="59"/>
        <v>2013</v>
      </c>
    </row>
    <row r="731" spans="1:43" x14ac:dyDescent="0.35">
      <c r="A731">
        <v>733</v>
      </c>
      <c r="B731">
        <v>27</v>
      </c>
      <c r="C731" t="s">
        <v>148</v>
      </c>
      <c r="D731" t="s">
        <v>151</v>
      </c>
      <c r="E731" t="s">
        <v>4</v>
      </c>
      <c r="F731" t="s">
        <v>36</v>
      </c>
      <c r="G731" t="s">
        <v>44</v>
      </c>
      <c r="H731" t="s">
        <v>82</v>
      </c>
      <c r="I731" t="s">
        <v>43</v>
      </c>
      <c r="J731" t="s">
        <v>165</v>
      </c>
      <c r="K731" t="s">
        <v>41</v>
      </c>
      <c r="L731" t="s">
        <v>152</v>
      </c>
      <c r="M731" t="s">
        <v>48</v>
      </c>
      <c r="N731" t="s">
        <v>96</v>
      </c>
      <c r="O731" t="s">
        <v>156</v>
      </c>
      <c r="P731" t="s">
        <v>148</v>
      </c>
      <c r="Q731">
        <v>21</v>
      </c>
      <c r="R731">
        <v>1</v>
      </c>
      <c r="S731">
        <v>9</v>
      </c>
      <c r="T731">
        <v>1</v>
      </c>
      <c r="U731">
        <v>7</v>
      </c>
      <c r="V731">
        <v>10</v>
      </c>
      <c r="W731">
        <v>32</v>
      </c>
      <c r="X731">
        <v>294</v>
      </c>
      <c r="Y731">
        <v>4809</v>
      </c>
      <c r="Z731">
        <v>8793</v>
      </c>
      <c r="AA731">
        <v>4</v>
      </c>
      <c r="AB731" s="29">
        <v>44773</v>
      </c>
      <c r="AC731" s="29">
        <v>35043</v>
      </c>
      <c r="AD731" s="29">
        <v>41698</v>
      </c>
      <c r="AE731" s="29"/>
      <c r="AF731">
        <v>8</v>
      </c>
      <c r="AG731" t="s">
        <v>157</v>
      </c>
      <c r="AI731">
        <v>19</v>
      </c>
      <c r="AJ731">
        <v>1</v>
      </c>
      <c r="AK731" t="s">
        <v>150</v>
      </c>
      <c r="AL731" t="s">
        <v>77</v>
      </c>
      <c r="AM731">
        <f t="shared" si="55"/>
        <v>1</v>
      </c>
      <c r="AN731">
        <f t="shared" si="56"/>
        <v>2</v>
      </c>
      <c r="AO731" t="str">
        <f t="shared" si="57"/>
        <v/>
      </c>
      <c r="AP731" t="str">
        <f t="shared" si="58"/>
        <v/>
      </c>
      <c r="AQ731">
        <f t="shared" si="59"/>
        <v>2014</v>
      </c>
    </row>
    <row r="732" spans="1:43" x14ac:dyDescent="0.35">
      <c r="A732">
        <v>74</v>
      </c>
      <c r="B732">
        <v>35</v>
      </c>
      <c r="C732" t="s">
        <v>148</v>
      </c>
      <c r="D732" t="s">
        <v>151</v>
      </c>
      <c r="E732" t="s">
        <v>158</v>
      </c>
      <c r="F732" t="s">
        <v>34</v>
      </c>
      <c r="G732" t="s">
        <v>42</v>
      </c>
      <c r="H732" t="s">
        <v>82</v>
      </c>
      <c r="I732" t="s">
        <v>43</v>
      </c>
      <c r="J732" t="s">
        <v>159</v>
      </c>
      <c r="K732" t="s">
        <v>41</v>
      </c>
      <c r="L732" t="s">
        <v>152</v>
      </c>
      <c r="M732" t="s">
        <v>48</v>
      </c>
      <c r="N732" t="s">
        <v>160</v>
      </c>
      <c r="O732" t="s">
        <v>41</v>
      </c>
      <c r="P732" t="s">
        <v>148</v>
      </c>
      <c r="Q732">
        <v>22</v>
      </c>
      <c r="R732">
        <v>1</v>
      </c>
      <c r="S732">
        <v>9</v>
      </c>
      <c r="T732">
        <v>1</v>
      </c>
      <c r="U732">
        <v>8</v>
      </c>
      <c r="V732">
        <v>18</v>
      </c>
      <c r="W732">
        <v>71</v>
      </c>
      <c r="X732">
        <v>853</v>
      </c>
      <c r="Y732">
        <v>11031</v>
      </c>
      <c r="Z732">
        <v>9069</v>
      </c>
      <c r="AA732">
        <v>3</v>
      </c>
      <c r="AB732" s="29">
        <v>44773</v>
      </c>
      <c r="AC732" s="29">
        <v>31998</v>
      </c>
      <c r="AD732" s="29">
        <v>41710</v>
      </c>
      <c r="AE732" s="29"/>
      <c r="AF732">
        <v>8</v>
      </c>
      <c r="AG732" t="s">
        <v>149</v>
      </c>
      <c r="AI732">
        <v>27</v>
      </c>
      <c r="AJ732">
        <v>1</v>
      </c>
      <c r="AK732" t="s">
        <v>150</v>
      </c>
      <c r="AL732" t="s">
        <v>77</v>
      </c>
      <c r="AM732">
        <f t="shared" si="55"/>
        <v>1</v>
      </c>
      <c r="AN732">
        <f t="shared" si="56"/>
        <v>3</v>
      </c>
      <c r="AO732" t="str">
        <f t="shared" si="57"/>
        <v/>
      </c>
      <c r="AP732" t="str">
        <f t="shared" si="58"/>
        <v/>
      </c>
      <c r="AQ732">
        <f t="shared" si="59"/>
        <v>2014</v>
      </c>
    </row>
    <row r="733" spans="1:43" x14ac:dyDescent="0.35">
      <c r="A733">
        <v>227</v>
      </c>
      <c r="B733">
        <v>41</v>
      </c>
      <c r="C733" t="s">
        <v>148</v>
      </c>
      <c r="D733" t="s">
        <v>145</v>
      </c>
      <c r="E733" t="s">
        <v>4</v>
      </c>
      <c r="F733" t="s">
        <v>38</v>
      </c>
      <c r="G733" t="s">
        <v>41</v>
      </c>
      <c r="H733" t="s">
        <v>82</v>
      </c>
      <c r="I733" t="s">
        <v>43</v>
      </c>
      <c r="J733" t="s">
        <v>146</v>
      </c>
      <c r="K733" t="s">
        <v>43</v>
      </c>
      <c r="L733" t="s">
        <v>48</v>
      </c>
      <c r="M733" t="s">
        <v>49</v>
      </c>
      <c r="N733" t="s">
        <v>96</v>
      </c>
      <c r="O733" t="s">
        <v>41</v>
      </c>
      <c r="P733" t="s">
        <v>148</v>
      </c>
      <c r="Q733">
        <v>12</v>
      </c>
      <c r="R733">
        <v>4</v>
      </c>
      <c r="S733">
        <v>13</v>
      </c>
      <c r="T733">
        <v>1</v>
      </c>
      <c r="U733">
        <v>8</v>
      </c>
      <c r="V733">
        <v>14</v>
      </c>
      <c r="W733">
        <v>56</v>
      </c>
      <c r="X733">
        <v>465</v>
      </c>
      <c r="Y733">
        <v>4609</v>
      </c>
      <c r="Z733">
        <v>2451</v>
      </c>
      <c r="AA733">
        <v>2</v>
      </c>
      <c r="AB733" s="29">
        <v>44773</v>
      </c>
      <c r="AC733" s="29">
        <v>29805</v>
      </c>
      <c r="AD733" s="29">
        <v>41719</v>
      </c>
      <c r="AE733" s="29"/>
      <c r="AF733">
        <v>8</v>
      </c>
      <c r="AG733" t="s">
        <v>153</v>
      </c>
      <c r="AI733">
        <v>33</v>
      </c>
      <c r="AJ733">
        <v>1</v>
      </c>
      <c r="AK733" t="s">
        <v>150</v>
      </c>
      <c r="AL733" t="s">
        <v>77</v>
      </c>
      <c r="AM733">
        <f t="shared" si="55"/>
        <v>1</v>
      </c>
      <c r="AN733">
        <f t="shared" si="56"/>
        <v>3</v>
      </c>
      <c r="AO733" t="str">
        <f t="shared" si="57"/>
        <v/>
      </c>
      <c r="AP733" t="str">
        <f t="shared" si="58"/>
        <v/>
      </c>
      <c r="AQ733">
        <f t="shared" si="59"/>
        <v>2014</v>
      </c>
    </row>
    <row r="734" spans="1:43" x14ac:dyDescent="0.35">
      <c r="A734">
        <v>1349</v>
      </c>
      <c r="B734">
        <v>41</v>
      </c>
      <c r="C734" t="s">
        <v>148</v>
      </c>
      <c r="D734" t="s">
        <v>151</v>
      </c>
      <c r="E734" t="s">
        <v>158</v>
      </c>
      <c r="F734" t="s">
        <v>38</v>
      </c>
      <c r="G734" t="s">
        <v>43</v>
      </c>
      <c r="H734" t="s">
        <v>81</v>
      </c>
      <c r="I734" t="s">
        <v>43</v>
      </c>
      <c r="J734" t="s">
        <v>159</v>
      </c>
      <c r="K734" t="s">
        <v>41</v>
      </c>
      <c r="L734" t="s">
        <v>41</v>
      </c>
      <c r="M734" t="s">
        <v>49</v>
      </c>
      <c r="N734" t="s">
        <v>96</v>
      </c>
      <c r="O734" t="s">
        <v>41</v>
      </c>
      <c r="P734" t="s">
        <v>148</v>
      </c>
      <c r="Q734">
        <v>17</v>
      </c>
      <c r="R734">
        <v>0</v>
      </c>
      <c r="S734">
        <v>10</v>
      </c>
      <c r="T734">
        <v>1</v>
      </c>
      <c r="U734">
        <v>7</v>
      </c>
      <c r="V734">
        <v>1</v>
      </c>
      <c r="W734">
        <v>66</v>
      </c>
      <c r="X734">
        <v>1018</v>
      </c>
      <c r="Y734">
        <v>4297</v>
      </c>
      <c r="Z734">
        <v>4103</v>
      </c>
      <c r="AA734">
        <v>2</v>
      </c>
      <c r="AB734" s="29">
        <v>44773</v>
      </c>
      <c r="AC734" s="29">
        <v>30034</v>
      </c>
      <c r="AD734" s="29">
        <v>41840</v>
      </c>
      <c r="AE734" s="29"/>
      <c r="AF734">
        <v>8</v>
      </c>
      <c r="AG734" t="s">
        <v>153</v>
      </c>
      <c r="AI734">
        <v>33</v>
      </c>
      <c r="AJ734">
        <v>1</v>
      </c>
      <c r="AK734" t="s">
        <v>150</v>
      </c>
      <c r="AL734" t="s">
        <v>77</v>
      </c>
      <c r="AM734">
        <f t="shared" si="55"/>
        <v>3</v>
      </c>
      <c r="AN734">
        <f t="shared" si="56"/>
        <v>7</v>
      </c>
      <c r="AO734" t="str">
        <f t="shared" si="57"/>
        <v/>
      </c>
      <c r="AP734" t="str">
        <f t="shared" si="58"/>
        <v/>
      </c>
      <c r="AQ734">
        <f t="shared" si="59"/>
        <v>2014</v>
      </c>
    </row>
    <row r="735" spans="1:43" x14ac:dyDescent="0.35">
      <c r="A735">
        <v>252</v>
      </c>
      <c r="B735">
        <v>33</v>
      </c>
      <c r="C735" t="s">
        <v>148</v>
      </c>
      <c r="D735" t="s">
        <v>145</v>
      </c>
      <c r="E735" t="s">
        <v>4</v>
      </c>
      <c r="F735" t="s">
        <v>38</v>
      </c>
      <c r="G735" t="s">
        <v>44</v>
      </c>
      <c r="H735" t="s">
        <v>81</v>
      </c>
      <c r="I735" t="s">
        <v>43</v>
      </c>
      <c r="J735" t="s">
        <v>146</v>
      </c>
      <c r="K735" t="s">
        <v>42</v>
      </c>
      <c r="L735" t="s">
        <v>48</v>
      </c>
      <c r="M735" t="s">
        <v>49</v>
      </c>
      <c r="N735" t="s">
        <v>160</v>
      </c>
      <c r="O735" t="s">
        <v>41</v>
      </c>
      <c r="P735" t="s">
        <v>148</v>
      </c>
      <c r="Q735">
        <v>13</v>
      </c>
      <c r="R735">
        <v>1</v>
      </c>
      <c r="S735">
        <v>8</v>
      </c>
      <c r="T735">
        <v>1</v>
      </c>
      <c r="U735">
        <v>6</v>
      </c>
      <c r="V735">
        <v>14</v>
      </c>
      <c r="W735">
        <v>72</v>
      </c>
      <c r="X735">
        <v>931</v>
      </c>
      <c r="Y735">
        <v>4673</v>
      </c>
      <c r="Z735">
        <v>2756</v>
      </c>
      <c r="AA735">
        <v>5</v>
      </c>
      <c r="AB735" s="29">
        <v>44773</v>
      </c>
      <c r="AC735" s="29">
        <v>32822</v>
      </c>
      <c r="AD735" s="29">
        <v>41865</v>
      </c>
      <c r="AE735" s="29"/>
      <c r="AF735">
        <v>8</v>
      </c>
      <c r="AG735" t="s">
        <v>149</v>
      </c>
      <c r="AI735">
        <v>25</v>
      </c>
      <c r="AJ735">
        <v>2</v>
      </c>
      <c r="AK735" t="s">
        <v>150</v>
      </c>
      <c r="AL735" t="s">
        <v>77</v>
      </c>
      <c r="AM735">
        <f t="shared" si="55"/>
        <v>3</v>
      </c>
      <c r="AN735">
        <f t="shared" si="56"/>
        <v>8</v>
      </c>
      <c r="AO735" t="str">
        <f t="shared" si="57"/>
        <v/>
      </c>
      <c r="AP735" t="str">
        <f t="shared" si="58"/>
        <v/>
      </c>
      <c r="AQ735">
        <f t="shared" si="59"/>
        <v>2014</v>
      </c>
    </row>
    <row r="736" spans="1:43" x14ac:dyDescent="0.35">
      <c r="A736">
        <v>2035</v>
      </c>
      <c r="B736">
        <v>34</v>
      </c>
      <c r="C736" t="s">
        <v>148</v>
      </c>
      <c r="D736" t="s">
        <v>145</v>
      </c>
      <c r="E736" t="s">
        <v>158</v>
      </c>
      <c r="F736" t="s">
        <v>38</v>
      </c>
      <c r="G736" t="s">
        <v>44</v>
      </c>
      <c r="H736" t="s">
        <v>81</v>
      </c>
      <c r="I736" t="s">
        <v>42</v>
      </c>
      <c r="J736" t="s">
        <v>159</v>
      </c>
      <c r="K736" t="s">
        <v>43</v>
      </c>
      <c r="L736" t="s">
        <v>152</v>
      </c>
      <c r="M736" t="s">
        <v>49</v>
      </c>
      <c r="N736" t="s">
        <v>160</v>
      </c>
      <c r="O736" t="s">
        <v>156</v>
      </c>
      <c r="P736" t="s">
        <v>148</v>
      </c>
      <c r="Q736">
        <v>21</v>
      </c>
      <c r="R736">
        <v>1</v>
      </c>
      <c r="S736">
        <v>8</v>
      </c>
      <c r="T736">
        <v>1</v>
      </c>
      <c r="U736">
        <v>7</v>
      </c>
      <c r="V736">
        <v>28</v>
      </c>
      <c r="W736">
        <v>95</v>
      </c>
      <c r="X736">
        <v>704</v>
      </c>
      <c r="Y736">
        <v>8978</v>
      </c>
      <c r="Z736">
        <v>6712</v>
      </c>
      <c r="AA736">
        <v>2</v>
      </c>
      <c r="AB736" s="29">
        <v>44773</v>
      </c>
      <c r="AC736" s="29">
        <v>32625</v>
      </c>
      <c r="AD736" s="29">
        <v>42073</v>
      </c>
      <c r="AE736" s="29"/>
      <c r="AF736">
        <v>7</v>
      </c>
      <c r="AG736" t="s">
        <v>149</v>
      </c>
      <c r="AI736">
        <v>27</v>
      </c>
      <c r="AJ736">
        <v>1</v>
      </c>
      <c r="AK736" t="s">
        <v>150</v>
      </c>
      <c r="AL736" t="s">
        <v>77</v>
      </c>
      <c r="AM736">
        <f t="shared" si="55"/>
        <v>1</v>
      </c>
      <c r="AN736">
        <f t="shared" si="56"/>
        <v>3</v>
      </c>
      <c r="AO736" t="str">
        <f t="shared" si="57"/>
        <v/>
      </c>
      <c r="AP736" t="str">
        <f t="shared" si="58"/>
        <v/>
      </c>
      <c r="AQ736">
        <f t="shared" si="59"/>
        <v>2015</v>
      </c>
    </row>
    <row r="737" spans="1:43" x14ac:dyDescent="0.35">
      <c r="A737">
        <v>845</v>
      </c>
      <c r="B737">
        <v>35</v>
      </c>
      <c r="C737" t="s">
        <v>148</v>
      </c>
      <c r="D737" t="s">
        <v>145</v>
      </c>
      <c r="E737" t="s">
        <v>4</v>
      </c>
      <c r="F737" t="s">
        <v>38</v>
      </c>
      <c r="G737" t="s">
        <v>43</v>
      </c>
      <c r="H737" t="s">
        <v>82</v>
      </c>
      <c r="I737" t="s">
        <v>43</v>
      </c>
      <c r="J737" t="s">
        <v>165</v>
      </c>
      <c r="K737" t="s">
        <v>43</v>
      </c>
      <c r="L737" t="s">
        <v>152</v>
      </c>
      <c r="M737" t="s">
        <v>50</v>
      </c>
      <c r="N737" t="s">
        <v>95</v>
      </c>
      <c r="P737" t="s">
        <v>148</v>
      </c>
      <c r="Q737">
        <v>21</v>
      </c>
      <c r="R737">
        <v>3</v>
      </c>
      <c r="S737">
        <v>17</v>
      </c>
      <c r="T737">
        <v>1</v>
      </c>
      <c r="U737">
        <v>6</v>
      </c>
      <c r="V737">
        <v>7</v>
      </c>
      <c r="W737">
        <v>59</v>
      </c>
      <c r="X737">
        <v>950</v>
      </c>
      <c r="Y737">
        <v>18869</v>
      </c>
      <c r="Z737">
        <v>10221</v>
      </c>
      <c r="AA737">
        <v>3</v>
      </c>
      <c r="AB737" s="29">
        <v>44773</v>
      </c>
      <c r="AC737" s="29">
        <v>32161</v>
      </c>
      <c r="AD737" s="29">
        <v>42157</v>
      </c>
      <c r="AE737" s="29"/>
      <c r="AF737">
        <v>7</v>
      </c>
      <c r="AG737" t="s">
        <v>149</v>
      </c>
      <c r="AI737">
        <v>28</v>
      </c>
      <c r="AJ737">
        <v>1</v>
      </c>
      <c r="AK737" t="s">
        <v>150</v>
      </c>
      <c r="AL737" t="s">
        <v>78</v>
      </c>
      <c r="AM737">
        <f t="shared" si="55"/>
        <v>2</v>
      </c>
      <c r="AN737">
        <f t="shared" si="56"/>
        <v>6</v>
      </c>
      <c r="AO737" t="str">
        <f t="shared" si="57"/>
        <v/>
      </c>
      <c r="AP737" t="str">
        <f t="shared" si="58"/>
        <v/>
      </c>
      <c r="AQ737">
        <f t="shared" si="59"/>
        <v>2015</v>
      </c>
    </row>
    <row r="738" spans="1:43" x14ac:dyDescent="0.35">
      <c r="A738">
        <v>1298</v>
      </c>
      <c r="B738">
        <v>30</v>
      </c>
      <c r="C738" t="s">
        <v>148</v>
      </c>
      <c r="D738" t="s">
        <v>164</v>
      </c>
      <c r="E738" t="s">
        <v>4</v>
      </c>
      <c r="F738" t="s">
        <v>36</v>
      </c>
      <c r="G738" t="s">
        <v>43</v>
      </c>
      <c r="H738" t="s">
        <v>81</v>
      </c>
      <c r="I738" t="s">
        <v>43</v>
      </c>
      <c r="J738" t="s">
        <v>165</v>
      </c>
      <c r="K738" t="s">
        <v>43</v>
      </c>
      <c r="L738" t="s">
        <v>48</v>
      </c>
      <c r="M738" t="s">
        <v>49</v>
      </c>
      <c r="N738" t="s">
        <v>95</v>
      </c>
      <c r="P738" t="s">
        <v>144</v>
      </c>
      <c r="Q738">
        <v>18</v>
      </c>
      <c r="R738">
        <v>7</v>
      </c>
      <c r="S738">
        <v>10</v>
      </c>
      <c r="T738">
        <v>1</v>
      </c>
      <c r="U738">
        <v>7</v>
      </c>
      <c r="V738">
        <v>9</v>
      </c>
      <c r="W738">
        <v>72</v>
      </c>
      <c r="X738">
        <v>879</v>
      </c>
      <c r="Y738">
        <v>12858</v>
      </c>
      <c r="Z738">
        <v>4695</v>
      </c>
      <c r="AA738">
        <v>3</v>
      </c>
      <c r="AB738" s="29">
        <v>44773</v>
      </c>
      <c r="AC738" s="29">
        <v>34161</v>
      </c>
      <c r="AD738" s="29">
        <v>42173</v>
      </c>
      <c r="AE738" s="29"/>
      <c r="AF738">
        <v>7</v>
      </c>
      <c r="AG738" t="s">
        <v>149</v>
      </c>
      <c r="AI738">
        <v>23</v>
      </c>
      <c r="AJ738">
        <v>1</v>
      </c>
      <c r="AK738" t="s">
        <v>150</v>
      </c>
      <c r="AL738" t="s">
        <v>77</v>
      </c>
      <c r="AM738">
        <f t="shared" si="55"/>
        <v>2</v>
      </c>
      <c r="AN738">
        <f t="shared" si="56"/>
        <v>6</v>
      </c>
      <c r="AO738" t="str">
        <f t="shared" si="57"/>
        <v/>
      </c>
      <c r="AP738" t="str">
        <f t="shared" si="58"/>
        <v/>
      </c>
      <c r="AQ738">
        <f t="shared" si="59"/>
        <v>2015</v>
      </c>
    </row>
    <row r="739" spans="1:43" x14ac:dyDescent="0.35">
      <c r="A739">
        <v>76</v>
      </c>
      <c r="B739">
        <v>31</v>
      </c>
      <c r="C739" t="s">
        <v>148</v>
      </c>
      <c r="D739" t="s">
        <v>145</v>
      </c>
      <c r="E739" t="s">
        <v>4</v>
      </c>
      <c r="F739" t="s">
        <v>37</v>
      </c>
      <c r="G739" t="s">
        <v>44</v>
      </c>
      <c r="H739" t="s">
        <v>82</v>
      </c>
      <c r="I739" t="s">
        <v>43</v>
      </c>
      <c r="J739" t="s">
        <v>155</v>
      </c>
      <c r="K739" t="s">
        <v>44</v>
      </c>
      <c r="L739" t="s">
        <v>152</v>
      </c>
      <c r="M739" t="s">
        <v>48</v>
      </c>
      <c r="N739" t="s">
        <v>96</v>
      </c>
      <c r="O739" t="s">
        <v>41</v>
      </c>
      <c r="P739" t="s">
        <v>148</v>
      </c>
      <c r="Q739">
        <v>22</v>
      </c>
      <c r="R739">
        <v>3</v>
      </c>
      <c r="S739">
        <v>10</v>
      </c>
      <c r="T739">
        <v>1</v>
      </c>
      <c r="U739">
        <v>7</v>
      </c>
      <c r="V739">
        <v>7</v>
      </c>
      <c r="W739">
        <v>48</v>
      </c>
      <c r="X739">
        <v>655</v>
      </c>
      <c r="Y739">
        <v>9528</v>
      </c>
      <c r="Z739">
        <v>5915</v>
      </c>
      <c r="AA739">
        <v>3</v>
      </c>
      <c r="AB739" s="29">
        <v>44773</v>
      </c>
      <c r="AC739" s="29">
        <v>33556</v>
      </c>
      <c r="AD739" s="29">
        <v>42390</v>
      </c>
      <c r="AE739" s="29"/>
      <c r="AF739">
        <v>7</v>
      </c>
      <c r="AG739" t="s">
        <v>149</v>
      </c>
      <c r="AI739">
        <v>24</v>
      </c>
      <c r="AJ739">
        <v>1</v>
      </c>
      <c r="AK739" t="s">
        <v>150</v>
      </c>
      <c r="AL739" t="s">
        <v>77</v>
      </c>
      <c r="AM739">
        <f t="shared" si="55"/>
        <v>1</v>
      </c>
      <c r="AN739">
        <f t="shared" si="56"/>
        <v>1</v>
      </c>
      <c r="AO739" t="str">
        <f t="shared" si="57"/>
        <v/>
      </c>
      <c r="AP739" t="str">
        <f t="shared" si="58"/>
        <v/>
      </c>
      <c r="AQ739">
        <f t="shared" si="59"/>
        <v>2016</v>
      </c>
    </row>
    <row r="740" spans="1:43" x14ac:dyDescent="0.35">
      <c r="A740">
        <v>1120</v>
      </c>
      <c r="B740">
        <v>29</v>
      </c>
      <c r="C740" t="s">
        <v>148</v>
      </c>
      <c r="D740" t="s">
        <v>145</v>
      </c>
      <c r="E740" t="s">
        <v>4</v>
      </c>
      <c r="F740" t="s">
        <v>37</v>
      </c>
      <c r="G740" t="s">
        <v>43</v>
      </c>
      <c r="H740" t="s">
        <v>81</v>
      </c>
      <c r="I740" t="s">
        <v>43</v>
      </c>
      <c r="J740" t="s">
        <v>146</v>
      </c>
      <c r="K740" t="s">
        <v>44</v>
      </c>
      <c r="L740" t="s">
        <v>152</v>
      </c>
      <c r="M740" t="s">
        <v>49</v>
      </c>
      <c r="N740" t="s">
        <v>96</v>
      </c>
      <c r="O740" t="s">
        <v>41</v>
      </c>
      <c r="P740" t="s">
        <v>148</v>
      </c>
      <c r="Q740">
        <v>22</v>
      </c>
      <c r="R740">
        <v>4</v>
      </c>
      <c r="S740">
        <v>11</v>
      </c>
      <c r="T740">
        <v>1</v>
      </c>
      <c r="U740">
        <v>1</v>
      </c>
      <c r="V740">
        <v>28</v>
      </c>
      <c r="W740">
        <v>93</v>
      </c>
      <c r="X740">
        <v>1107</v>
      </c>
      <c r="Y740">
        <v>26968</v>
      </c>
      <c r="Z740">
        <v>2514</v>
      </c>
      <c r="AA740">
        <v>1</v>
      </c>
      <c r="AB740" s="29">
        <v>44773</v>
      </c>
      <c r="AC740" s="29">
        <v>34323</v>
      </c>
      <c r="AD740" s="29">
        <v>42543</v>
      </c>
      <c r="AE740" s="29"/>
      <c r="AF740">
        <v>6</v>
      </c>
      <c r="AG740" t="s">
        <v>157</v>
      </c>
      <c r="AI740">
        <v>23</v>
      </c>
      <c r="AJ740">
        <v>1</v>
      </c>
      <c r="AK740" t="s">
        <v>150</v>
      </c>
      <c r="AL740" t="s">
        <v>78</v>
      </c>
      <c r="AM740">
        <f t="shared" si="55"/>
        <v>2</v>
      </c>
      <c r="AN740">
        <f t="shared" si="56"/>
        <v>6</v>
      </c>
      <c r="AO740" t="str">
        <f t="shared" si="57"/>
        <v/>
      </c>
      <c r="AP740" t="str">
        <f t="shared" si="58"/>
        <v/>
      </c>
      <c r="AQ740">
        <f t="shared" si="59"/>
        <v>2016</v>
      </c>
    </row>
    <row r="741" spans="1:43" x14ac:dyDescent="0.35">
      <c r="A741">
        <v>1355</v>
      </c>
      <c r="B741">
        <v>38</v>
      </c>
      <c r="C741" t="s">
        <v>148</v>
      </c>
      <c r="D741" t="s">
        <v>145</v>
      </c>
      <c r="E741" t="s">
        <v>158</v>
      </c>
      <c r="F741" t="s">
        <v>36</v>
      </c>
      <c r="G741" t="s">
        <v>42</v>
      </c>
      <c r="H741" t="s">
        <v>81</v>
      </c>
      <c r="I741" t="s">
        <v>43</v>
      </c>
      <c r="J741" t="s">
        <v>159</v>
      </c>
      <c r="K741" t="s">
        <v>41</v>
      </c>
      <c r="L741" t="s">
        <v>41</v>
      </c>
      <c r="M741" t="s">
        <v>49</v>
      </c>
      <c r="N741" t="s">
        <v>96</v>
      </c>
      <c r="O741" t="s">
        <v>41</v>
      </c>
      <c r="P741" t="s">
        <v>148</v>
      </c>
      <c r="Q741">
        <v>15</v>
      </c>
      <c r="R741">
        <v>3</v>
      </c>
      <c r="S741">
        <v>11</v>
      </c>
      <c r="T741">
        <v>1</v>
      </c>
      <c r="U741">
        <v>3</v>
      </c>
      <c r="V741">
        <v>2</v>
      </c>
      <c r="W741">
        <v>31</v>
      </c>
      <c r="X741">
        <v>1009</v>
      </c>
      <c r="Y741">
        <v>19461</v>
      </c>
      <c r="Z741">
        <v>6893</v>
      </c>
      <c r="AA741">
        <v>3</v>
      </c>
      <c r="AB741" s="29">
        <v>44773</v>
      </c>
      <c r="AC741" s="29">
        <v>30942</v>
      </c>
      <c r="AD741" s="29">
        <v>42558</v>
      </c>
      <c r="AE741" s="29"/>
      <c r="AF741">
        <v>6</v>
      </c>
      <c r="AG741" t="s">
        <v>149</v>
      </c>
      <c r="AI741">
        <v>32</v>
      </c>
      <c r="AJ741">
        <v>1</v>
      </c>
      <c r="AK741" t="s">
        <v>150</v>
      </c>
      <c r="AL741" t="s">
        <v>77</v>
      </c>
      <c r="AM741">
        <f t="shared" si="55"/>
        <v>3</v>
      </c>
      <c r="AN741">
        <f t="shared" si="56"/>
        <v>7</v>
      </c>
      <c r="AO741" t="str">
        <f t="shared" si="57"/>
        <v/>
      </c>
      <c r="AP741" t="str">
        <f t="shared" si="58"/>
        <v/>
      </c>
      <c r="AQ741">
        <f t="shared" si="59"/>
        <v>2016</v>
      </c>
    </row>
    <row r="742" spans="1:43" x14ac:dyDescent="0.35">
      <c r="A742">
        <v>384</v>
      </c>
      <c r="B742">
        <v>26</v>
      </c>
      <c r="C742" t="s">
        <v>148</v>
      </c>
      <c r="D742" t="s">
        <v>151</v>
      </c>
      <c r="E742" t="s">
        <v>4</v>
      </c>
      <c r="F742" t="s">
        <v>38</v>
      </c>
      <c r="G742" t="s">
        <v>43</v>
      </c>
      <c r="H742" t="s">
        <v>81</v>
      </c>
      <c r="I742" t="s">
        <v>43</v>
      </c>
      <c r="J742" t="s">
        <v>165</v>
      </c>
      <c r="K742" t="s">
        <v>42</v>
      </c>
      <c r="L742" t="s">
        <v>152</v>
      </c>
      <c r="M742" t="s">
        <v>47</v>
      </c>
      <c r="N742" t="s">
        <v>96</v>
      </c>
      <c r="O742" t="s">
        <v>41</v>
      </c>
      <c r="P742" t="s">
        <v>148</v>
      </c>
      <c r="Q742">
        <v>20</v>
      </c>
      <c r="R742">
        <v>1</v>
      </c>
      <c r="S742">
        <v>6</v>
      </c>
      <c r="T742">
        <v>1</v>
      </c>
      <c r="U742">
        <v>4</v>
      </c>
      <c r="V742">
        <v>1</v>
      </c>
      <c r="W742">
        <v>84</v>
      </c>
      <c r="X742">
        <v>1479</v>
      </c>
      <c r="Y742">
        <v>26767</v>
      </c>
      <c r="Z742">
        <v>6397</v>
      </c>
      <c r="AA742">
        <v>6</v>
      </c>
      <c r="AB742" s="29">
        <v>44773</v>
      </c>
      <c r="AC742" s="29">
        <v>35595</v>
      </c>
      <c r="AD742" s="29">
        <v>42588</v>
      </c>
      <c r="AE742" s="29"/>
      <c r="AF742">
        <v>6</v>
      </c>
      <c r="AG742" t="s">
        <v>157</v>
      </c>
      <c r="AI742">
        <v>20</v>
      </c>
      <c r="AJ742">
        <v>2</v>
      </c>
      <c r="AK742" t="s">
        <v>150</v>
      </c>
      <c r="AL742" t="s">
        <v>77</v>
      </c>
      <c r="AM742">
        <f t="shared" si="55"/>
        <v>3</v>
      </c>
      <c r="AN742">
        <f t="shared" si="56"/>
        <v>8</v>
      </c>
      <c r="AO742" t="str">
        <f t="shared" si="57"/>
        <v/>
      </c>
      <c r="AP742" t="str">
        <f t="shared" si="58"/>
        <v/>
      </c>
      <c r="AQ742">
        <f t="shared" si="59"/>
        <v>2016</v>
      </c>
    </row>
    <row r="743" spans="1:43" x14ac:dyDescent="0.35">
      <c r="A743">
        <v>1681</v>
      </c>
      <c r="B743">
        <v>33</v>
      </c>
      <c r="C743" t="s">
        <v>148</v>
      </c>
      <c r="D743" t="s">
        <v>164</v>
      </c>
      <c r="E743" t="s">
        <v>158</v>
      </c>
      <c r="F743" t="s">
        <v>38</v>
      </c>
      <c r="G743" t="s">
        <v>43</v>
      </c>
      <c r="H743" t="s">
        <v>81</v>
      </c>
      <c r="I743" t="s">
        <v>43</v>
      </c>
      <c r="J743" t="s">
        <v>159</v>
      </c>
      <c r="K743" t="s">
        <v>44</v>
      </c>
      <c r="L743" t="s">
        <v>152</v>
      </c>
      <c r="M743" t="s">
        <v>49</v>
      </c>
      <c r="N743" t="s">
        <v>96</v>
      </c>
      <c r="O743" t="s">
        <v>41</v>
      </c>
      <c r="P743" t="s">
        <v>144</v>
      </c>
      <c r="Q743">
        <v>25</v>
      </c>
      <c r="R743">
        <v>1</v>
      </c>
      <c r="S743">
        <v>7</v>
      </c>
      <c r="T743">
        <v>1</v>
      </c>
      <c r="U743">
        <v>2</v>
      </c>
      <c r="V743">
        <v>16</v>
      </c>
      <c r="W743">
        <v>36</v>
      </c>
      <c r="X743">
        <v>530</v>
      </c>
      <c r="Y743">
        <v>16130</v>
      </c>
      <c r="Z743">
        <v>5368</v>
      </c>
      <c r="AA743">
        <v>2</v>
      </c>
      <c r="AB743" s="29">
        <v>44773</v>
      </c>
      <c r="AC743" s="29">
        <v>32994</v>
      </c>
      <c r="AD743" s="29">
        <v>42623</v>
      </c>
      <c r="AE743" s="29"/>
      <c r="AF743">
        <v>6</v>
      </c>
      <c r="AG743" t="s">
        <v>149</v>
      </c>
      <c r="AI743">
        <v>27</v>
      </c>
      <c r="AJ743">
        <v>1</v>
      </c>
      <c r="AK743" t="s">
        <v>150</v>
      </c>
      <c r="AL743" t="s">
        <v>77</v>
      </c>
      <c r="AM743">
        <f t="shared" si="55"/>
        <v>3</v>
      </c>
      <c r="AN743">
        <f t="shared" si="56"/>
        <v>9</v>
      </c>
      <c r="AO743" t="str">
        <f t="shared" si="57"/>
        <v/>
      </c>
      <c r="AP743" t="str">
        <f t="shared" si="58"/>
        <v/>
      </c>
      <c r="AQ743">
        <f t="shared" si="59"/>
        <v>2016</v>
      </c>
    </row>
    <row r="744" spans="1:43" x14ac:dyDescent="0.35">
      <c r="A744">
        <v>786</v>
      </c>
      <c r="B744">
        <v>34</v>
      </c>
      <c r="C744" t="s">
        <v>148</v>
      </c>
      <c r="D744" t="s">
        <v>145</v>
      </c>
      <c r="E744" t="s">
        <v>158</v>
      </c>
      <c r="F744" t="s">
        <v>38</v>
      </c>
      <c r="G744" t="s">
        <v>44</v>
      </c>
      <c r="H744" t="s">
        <v>82</v>
      </c>
      <c r="I744" t="s">
        <v>43</v>
      </c>
      <c r="J744" t="s">
        <v>159</v>
      </c>
      <c r="K744" t="s">
        <v>44</v>
      </c>
      <c r="L744" t="s">
        <v>152</v>
      </c>
      <c r="M744" t="s">
        <v>49</v>
      </c>
      <c r="N744" t="s">
        <v>95</v>
      </c>
      <c r="P744" t="s">
        <v>148</v>
      </c>
      <c r="Q744">
        <v>22</v>
      </c>
      <c r="R744">
        <v>1</v>
      </c>
      <c r="S744">
        <v>6</v>
      </c>
      <c r="T744">
        <v>1</v>
      </c>
      <c r="U744">
        <v>4</v>
      </c>
      <c r="V744">
        <v>2</v>
      </c>
      <c r="W744">
        <v>60</v>
      </c>
      <c r="X744">
        <v>304</v>
      </c>
      <c r="Y744">
        <v>18686</v>
      </c>
      <c r="Z744">
        <v>6274</v>
      </c>
      <c r="AA744">
        <v>5</v>
      </c>
      <c r="AB744" s="29">
        <v>44773</v>
      </c>
      <c r="AC744" s="29">
        <v>32489</v>
      </c>
      <c r="AD744" s="29">
        <v>42658</v>
      </c>
      <c r="AE744" s="29"/>
      <c r="AF744">
        <v>6</v>
      </c>
      <c r="AG744" t="s">
        <v>149</v>
      </c>
      <c r="AI744">
        <v>28</v>
      </c>
      <c r="AJ744">
        <v>1</v>
      </c>
      <c r="AK744" t="s">
        <v>150</v>
      </c>
      <c r="AL744" t="s">
        <v>78</v>
      </c>
      <c r="AM744">
        <f t="shared" si="55"/>
        <v>4</v>
      </c>
      <c r="AN744">
        <f t="shared" si="56"/>
        <v>10</v>
      </c>
      <c r="AO744" t="str">
        <f t="shared" si="57"/>
        <v/>
      </c>
      <c r="AP744" t="str">
        <f t="shared" si="58"/>
        <v/>
      </c>
      <c r="AQ744">
        <f t="shared" si="59"/>
        <v>2016</v>
      </c>
    </row>
    <row r="745" spans="1:43" x14ac:dyDescent="0.35">
      <c r="A745">
        <v>804</v>
      </c>
      <c r="B745">
        <v>34</v>
      </c>
      <c r="C745" t="s">
        <v>148</v>
      </c>
      <c r="D745" t="s">
        <v>145</v>
      </c>
      <c r="E745" t="s">
        <v>4</v>
      </c>
      <c r="F745" t="s">
        <v>37</v>
      </c>
      <c r="G745" t="s">
        <v>43</v>
      </c>
      <c r="H745" t="s">
        <v>81</v>
      </c>
      <c r="I745" t="s">
        <v>42</v>
      </c>
      <c r="J745" t="s">
        <v>146</v>
      </c>
      <c r="K745" t="s">
        <v>41</v>
      </c>
      <c r="L745" t="s">
        <v>48</v>
      </c>
      <c r="M745" t="s">
        <v>49</v>
      </c>
      <c r="N745" t="s">
        <v>95</v>
      </c>
      <c r="P745" t="s">
        <v>148</v>
      </c>
      <c r="Q745">
        <v>11</v>
      </c>
      <c r="R745">
        <v>1</v>
      </c>
      <c r="S745">
        <v>6</v>
      </c>
      <c r="T745">
        <v>1</v>
      </c>
      <c r="U745">
        <v>3</v>
      </c>
      <c r="V745">
        <v>2</v>
      </c>
      <c r="W745">
        <v>86</v>
      </c>
      <c r="X745">
        <v>121</v>
      </c>
      <c r="Y745">
        <v>7530</v>
      </c>
      <c r="Z745">
        <v>4381</v>
      </c>
      <c r="AA745">
        <v>3</v>
      </c>
      <c r="AB745" s="29">
        <v>44773</v>
      </c>
      <c r="AC745" s="29">
        <v>32545</v>
      </c>
      <c r="AD745" s="29">
        <v>42694</v>
      </c>
      <c r="AE745" s="29"/>
      <c r="AF745">
        <v>6</v>
      </c>
      <c r="AG745" t="s">
        <v>149</v>
      </c>
      <c r="AI745">
        <v>28</v>
      </c>
      <c r="AJ745">
        <v>1</v>
      </c>
      <c r="AK745" t="s">
        <v>150</v>
      </c>
      <c r="AL745" t="s">
        <v>78</v>
      </c>
      <c r="AM745">
        <f t="shared" si="55"/>
        <v>4</v>
      </c>
      <c r="AN745">
        <f t="shared" si="56"/>
        <v>11</v>
      </c>
      <c r="AO745" t="str">
        <f t="shared" si="57"/>
        <v/>
      </c>
      <c r="AP745" t="str">
        <f t="shared" si="58"/>
        <v/>
      </c>
      <c r="AQ745">
        <f t="shared" si="59"/>
        <v>2016</v>
      </c>
    </row>
    <row r="746" spans="1:43" x14ac:dyDescent="0.35">
      <c r="A746">
        <v>1228</v>
      </c>
      <c r="B746">
        <v>46</v>
      </c>
      <c r="C746" t="s">
        <v>148</v>
      </c>
      <c r="D746" t="s">
        <v>145</v>
      </c>
      <c r="E746" t="s">
        <v>4</v>
      </c>
      <c r="F746" t="s">
        <v>37</v>
      </c>
      <c r="G746" t="s">
        <v>44</v>
      </c>
      <c r="H746" t="s">
        <v>82</v>
      </c>
      <c r="I746" t="s">
        <v>43</v>
      </c>
      <c r="J746" t="s">
        <v>165</v>
      </c>
      <c r="K746" t="s">
        <v>44</v>
      </c>
      <c r="L746" t="s">
        <v>48</v>
      </c>
      <c r="M746" t="s">
        <v>48</v>
      </c>
      <c r="N746" t="s">
        <v>96</v>
      </c>
      <c r="O746" t="s">
        <v>41</v>
      </c>
      <c r="P746" t="s">
        <v>148</v>
      </c>
      <c r="Q746">
        <v>11</v>
      </c>
      <c r="R746">
        <v>2</v>
      </c>
      <c r="S746">
        <v>12</v>
      </c>
      <c r="T746">
        <v>1</v>
      </c>
      <c r="U746">
        <v>4</v>
      </c>
      <c r="V746">
        <v>2</v>
      </c>
      <c r="W746">
        <v>60</v>
      </c>
      <c r="X746">
        <v>150</v>
      </c>
      <c r="Y746">
        <v>17433</v>
      </c>
      <c r="Z746">
        <v>7379</v>
      </c>
      <c r="AA746">
        <v>3</v>
      </c>
      <c r="AB746" s="29">
        <v>44773</v>
      </c>
      <c r="AC746" s="29">
        <v>28215</v>
      </c>
      <c r="AD746" s="29">
        <v>42715</v>
      </c>
      <c r="AE746" s="29"/>
      <c r="AF746">
        <v>6</v>
      </c>
      <c r="AG746" t="s">
        <v>153</v>
      </c>
      <c r="AI746">
        <v>40</v>
      </c>
      <c r="AJ746">
        <v>2</v>
      </c>
      <c r="AK746" t="s">
        <v>150</v>
      </c>
      <c r="AL746" t="s">
        <v>77</v>
      </c>
      <c r="AM746">
        <f t="shared" si="55"/>
        <v>4</v>
      </c>
      <c r="AN746">
        <f t="shared" si="56"/>
        <v>12</v>
      </c>
      <c r="AO746" t="str">
        <f t="shared" si="57"/>
        <v/>
      </c>
      <c r="AP746" t="str">
        <f t="shared" si="58"/>
        <v/>
      </c>
      <c r="AQ746">
        <f t="shared" si="59"/>
        <v>2016</v>
      </c>
    </row>
    <row r="747" spans="1:43" x14ac:dyDescent="0.35">
      <c r="A747">
        <v>1574</v>
      </c>
      <c r="B747">
        <v>32</v>
      </c>
      <c r="C747" t="s">
        <v>148</v>
      </c>
      <c r="D747" t="s">
        <v>164</v>
      </c>
      <c r="E747" t="s">
        <v>4</v>
      </c>
      <c r="F747" t="s">
        <v>37</v>
      </c>
      <c r="G747" t="s">
        <v>44</v>
      </c>
      <c r="H747" t="s">
        <v>82</v>
      </c>
      <c r="I747" t="s">
        <v>43</v>
      </c>
      <c r="J747" t="s">
        <v>146</v>
      </c>
      <c r="K747" t="s">
        <v>41</v>
      </c>
      <c r="L747" t="s">
        <v>48</v>
      </c>
      <c r="M747" t="s">
        <v>48</v>
      </c>
      <c r="N747" t="s">
        <v>160</v>
      </c>
      <c r="O747" t="s">
        <v>41</v>
      </c>
      <c r="P747" t="s">
        <v>148</v>
      </c>
      <c r="Q747">
        <v>14</v>
      </c>
      <c r="R747">
        <v>4</v>
      </c>
      <c r="S747">
        <v>9</v>
      </c>
      <c r="T747">
        <v>1</v>
      </c>
      <c r="U747">
        <v>2</v>
      </c>
      <c r="V747">
        <v>1</v>
      </c>
      <c r="W747">
        <v>62</v>
      </c>
      <c r="X747">
        <v>1200</v>
      </c>
      <c r="Y747">
        <v>25174</v>
      </c>
      <c r="Z747">
        <v>4087</v>
      </c>
      <c r="AA747">
        <v>3</v>
      </c>
      <c r="AB747" s="29">
        <v>44773</v>
      </c>
      <c r="AC747" s="29">
        <v>33359</v>
      </c>
      <c r="AD747" s="29">
        <v>42717</v>
      </c>
      <c r="AE747" s="29"/>
      <c r="AF747">
        <v>6</v>
      </c>
      <c r="AG747" t="s">
        <v>149</v>
      </c>
      <c r="AI747">
        <v>26</v>
      </c>
      <c r="AJ747">
        <v>1</v>
      </c>
      <c r="AK747" t="s">
        <v>150</v>
      </c>
      <c r="AL747" t="s">
        <v>77</v>
      </c>
      <c r="AM747">
        <f t="shared" si="55"/>
        <v>4</v>
      </c>
      <c r="AN747">
        <f t="shared" si="56"/>
        <v>12</v>
      </c>
      <c r="AO747" t="str">
        <f t="shared" si="57"/>
        <v/>
      </c>
      <c r="AP747" t="str">
        <f t="shared" si="58"/>
        <v/>
      </c>
      <c r="AQ747">
        <f t="shared" si="59"/>
        <v>2016</v>
      </c>
    </row>
    <row r="748" spans="1:43" x14ac:dyDescent="0.35">
      <c r="A748">
        <v>1394</v>
      </c>
      <c r="B748">
        <v>37</v>
      </c>
      <c r="C748" t="s">
        <v>148</v>
      </c>
      <c r="D748" t="s">
        <v>145</v>
      </c>
      <c r="E748" t="s">
        <v>4</v>
      </c>
      <c r="F748" t="s">
        <v>35</v>
      </c>
      <c r="G748" t="s">
        <v>43</v>
      </c>
      <c r="H748" t="s">
        <v>82</v>
      </c>
      <c r="I748" t="s">
        <v>43</v>
      </c>
      <c r="J748" t="s">
        <v>146</v>
      </c>
      <c r="K748" t="s">
        <v>43</v>
      </c>
      <c r="L748" t="s">
        <v>41</v>
      </c>
      <c r="M748" t="s">
        <v>49</v>
      </c>
      <c r="N748" t="s">
        <v>160</v>
      </c>
      <c r="P748" t="s">
        <v>144</v>
      </c>
      <c r="Q748">
        <v>15</v>
      </c>
      <c r="R748">
        <v>7</v>
      </c>
      <c r="S748">
        <v>8</v>
      </c>
      <c r="T748">
        <v>1</v>
      </c>
      <c r="U748">
        <v>3</v>
      </c>
      <c r="V748">
        <v>4</v>
      </c>
      <c r="W748">
        <v>54</v>
      </c>
      <c r="X748">
        <v>1439</v>
      </c>
      <c r="Y748">
        <v>5182</v>
      </c>
      <c r="Z748">
        <v>2996</v>
      </c>
      <c r="AA748">
        <v>2</v>
      </c>
      <c r="AB748" s="29">
        <v>44773</v>
      </c>
      <c r="AC748" s="29">
        <v>31469</v>
      </c>
      <c r="AD748" s="29">
        <v>42729</v>
      </c>
      <c r="AE748" s="29"/>
      <c r="AF748">
        <v>6</v>
      </c>
      <c r="AG748" t="s">
        <v>149</v>
      </c>
      <c r="AI748">
        <v>31</v>
      </c>
      <c r="AJ748">
        <v>2</v>
      </c>
      <c r="AK748" t="s">
        <v>150</v>
      </c>
      <c r="AL748" t="s">
        <v>77</v>
      </c>
      <c r="AM748">
        <f t="shared" si="55"/>
        <v>4</v>
      </c>
      <c r="AN748">
        <f t="shared" si="56"/>
        <v>12</v>
      </c>
      <c r="AO748" t="str">
        <f t="shared" si="57"/>
        <v/>
      </c>
      <c r="AP748" t="str">
        <f t="shared" si="58"/>
        <v/>
      </c>
      <c r="AQ748">
        <f t="shared" si="59"/>
        <v>2016</v>
      </c>
    </row>
    <row r="749" spans="1:43" x14ac:dyDescent="0.35">
      <c r="A749">
        <v>781</v>
      </c>
      <c r="B749">
        <v>25</v>
      </c>
      <c r="C749" t="s">
        <v>148</v>
      </c>
      <c r="D749" t="s">
        <v>145</v>
      </c>
      <c r="E749" t="s">
        <v>158</v>
      </c>
      <c r="F749" t="s">
        <v>35</v>
      </c>
      <c r="G749" t="s">
        <v>43</v>
      </c>
      <c r="H749" t="s">
        <v>81</v>
      </c>
      <c r="I749" t="s">
        <v>43</v>
      </c>
      <c r="J749" t="s">
        <v>159</v>
      </c>
      <c r="K749" t="s">
        <v>44</v>
      </c>
      <c r="L749" t="s">
        <v>152</v>
      </c>
      <c r="M749" t="s">
        <v>48</v>
      </c>
      <c r="N749" t="s">
        <v>95</v>
      </c>
      <c r="P749" t="s">
        <v>148</v>
      </c>
      <c r="Q749">
        <v>23</v>
      </c>
      <c r="R749">
        <v>1</v>
      </c>
      <c r="S749">
        <v>6</v>
      </c>
      <c r="T749">
        <v>1</v>
      </c>
      <c r="U749">
        <v>4</v>
      </c>
      <c r="V749">
        <v>26</v>
      </c>
      <c r="W749">
        <v>32</v>
      </c>
      <c r="X749">
        <v>883</v>
      </c>
      <c r="Y749">
        <v>22807</v>
      </c>
      <c r="Z749">
        <v>6180</v>
      </c>
      <c r="AA749">
        <v>5</v>
      </c>
      <c r="AB749" s="29">
        <v>44773</v>
      </c>
      <c r="AC749" s="29">
        <v>35855</v>
      </c>
      <c r="AD749" s="29">
        <v>42760</v>
      </c>
      <c r="AE749" s="29"/>
      <c r="AF749">
        <v>6</v>
      </c>
      <c r="AG749" t="s">
        <v>157</v>
      </c>
      <c r="AI749">
        <v>19</v>
      </c>
      <c r="AJ749">
        <v>2</v>
      </c>
      <c r="AK749" t="s">
        <v>150</v>
      </c>
      <c r="AL749" t="s">
        <v>77</v>
      </c>
      <c r="AM749">
        <f t="shared" si="55"/>
        <v>1</v>
      </c>
      <c r="AN749">
        <f t="shared" si="56"/>
        <v>1</v>
      </c>
      <c r="AO749" t="str">
        <f t="shared" si="57"/>
        <v/>
      </c>
      <c r="AP749" t="str">
        <f t="shared" si="58"/>
        <v/>
      </c>
      <c r="AQ749">
        <f t="shared" si="59"/>
        <v>2017</v>
      </c>
    </row>
    <row r="750" spans="1:43" x14ac:dyDescent="0.35">
      <c r="A750">
        <v>1163</v>
      </c>
      <c r="B750">
        <v>34</v>
      </c>
      <c r="C750" t="s">
        <v>148</v>
      </c>
      <c r="D750" t="s">
        <v>145</v>
      </c>
      <c r="E750" t="s">
        <v>158</v>
      </c>
      <c r="F750" t="s">
        <v>35</v>
      </c>
      <c r="G750" t="s">
        <v>42</v>
      </c>
      <c r="H750" t="s">
        <v>81</v>
      </c>
      <c r="I750" t="s">
        <v>43</v>
      </c>
      <c r="J750" t="s">
        <v>159</v>
      </c>
      <c r="K750" t="s">
        <v>43</v>
      </c>
      <c r="L750" t="s">
        <v>152</v>
      </c>
      <c r="M750" t="s">
        <v>48</v>
      </c>
      <c r="N750" t="s">
        <v>160</v>
      </c>
      <c r="P750" t="s">
        <v>148</v>
      </c>
      <c r="Q750">
        <v>20</v>
      </c>
      <c r="R750">
        <v>1</v>
      </c>
      <c r="S750">
        <v>6</v>
      </c>
      <c r="T750">
        <v>1</v>
      </c>
      <c r="U750">
        <v>3</v>
      </c>
      <c r="V750">
        <v>9</v>
      </c>
      <c r="W750">
        <v>70</v>
      </c>
      <c r="X750">
        <v>1400</v>
      </c>
      <c r="Y750">
        <v>5829</v>
      </c>
      <c r="Z750">
        <v>5714</v>
      </c>
      <c r="AA750">
        <v>3</v>
      </c>
      <c r="AB750" s="29">
        <v>44773</v>
      </c>
      <c r="AC750" s="29">
        <v>32648</v>
      </c>
      <c r="AD750" s="29">
        <v>42823</v>
      </c>
      <c r="AE750" s="29"/>
      <c r="AF750">
        <v>5</v>
      </c>
      <c r="AG750" t="s">
        <v>149</v>
      </c>
      <c r="AI750">
        <v>29</v>
      </c>
      <c r="AJ750">
        <v>2</v>
      </c>
      <c r="AK750" t="s">
        <v>162</v>
      </c>
      <c r="AL750" t="s">
        <v>78</v>
      </c>
      <c r="AM750">
        <f t="shared" si="55"/>
        <v>1</v>
      </c>
      <c r="AN750">
        <f t="shared" si="56"/>
        <v>3</v>
      </c>
      <c r="AO750" t="str">
        <f t="shared" si="57"/>
        <v/>
      </c>
      <c r="AP750" t="str">
        <f t="shared" si="58"/>
        <v/>
      </c>
      <c r="AQ750">
        <f t="shared" si="59"/>
        <v>2017</v>
      </c>
    </row>
    <row r="751" spans="1:43" x14ac:dyDescent="0.35">
      <c r="A751">
        <v>813</v>
      </c>
      <c r="B751">
        <v>52</v>
      </c>
      <c r="C751" t="s">
        <v>148</v>
      </c>
      <c r="D751" t="s">
        <v>145</v>
      </c>
      <c r="E751" t="s">
        <v>4</v>
      </c>
      <c r="F751" t="s">
        <v>37</v>
      </c>
      <c r="G751" t="s">
        <v>44</v>
      </c>
      <c r="H751" t="s">
        <v>81</v>
      </c>
      <c r="I751" t="s">
        <v>43</v>
      </c>
      <c r="J751" t="s">
        <v>155</v>
      </c>
      <c r="K751" t="s">
        <v>43</v>
      </c>
      <c r="L751" t="s">
        <v>152</v>
      </c>
      <c r="M751" t="s">
        <v>49</v>
      </c>
      <c r="N751" t="s">
        <v>160</v>
      </c>
      <c r="O751" t="s">
        <v>41</v>
      </c>
      <c r="P751" t="s">
        <v>148</v>
      </c>
      <c r="Q751">
        <v>20</v>
      </c>
      <c r="R751">
        <v>8</v>
      </c>
      <c r="S751">
        <v>9</v>
      </c>
      <c r="T751">
        <v>1</v>
      </c>
      <c r="U751">
        <v>4</v>
      </c>
      <c r="V751">
        <v>11</v>
      </c>
      <c r="W751">
        <v>82</v>
      </c>
      <c r="X751">
        <v>1325</v>
      </c>
      <c r="Y751">
        <v>21821</v>
      </c>
      <c r="Z751">
        <v>3149</v>
      </c>
      <c r="AA751">
        <v>3</v>
      </c>
      <c r="AB751" s="29">
        <v>44773</v>
      </c>
      <c r="AC751" s="29">
        <v>25942</v>
      </c>
      <c r="AD751" s="29">
        <v>42968</v>
      </c>
      <c r="AE751" s="29"/>
      <c r="AF751">
        <v>5</v>
      </c>
      <c r="AG751" t="s">
        <v>167</v>
      </c>
      <c r="AI751">
        <v>47</v>
      </c>
      <c r="AJ751">
        <v>1</v>
      </c>
      <c r="AK751" t="s">
        <v>162</v>
      </c>
      <c r="AL751" t="s">
        <v>77</v>
      </c>
      <c r="AM751">
        <f t="shared" si="55"/>
        <v>3</v>
      </c>
      <c r="AN751">
        <f t="shared" si="56"/>
        <v>8</v>
      </c>
      <c r="AO751" t="str">
        <f t="shared" si="57"/>
        <v/>
      </c>
      <c r="AP751" t="str">
        <f t="shared" si="58"/>
        <v/>
      </c>
      <c r="AQ751">
        <f t="shared" si="59"/>
        <v>2017</v>
      </c>
    </row>
    <row r="752" spans="1:43" x14ac:dyDescent="0.35">
      <c r="A752">
        <v>1499</v>
      </c>
      <c r="B752">
        <v>30</v>
      </c>
      <c r="C752" t="s">
        <v>148</v>
      </c>
      <c r="D752" t="s">
        <v>145</v>
      </c>
      <c r="E752" t="s">
        <v>168</v>
      </c>
      <c r="F752" t="s">
        <v>38</v>
      </c>
      <c r="G752" t="s">
        <v>43</v>
      </c>
      <c r="H752" t="s">
        <v>82</v>
      </c>
      <c r="I752" t="s">
        <v>43</v>
      </c>
      <c r="J752" t="s">
        <v>168</v>
      </c>
      <c r="K752" t="s">
        <v>43</v>
      </c>
      <c r="L752" t="s">
        <v>152</v>
      </c>
      <c r="M752" t="s">
        <v>50</v>
      </c>
      <c r="N752" t="s">
        <v>96</v>
      </c>
      <c r="O752" t="s">
        <v>41</v>
      </c>
      <c r="P752" t="s">
        <v>148</v>
      </c>
      <c r="Q752">
        <v>21</v>
      </c>
      <c r="R752">
        <v>0</v>
      </c>
      <c r="S752">
        <v>6</v>
      </c>
      <c r="T752">
        <v>1</v>
      </c>
      <c r="U752">
        <v>3</v>
      </c>
      <c r="V752">
        <v>1</v>
      </c>
      <c r="W752">
        <v>46</v>
      </c>
      <c r="X752">
        <v>330</v>
      </c>
      <c r="Y752">
        <v>15428</v>
      </c>
      <c r="Z752">
        <v>2064</v>
      </c>
      <c r="AA752">
        <v>3</v>
      </c>
      <c r="AB752" s="29">
        <v>44773</v>
      </c>
      <c r="AC752" s="29">
        <v>33987</v>
      </c>
      <c r="AD752" s="29">
        <v>42969</v>
      </c>
      <c r="AE752" s="29"/>
      <c r="AF752">
        <v>5</v>
      </c>
      <c r="AG752" t="s">
        <v>149</v>
      </c>
      <c r="AI752">
        <v>25</v>
      </c>
      <c r="AJ752">
        <v>1</v>
      </c>
      <c r="AK752" t="s">
        <v>162</v>
      </c>
      <c r="AL752" t="s">
        <v>77</v>
      </c>
      <c r="AM752">
        <f t="shared" si="55"/>
        <v>3</v>
      </c>
      <c r="AN752">
        <f t="shared" si="56"/>
        <v>8</v>
      </c>
      <c r="AO752" t="str">
        <f t="shared" si="57"/>
        <v/>
      </c>
      <c r="AP752" t="str">
        <f t="shared" si="58"/>
        <v/>
      </c>
      <c r="AQ752">
        <f t="shared" si="59"/>
        <v>2017</v>
      </c>
    </row>
    <row r="753" spans="1:43" x14ac:dyDescent="0.35">
      <c r="A753">
        <v>1909</v>
      </c>
      <c r="B753">
        <v>41</v>
      </c>
      <c r="C753" t="s">
        <v>148</v>
      </c>
      <c r="D753" t="s">
        <v>145</v>
      </c>
      <c r="E753" t="s">
        <v>158</v>
      </c>
      <c r="F753" t="s">
        <v>38</v>
      </c>
      <c r="G753" t="s">
        <v>43</v>
      </c>
      <c r="H753" t="s">
        <v>81</v>
      </c>
      <c r="I753" t="s">
        <v>43</v>
      </c>
      <c r="J753" t="s">
        <v>159</v>
      </c>
      <c r="K753" t="s">
        <v>42</v>
      </c>
      <c r="L753" t="s">
        <v>152</v>
      </c>
      <c r="M753" t="s">
        <v>49</v>
      </c>
      <c r="N753" t="s">
        <v>160</v>
      </c>
      <c r="O753" t="s">
        <v>41</v>
      </c>
      <c r="P753" t="s">
        <v>148</v>
      </c>
      <c r="Q753">
        <v>21</v>
      </c>
      <c r="R753">
        <v>5</v>
      </c>
      <c r="S753">
        <v>14</v>
      </c>
      <c r="T753">
        <v>1</v>
      </c>
      <c r="U753">
        <v>4</v>
      </c>
      <c r="V753">
        <v>8</v>
      </c>
      <c r="W753">
        <v>54</v>
      </c>
      <c r="X753">
        <v>337</v>
      </c>
      <c r="Y753">
        <v>26841</v>
      </c>
      <c r="Z753">
        <v>4393</v>
      </c>
      <c r="AA753">
        <v>3</v>
      </c>
      <c r="AB753" s="29">
        <v>44773</v>
      </c>
      <c r="AC753" s="29">
        <v>29866</v>
      </c>
      <c r="AD753" s="29">
        <v>42969</v>
      </c>
      <c r="AE753" s="29"/>
      <c r="AF753">
        <v>5</v>
      </c>
      <c r="AG753" t="s">
        <v>153</v>
      </c>
      <c r="AI753">
        <v>36</v>
      </c>
      <c r="AJ753">
        <v>2</v>
      </c>
      <c r="AK753" t="s">
        <v>162</v>
      </c>
      <c r="AL753" t="s">
        <v>77</v>
      </c>
      <c r="AM753">
        <f t="shared" si="55"/>
        <v>3</v>
      </c>
      <c r="AN753">
        <f t="shared" si="56"/>
        <v>8</v>
      </c>
      <c r="AO753" t="str">
        <f t="shared" si="57"/>
        <v/>
      </c>
      <c r="AP753" t="str">
        <f t="shared" si="58"/>
        <v/>
      </c>
      <c r="AQ753">
        <f t="shared" si="59"/>
        <v>2017</v>
      </c>
    </row>
    <row r="754" spans="1:43" x14ac:dyDescent="0.35">
      <c r="A754">
        <v>231</v>
      </c>
      <c r="B754">
        <v>32</v>
      </c>
      <c r="C754" t="s">
        <v>148</v>
      </c>
      <c r="D754" t="s">
        <v>145</v>
      </c>
      <c r="E754" t="s">
        <v>4</v>
      </c>
      <c r="F754" t="s">
        <v>34</v>
      </c>
      <c r="G754" t="s">
        <v>43</v>
      </c>
      <c r="H754" t="s">
        <v>82</v>
      </c>
      <c r="I754" t="s">
        <v>43</v>
      </c>
      <c r="J754" t="s">
        <v>146</v>
      </c>
      <c r="K754" t="s">
        <v>43</v>
      </c>
      <c r="L754" t="s">
        <v>152</v>
      </c>
      <c r="M754" t="s">
        <v>49</v>
      </c>
      <c r="N754" t="s">
        <v>95</v>
      </c>
      <c r="P754" t="s">
        <v>148</v>
      </c>
      <c r="Q754">
        <v>20</v>
      </c>
      <c r="R754">
        <v>3</v>
      </c>
      <c r="S754">
        <v>8</v>
      </c>
      <c r="T754">
        <v>1</v>
      </c>
      <c r="U754">
        <v>4</v>
      </c>
      <c r="V754">
        <v>6</v>
      </c>
      <c r="W754">
        <v>43</v>
      </c>
      <c r="X754">
        <v>120</v>
      </c>
      <c r="Y754">
        <v>12430</v>
      </c>
      <c r="Z754">
        <v>3038</v>
      </c>
      <c r="AA754">
        <v>2</v>
      </c>
      <c r="AB754" s="29">
        <v>44773</v>
      </c>
      <c r="AC754" s="29">
        <v>33419</v>
      </c>
      <c r="AD754" s="29">
        <v>42977</v>
      </c>
      <c r="AE754" s="29"/>
      <c r="AF754">
        <v>5</v>
      </c>
      <c r="AG754" t="s">
        <v>149</v>
      </c>
      <c r="AI754">
        <v>27</v>
      </c>
      <c r="AJ754">
        <v>2</v>
      </c>
      <c r="AK754" t="s">
        <v>162</v>
      </c>
      <c r="AL754" t="s">
        <v>77</v>
      </c>
      <c r="AM754">
        <f t="shared" si="55"/>
        <v>3</v>
      </c>
      <c r="AN754">
        <f t="shared" si="56"/>
        <v>8</v>
      </c>
      <c r="AO754" t="str">
        <f t="shared" si="57"/>
        <v/>
      </c>
      <c r="AP754" t="str">
        <f t="shared" si="58"/>
        <v/>
      </c>
      <c r="AQ754">
        <f t="shared" si="59"/>
        <v>2017</v>
      </c>
    </row>
    <row r="755" spans="1:43" x14ac:dyDescent="0.35">
      <c r="A755">
        <v>150</v>
      </c>
      <c r="B755">
        <v>24</v>
      </c>
      <c r="C755" t="s">
        <v>148</v>
      </c>
      <c r="D755" t="s">
        <v>145</v>
      </c>
      <c r="E755" t="s">
        <v>4</v>
      </c>
      <c r="F755" t="s">
        <v>35</v>
      </c>
      <c r="G755" t="s">
        <v>42</v>
      </c>
      <c r="H755" t="s">
        <v>82</v>
      </c>
      <c r="I755" t="s">
        <v>43</v>
      </c>
      <c r="J755" t="s">
        <v>155</v>
      </c>
      <c r="K755" t="s">
        <v>43</v>
      </c>
      <c r="L755" t="s">
        <v>48</v>
      </c>
      <c r="M755" t="s">
        <v>49</v>
      </c>
      <c r="N755" t="s">
        <v>160</v>
      </c>
      <c r="O755" t="s">
        <v>41</v>
      </c>
      <c r="P755" t="s">
        <v>148</v>
      </c>
      <c r="Q755">
        <v>12</v>
      </c>
      <c r="R755">
        <v>0</v>
      </c>
      <c r="S755">
        <v>6</v>
      </c>
      <c r="T755">
        <v>1</v>
      </c>
      <c r="U755">
        <v>2</v>
      </c>
      <c r="V755">
        <v>18</v>
      </c>
      <c r="W755">
        <v>52</v>
      </c>
      <c r="X755">
        <v>1127</v>
      </c>
      <c r="Y755">
        <v>13257</v>
      </c>
      <c r="Z755">
        <v>2774</v>
      </c>
      <c r="AA755">
        <v>2</v>
      </c>
      <c r="AB755" s="29">
        <v>44773</v>
      </c>
      <c r="AC755" s="29">
        <v>36288</v>
      </c>
      <c r="AD755" s="29">
        <v>42991</v>
      </c>
      <c r="AE755" s="29"/>
      <c r="AF755">
        <v>5</v>
      </c>
      <c r="AG755" t="s">
        <v>157</v>
      </c>
      <c r="AI755">
        <v>19</v>
      </c>
      <c r="AJ755">
        <v>1</v>
      </c>
      <c r="AK755" t="s">
        <v>162</v>
      </c>
      <c r="AL755" t="s">
        <v>77</v>
      </c>
      <c r="AM755">
        <f t="shared" si="55"/>
        <v>3</v>
      </c>
      <c r="AN755">
        <f t="shared" si="56"/>
        <v>9</v>
      </c>
      <c r="AO755" t="str">
        <f t="shared" si="57"/>
        <v/>
      </c>
      <c r="AP755" t="str">
        <f t="shared" si="58"/>
        <v/>
      </c>
      <c r="AQ755">
        <f t="shared" si="59"/>
        <v>2017</v>
      </c>
    </row>
    <row r="756" spans="1:43" x14ac:dyDescent="0.35">
      <c r="A756">
        <v>1736</v>
      </c>
      <c r="B756">
        <v>31</v>
      </c>
      <c r="C756" t="s">
        <v>148</v>
      </c>
      <c r="D756" t="s">
        <v>151</v>
      </c>
      <c r="E756" t="s">
        <v>4</v>
      </c>
      <c r="F756" t="s">
        <v>35</v>
      </c>
      <c r="G756" t="s">
        <v>44</v>
      </c>
      <c r="H756" t="s">
        <v>81</v>
      </c>
      <c r="I756" t="s">
        <v>43</v>
      </c>
      <c r="J756" t="s">
        <v>165</v>
      </c>
      <c r="K756" t="s">
        <v>44</v>
      </c>
      <c r="L756" t="s">
        <v>152</v>
      </c>
      <c r="M756" t="s">
        <v>48</v>
      </c>
      <c r="N756" t="s">
        <v>95</v>
      </c>
      <c r="P756" t="s">
        <v>148</v>
      </c>
      <c r="Q756">
        <v>20</v>
      </c>
      <c r="R756">
        <v>2</v>
      </c>
      <c r="S756">
        <v>9</v>
      </c>
      <c r="T756">
        <v>1</v>
      </c>
      <c r="U756">
        <v>4</v>
      </c>
      <c r="V756">
        <v>24</v>
      </c>
      <c r="W756">
        <v>30</v>
      </c>
      <c r="X756">
        <v>163</v>
      </c>
      <c r="Y756">
        <v>6670</v>
      </c>
      <c r="Z756">
        <v>5238</v>
      </c>
      <c r="AA756">
        <v>3</v>
      </c>
      <c r="AB756" s="29">
        <v>44773</v>
      </c>
      <c r="AC756" s="29">
        <v>33490</v>
      </c>
      <c r="AD756" s="29">
        <v>43056</v>
      </c>
      <c r="AE756" s="29"/>
      <c r="AF756">
        <v>5</v>
      </c>
      <c r="AG756" t="s">
        <v>149</v>
      </c>
      <c r="AI756">
        <v>26</v>
      </c>
      <c r="AJ756">
        <v>1</v>
      </c>
      <c r="AK756" t="s">
        <v>162</v>
      </c>
      <c r="AL756" t="s">
        <v>77</v>
      </c>
      <c r="AM756">
        <f t="shared" si="55"/>
        <v>4</v>
      </c>
      <c r="AN756">
        <f t="shared" si="56"/>
        <v>11</v>
      </c>
      <c r="AO756" t="str">
        <f t="shared" si="57"/>
        <v/>
      </c>
      <c r="AP756" t="str">
        <f t="shared" si="58"/>
        <v/>
      </c>
      <c r="AQ756">
        <f t="shared" si="59"/>
        <v>2017</v>
      </c>
    </row>
    <row r="757" spans="1:43" x14ac:dyDescent="0.35">
      <c r="A757">
        <v>894</v>
      </c>
      <c r="B757">
        <v>42</v>
      </c>
      <c r="C757" t="s">
        <v>148</v>
      </c>
      <c r="D757" t="s">
        <v>145</v>
      </c>
      <c r="E757" t="s">
        <v>4</v>
      </c>
      <c r="F757" t="s">
        <v>38</v>
      </c>
      <c r="G757" t="s">
        <v>43</v>
      </c>
      <c r="H757" t="s">
        <v>81</v>
      </c>
      <c r="I757" t="s">
        <v>44</v>
      </c>
      <c r="J757" t="s">
        <v>155</v>
      </c>
      <c r="K757" t="s">
        <v>44</v>
      </c>
      <c r="L757" t="s">
        <v>48</v>
      </c>
      <c r="M757" t="s">
        <v>48</v>
      </c>
      <c r="N757" t="s">
        <v>160</v>
      </c>
      <c r="O757" t="s">
        <v>41</v>
      </c>
      <c r="P757" t="s">
        <v>144</v>
      </c>
      <c r="Q757">
        <v>13</v>
      </c>
      <c r="R757">
        <v>2</v>
      </c>
      <c r="S757">
        <v>17</v>
      </c>
      <c r="T757">
        <v>1</v>
      </c>
      <c r="U757">
        <v>3</v>
      </c>
      <c r="V757">
        <v>3</v>
      </c>
      <c r="W757">
        <v>95</v>
      </c>
      <c r="X757">
        <v>1265</v>
      </c>
      <c r="Y757">
        <v>23726</v>
      </c>
      <c r="Z757">
        <v>5231</v>
      </c>
      <c r="AA757">
        <v>1</v>
      </c>
      <c r="AB757" s="29">
        <v>44773</v>
      </c>
      <c r="AC757" s="29">
        <v>29662</v>
      </c>
      <c r="AD757" s="29">
        <v>43068</v>
      </c>
      <c r="AE757" s="29"/>
      <c r="AF757">
        <v>5</v>
      </c>
      <c r="AG757" t="s">
        <v>153</v>
      </c>
      <c r="AI757">
        <v>37</v>
      </c>
      <c r="AJ757">
        <v>2</v>
      </c>
      <c r="AK757" t="s">
        <v>162</v>
      </c>
      <c r="AL757" t="s">
        <v>77</v>
      </c>
      <c r="AM757">
        <f t="shared" si="55"/>
        <v>4</v>
      </c>
      <c r="AN757">
        <f t="shared" si="56"/>
        <v>11</v>
      </c>
      <c r="AO757" t="str">
        <f t="shared" si="57"/>
        <v/>
      </c>
      <c r="AP757" t="str">
        <f t="shared" si="58"/>
        <v/>
      </c>
      <c r="AQ757">
        <f t="shared" si="59"/>
        <v>2017</v>
      </c>
    </row>
    <row r="758" spans="1:43" x14ac:dyDescent="0.35">
      <c r="A758">
        <v>1999</v>
      </c>
      <c r="B758">
        <v>41</v>
      </c>
      <c r="C758" t="s">
        <v>148</v>
      </c>
      <c r="D758" t="s">
        <v>145</v>
      </c>
      <c r="E758" t="s">
        <v>4</v>
      </c>
      <c r="F758" t="s">
        <v>38</v>
      </c>
      <c r="G758" t="s">
        <v>44</v>
      </c>
      <c r="H758" t="s">
        <v>82</v>
      </c>
      <c r="I758" t="s">
        <v>43</v>
      </c>
      <c r="J758" t="s">
        <v>146</v>
      </c>
      <c r="K758" t="s">
        <v>44</v>
      </c>
      <c r="L758" t="s">
        <v>152</v>
      </c>
      <c r="M758" t="s">
        <v>49</v>
      </c>
      <c r="N758" t="s">
        <v>160</v>
      </c>
      <c r="O758" t="s">
        <v>41</v>
      </c>
      <c r="P758" t="s">
        <v>148</v>
      </c>
      <c r="Q758">
        <v>22</v>
      </c>
      <c r="R758">
        <v>3</v>
      </c>
      <c r="S758">
        <v>12</v>
      </c>
      <c r="T758">
        <v>1</v>
      </c>
      <c r="U758">
        <v>0</v>
      </c>
      <c r="V758">
        <v>1</v>
      </c>
      <c r="W758">
        <v>76</v>
      </c>
      <c r="X758">
        <v>642</v>
      </c>
      <c r="Y758">
        <v>21412</v>
      </c>
      <c r="Z758">
        <v>2782</v>
      </c>
      <c r="AA758">
        <v>3</v>
      </c>
      <c r="AB758" s="29">
        <v>44773</v>
      </c>
      <c r="AC758" s="29">
        <v>29850</v>
      </c>
      <c r="AD758" s="29">
        <v>43092</v>
      </c>
      <c r="AE758" s="29"/>
      <c r="AF758">
        <v>5</v>
      </c>
      <c r="AG758" t="s">
        <v>153</v>
      </c>
      <c r="AI758">
        <v>36</v>
      </c>
      <c r="AJ758">
        <v>1</v>
      </c>
      <c r="AK758" t="s">
        <v>162</v>
      </c>
      <c r="AL758" t="s">
        <v>77</v>
      </c>
      <c r="AM758">
        <f t="shared" si="55"/>
        <v>4</v>
      </c>
      <c r="AN758">
        <f t="shared" si="56"/>
        <v>12</v>
      </c>
      <c r="AO758" t="str">
        <f t="shared" si="57"/>
        <v/>
      </c>
      <c r="AP758" t="str">
        <f t="shared" si="58"/>
        <v/>
      </c>
      <c r="AQ758">
        <f t="shared" si="59"/>
        <v>2017</v>
      </c>
    </row>
    <row r="759" spans="1:43" x14ac:dyDescent="0.35">
      <c r="A759">
        <v>1469</v>
      </c>
      <c r="B759">
        <v>28</v>
      </c>
      <c r="C759" t="s">
        <v>148</v>
      </c>
      <c r="D759" t="s">
        <v>145</v>
      </c>
      <c r="E759" t="s">
        <v>158</v>
      </c>
      <c r="F759" t="s">
        <v>38</v>
      </c>
      <c r="G759" t="s">
        <v>44</v>
      </c>
      <c r="H759" t="s">
        <v>82</v>
      </c>
      <c r="I759" t="s">
        <v>43</v>
      </c>
      <c r="J759" t="s">
        <v>159</v>
      </c>
      <c r="K759" t="s">
        <v>41</v>
      </c>
      <c r="L759" t="s">
        <v>41</v>
      </c>
      <c r="M759" t="s">
        <v>49</v>
      </c>
      <c r="N759" t="s">
        <v>95</v>
      </c>
      <c r="P759" t="s">
        <v>148</v>
      </c>
      <c r="Q759">
        <v>18</v>
      </c>
      <c r="R759">
        <v>0</v>
      </c>
      <c r="S759">
        <v>6</v>
      </c>
      <c r="T759">
        <v>1</v>
      </c>
      <c r="U759">
        <v>3</v>
      </c>
      <c r="V759">
        <v>5</v>
      </c>
      <c r="W759">
        <v>84</v>
      </c>
      <c r="X759">
        <v>866</v>
      </c>
      <c r="Y759">
        <v>23490</v>
      </c>
      <c r="Z759">
        <v>8463</v>
      </c>
      <c r="AA759">
        <v>4</v>
      </c>
      <c r="AB759" s="29">
        <v>44773</v>
      </c>
      <c r="AC759" s="29">
        <v>34794</v>
      </c>
      <c r="AD759" s="29">
        <v>43111</v>
      </c>
      <c r="AE759" s="29"/>
      <c r="AF759">
        <v>5</v>
      </c>
      <c r="AG759" t="s">
        <v>157</v>
      </c>
      <c r="AI759">
        <v>23</v>
      </c>
      <c r="AJ759">
        <v>2</v>
      </c>
      <c r="AK759" t="s">
        <v>162</v>
      </c>
      <c r="AL759" t="s">
        <v>77</v>
      </c>
      <c r="AM759">
        <f t="shared" si="55"/>
        <v>1</v>
      </c>
      <c r="AN759">
        <f t="shared" si="56"/>
        <v>1</v>
      </c>
      <c r="AO759" t="str">
        <f t="shared" si="57"/>
        <v/>
      </c>
      <c r="AP759" t="str">
        <f t="shared" si="58"/>
        <v/>
      </c>
      <c r="AQ759">
        <f t="shared" si="59"/>
        <v>2018</v>
      </c>
    </row>
    <row r="760" spans="1:43" x14ac:dyDescent="0.35">
      <c r="A760">
        <v>1598</v>
      </c>
      <c r="B760">
        <v>40</v>
      </c>
      <c r="C760" t="s">
        <v>148</v>
      </c>
      <c r="D760" t="s">
        <v>145</v>
      </c>
      <c r="E760" t="s">
        <v>158</v>
      </c>
      <c r="F760" t="s">
        <v>36</v>
      </c>
      <c r="G760" t="s">
        <v>44</v>
      </c>
      <c r="H760" t="s">
        <v>81</v>
      </c>
      <c r="I760" t="s">
        <v>43</v>
      </c>
      <c r="J760" t="s">
        <v>159</v>
      </c>
      <c r="K760" t="s">
        <v>41</v>
      </c>
      <c r="L760" t="s">
        <v>41</v>
      </c>
      <c r="M760" t="s">
        <v>49</v>
      </c>
      <c r="N760" t="s">
        <v>160</v>
      </c>
      <c r="O760" t="s">
        <v>41</v>
      </c>
      <c r="P760" t="s">
        <v>148</v>
      </c>
      <c r="Q760">
        <v>15</v>
      </c>
      <c r="R760">
        <v>1</v>
      </c>
      <c r="S760">
        <v>5</v>
      </c>
      <c r="T760">
        <v>1</v>
      </c>
      <c r="U760">
        <v>2</v>
      </c>
      <c r="V760">
        <v>14</v>
      </c>
      <c r="W760">
        <v>84</v>
      </c>
      <c r="X760">
        <v>118</v>
      </c>
      <c r="Y760">
        <v>11262</v>
      </c>
      <c r="Z760">
        <v>4639</v>
      </c>
      <c r="AA760">
        <v>2</v>
      </c>
      <c r="AB760" s="29">
        <v>44773</v>
      </c>
      <c r="AC760" s="29">
        <v>30427</v>
      </c>
      <c r="AD760" s="29">
        <v>43152</v>
      </c>
      <c r="AE760" s="29"/>
      <c r="AF760">
        <v>4</v>
      </c>
      <c r="AG760" t="s">
        <v>153</v>
      </c>
      <c r="AI760">
        <v>36</v>
      </c>
      <c r="AJ760">
        <v>1</v>
      </c>
      <c r="AK760" t="s">
        <v>162</v>
      </c>
      <c r="AL760" t="s">
        <v>77</v>
      </c>
      <c r="AM760">
        <f t="shared" si="55"/>
        <v>1</v>
      </c>
      <c r="AN760">
        <f t="shared" si="56"/>
        <v>2</v>
      </c>
      <c r="AO760" t="str">
        <f t="shared" si="57"/>
        <v/>
      </c>
      <c r="AP760" t="str">
        <f t="shared" si="58"/>
        <v/>
      </c>
      <c r="AQ760">
        <f t="shared" si="59"/>
        <v>2018</v>
      </c>
    </row>
    <row r="761" spans="1:43" x14ac:dyDescent="0.35">
      <c r="A761">
        <v>641</v>
      </c>
      <c r="B761">
        <v>26</v>
      </c>
      <c r="C761" t="s">
        <v>148</v>
      </c>
      <c r="D761" t="s">
        <v>145</v>
      </c>
      <c r="E761" t="s">
        <v>158</v>
      </c>
      <c r="F761" t="s">
        <v>36</v>
      </c>
      <c r="G761" t="s">
        <v>41</v>
      </c>
      <c r="H761" t="s">
        <v>82</v>
      </c>
      <c r="I761" t="s">
        <v>43</v>
      </c>
      <c r="J761" t="s">
        <v>159</v>
      </c>
      <c r="K761" t="s">
        <v>42</v>
      </c>
      <c r="L761" t="s">
        <v>152</v>
      </c>
      <c r="M761" t="s">
        <v>50</v>
      </c>
      <c r="N761" t="s">
        <v>160</v>
      </c>
      <c r="O761" t="s">
        <v>156</v>
      </c>
      <c r="P761" t="s">
        <v>148</v>
      </c>
      <c r="Q761">
        <v>20</v>
      </c>
      <c r="R761">
        <v>1</v>
      </c>
      <c r="S761">
        <v>6</v>
      </c>
      <c r="T761">
        <v>1</v>
      </c>
      <c r="U761">
        <v>4</v>
      </c>
      <c r="V761">
        <v>28</v>
      </c>
      <c r="W761">
        <v>66</v>
      </c>
      <c r="X761">
        <v>703</v>
      </c>
      <c r="Y761">
        <v>7428</v>
      </c>
      <c r="Z761">
        <v>6272</v>
      </c>
      <c r="AA761">
        <v>5</v>
      </c>
      <c r="AB761" s="29">
        <v>44773</v>
      </c>
      <c r="AC761" s="29">
        <v>35481</v>
      </c>
      <c r="AD761" s="29">
        <v>43184</v>
      </c>
      <c r="AE761" s="29"/>
      <c r="AF761">
        <v>4</v>
      </c>
      <c r="AG761" t="s">
        <v>157</v>
      </c>
      <c r="AI761">
        <v>22</v>
      </c>
      <c r="AJ761">
        <v>1</v>
      </c>
      <c r="AK761" t="s">
        <v>162</v>
      </c>
      <c r="AL761" t="s">
        <v>78</v>
      </c>
      <c r="AM761">
        <f t="shared" si="55"/>
        <v>1</v>
      </c>
      <c r="AN761">
        <f t="shared" si="56"/>
        <v>3</v>
      </c>
      <c r="AO761" t="str">
        <f t="shared" si="57"/>
        <v/>
      </c>
      <c r="AP761" t="str">
        <f t="shared" si="58"/>
        <v/>
      </c>
      <c r="AQ761">
        <f t="shared" si="59"/>
        <v>2018</v>
      </c>
    </row>
    <row r="762" spans="1:43" x14ac:dyDescent="0.35">
      <c r="A762">
        <v>997</v>
      </c>
      <c r="B762">
        <v>50</v>
      </c>
      <c r="C762" t="s">
        <v>148</v>
      </c>
      <c r="D762" t="s">
        <v>145</v>
      </c>
      <c r="E762" t="s">
        <v>4</v>
      </c>
      <c r="F762" t="s">
        <v>36</v>
      </c>
      <c r="G762" t="s">
        <v>44</v>
      </c>
      <c r="H762" t="s">
        <v>82</v>
      </c>
      <c r="I762" t="s">
        <v>43</v>
      </c>
      <c r="J762" t="s">
        <v>173</v>
      </c>
      <c r="K762" t="s">
        <v>44</v>
      </c>
      <c r="L762" t="s">
        <v>152</v>
      </c>
      <c r="M762" t="s">
        <v>48</v>
      </c>
      <c r="N762" t="s">
        <v>96</v>
      </c>
      <c r="O762" t="s">
        <v>41</v>
      </c>
      <c r="P762" t="s">
        <v>148</v>
      </c>
      <c r="Q762">
        <v>22</v>
      </c>
      <c r="R762">
        <v>9</v>
      </c>
      <c r="S762">
        <v>32</v>
      </c>
      <c r="T762">
        <v>1</v>
      </c>
      <c r="U762">
        <v>3</v>
      </c>
      <c r="V762">
        <v>1</v>
      </c>
      <c r="W762">
        <v>66</v>
      </c>
      <c r="X762">
        <v>1126</v>
      </c>
      <c r="Y762">
        <v>6615</v>
      </c>
      <c r="Z762">
        <v>17399</v>
      </c>
      <c r="AA762">
        <v>1</v>
      </c>
      <c r="AB762" s="29">
        <v>44773</v>
      </c>
      <c r="AC762" s="29">
        <v>26658</v>
      </c>
      <c r="AD762" s="29">
        <v>43222</v>
      </c>
      <c r="AE762" s="29"/>
      <c r="AF762">
        <v>4</v>
      </c>
      <c r="AG762" t="s">
        <v>167</v>
      </c>
      <c r="AI762">
        <v>46</v>
      </c>
      <c r="AJ762">
        <v>1</v>
      </c>
      <c r="AK762" t="s">
        <v>162</v>
      </c>
      <c r="AL762" t="s">
        <v>77</v>
      </c>
      <c r="AM762">
        <f t="shared" si="55"/>
        <v>2</v>
      </c>
      <c r="AN762">
        <f t="shared" si="56"/>
        <v>5</v>
      </c>
      <c r="AO762" t="str">
        <f t="shared" si="57"/>
        <v/>
      </c>
      <c r="AP762" t="str">
        <f t="shared" si="58"/>
        <v/>
      </c>
      <c r="AQ762">
        <f t="shared" si="59"/>
        <v>2018</v>
      </c>
    </row>
    <row r="763" spans="1:43" x14ac:dyDescent="0.35">
      <c r="A763">
        <v>200</v>
      </c>
      <c r="B763">
        <v>41</v>
      </c>
      <c r="C763" t="s">
        <v>148</v>
      </c>
      <c r="D763" t="s">
        <v>145</v>
      </c>
      <c r="E763" t="s">
        <v>4</v>
      </c>
      <c r="F763" t="s">
        <v>37</v>
      </c>
      <c r="G763" t="s">
        <v>43</v>
      </c>
      <c r="H763" t="s">
        <v>82</v>
      </c>
      <c r="I763" t="s">
        <v>43</v>
      </c>
      <c r="J763" t="s">
        <v>155</v>
      </c>
      <c r="K763" t="s">
        <v>41</v>
      </c>
      <c r="L763" t="s">
        <v>152</v>
      </c>
      <c r="M763" t="s">
        <v>49</v>
      </c>
      <c r="N763" t="s">
        <v>160</v>
      </c>
      <c r="O763" t="s">
        <v>41</v>
      </c>
      <c r="P763" t="s">
        <v>148</v>
      </c>
      <c r="Q763">
        <v>21</v>
      </c>
      <c r="R763">
        <v>2</v>
      </c>
      <c r="S763">
        <v>7</v>
      </c>
      <c r="T763">
        <v>1</v>
      </c>
      <c r="U763">
        <v>4</v>
      </c>
      <c r="V763">
        <v>9</v>
      </c>
      <c r="W763">
        <v>94</v>
      </c>
      <c r="X763">
        <v>933</v>
      </c>
      <c r="Y763">
        <v>6961</v>
      </c>
      <c r="Z763">
        <v>2238</v>
      </c>
      <c r="AA763">
        <v>2</v>
      </c>
      <c r="AB763" s="29">
        <v>44773</v>
      </c>
      <c r="AC763" s="29">
        <v>29927</v>
      </c>
      <c r="AD763" s="29">
        <v>43234</v>
      </c>
      <c r="AE763" s="29"/>
      <c r="AF763">
        <v>4</v>
      </c>
      <c r="AG763" t="s">
        <v>153</v>
      </c>
      <c r="AI763">
        <v>37</v>
      </c>
      <c r="AJ763">
        <v>1</v>
      </c>
      <c r="AK763" t="s">
        <v>162</v>
      </c>
      <c r="AL763" t="s">
        <v>77</v>
      </c>
      <c r="AM763">
        <f t="shared" si="55"/>
        <v>2</v>
      </c>
      <c r="AN763">
        <f t="shared" si="56"/>
        <v>5</v>
      </c>
      <c r="AO763" t="str">
        <f t="shared" si="57"/>
        <v/>
      </c>
      <c r="AP763" t="str">
        <f t="shared" si="58"/>
        <v/>
      </c>
      <c r="AQ763">
        <f t="shared" si="59"/>
        <v>2018</v>
      </c>
    </row>
    <row r="764" spans="1:43" x14ac:dyDescent="0.35">
      <c r="A764">
        <v>1654</v>
      </c>
      <c r="B764">
        <v>39</v>
      </c>
      <c r="C764" t="s">
        <v>148</v>
      </c>
      <c r="D764" t="s">
        <v>145</v>
      </c>
      <c r="E764" t="s">
        <v>4</v>
      </c>
      <c r="F764" t="s">
        <v>38</v>
      </c>
      <c r="G764" t="s">
        <v>44</v>
      </c>
      <c r="H764" t="s">
        <v>82</v>
      </c>
      <c r="I764" t="s">
        <v>43</v>
      </c>
      <c r="J764" t="s">
        <v>165</v>
      </c>
      <c r="K764" t="s">
        <v>42</v>
      </c>
      <c r="L764" t="s">
        <v>152</v>
      </c>
      <c r="M764" t="s">
        <v>49</v>
      </c>
      <c r="N764" t="s">
        <v>160</v>
      </c>
      <c r="P764" t="s">
        <v>148</v>
      </c>
      <c r="Q764">
        <v>21</v>
      </c>
      <c r="R764">
        <v>4</v>
      </c>
      <c r="S764">
        <v>7</v>
      </c>
      <c r="T764">
        <v>1</v>
      </c>
      <c r="U764">
        <v>0</v>
      </c>
      <c r="V764">
        <v>12</v>
      </c>
      <c r="W764">
        <v>66</v>
      </c>
      <c r="X764">
        <v>492</v>
      </c>
      <c r="Y764">
        <v>7693</v>
      </c>
      <c r="Z764">
        <v>5295</v>
      </c>
      <c r="AA764">
        <v>3</v>
      </c>
      <c r="AB764" s="29">
        <v>44773</v>
      </c>
      <c r="AC764" s="29">
        <v>30733</v>
      </c>
      <c r="AD764" s="29">
        <v>43284</v>
      </c>
      <c r="AE764" s="29"/>
      <c r="AF764">
        <v>4</v>
      </c>
      <c r="AG764" t="s">
        <v>149</v>
      </c>
      <c r="AI764">
        <v>35</v>
      </c>
      <c r="AJ764">
        <v>1</v>
      </c>
      <c r="AK764" t="s">
        <v>162</v>
      </c>
      <c r="AL764" t="s">
        <v>77</v>
      </c>
      <c r="AM764">
        <f t="shared" si="55"/>
        <v>3</v>
      </c>
      <c r="AN764">
        <f t="shared" si="56"/>
        <v>7</v>
      </c>
      <c r="AO764" t="str">
        <f t="shared" si="57"/>
        <v/>
      </c>
      <c r="AP764" t="str">
        <f t="shared" si="58"/>
        <v/>
      </c>
      <c r="AQ764">
        <f t="shared" si="59"/>
        <v>2018</v>
      </c>
    </row>
    <row r="765" spans="1:43" x14ac:dyDescent="0.35">
      <c r="A765">
        <v>843</v>
      </c>
      <c r="B765">
        <v>43</v>
      </c>
      <c r="C765" t="s">
        <v>148</v>
      </c>
      <c r="D765" t="s">
        <v>145</v>
      </c>
      <c r="E765" t="s">
        <v>4</v>
      </c>
      <c r="F765" t="s">
        <v>36</v>
      </c>
      <c r="G765" t="s">
        <v>42</v>
      </c>
      <c r="H765" t="s">
        <v>82</v>
      </c>
      <c r="I765" t="s">
        <v>43</v>
      </c>
      <c r="J765" t="s">
        <v>173</v>
      </c>
      <c r="K765" t="s">
        <v>41</v>
      </c>
      <c r="L765" t="s">
        <v>152</v>
      </c>
      <c r="M765" t="s">
        <v>49</v>
      </c>
      <c r="N765" t="s">
        <v>160</v>
      </c>
      <c r="O765" t="s">
        <v>41</v>
      </c>
      <c r="P765" t="s">
        <v>148</v>
      </c>
      <c r="Q765">
        <v>24</v>
      </c>
      <c r="R765">
        <v>6</v>
      </c>
      <c r="S765">
        <v>22</v>
      </c>
      <c r="T765">
        <v>1</v>
      </c>
      <c r="U765">
        <v>0</v>
      </c>
      <c r="V765">
        <v>14</v>
      </c>
      <c r="W765">
        <v>94</v>
      </c>
      <c r="X765">
        <v>589</v>
      </c>
      <c r="Y765">
        <v>5200</v>
      </c>
      <c r="Z765">
        <v>17159</v>
      </c>
      <c r="AA765">
        <v>3</v>
      </c>
      <c r="AB765" s="29">
        <v>44773</v>
      </c>
      <c r="AC765" s="29">
        <v>29246</v>
      </c>
      <c r="AD765" s="29">
        <v>43372</v>
      </c>
      <c r="AE765" s="29"/>
      <c r="AF765">
        <v>4</v>
      </c>
      <c r="AG765" t="s">
        <v>153</v>
      </c>
      <c r="AI765">
        <v>39</v>
      </c>
      <c r="AJ765">
        <v>2</v>
      </c>
      <c r="AK765" t="s">
        <v>162</v>
      </c>
      <c r="AL765" t="s">
        <v>77</v>
      </c>
      <c r="AM765">
        <f t="shared" si="55"/>
        <v>3</v>
      </c>
      <c r="AN765">
        <f t="shared" si="56"/>
        <v>9</v>
      </c>
      <c r="AO765" t="str">
        <f t="shared" si="57"/>
        <v/>
      </c>
      <c r="AP765" t="str">
        <f t="shared" si="58"/>
        <v/>
      </c>
      <c r="AQ765">
        <f t="shared" si="59"/>
        <v>2018</v>
      </c>
    </row>
    <row r="766" spans="1:43" x14ac:dyDescent="0.35">
      <c r="A766">
        <v>68</v>
      </c>
      <c r="B766">
        <v>44</v>
      </c>
      <c r="C766" t="s">
        <v>148</v>
      </c>
      <c r="D766" t="s">
        <v>145</v>
      </c>
      <c r="E766" t="s">
        <v>158</v>
      </c>
      <c r="F766" t="s">
        <v>34</v>
      </c>
      <c r="G766" t="s">
        <v>42</v>
      </c>
      <c r="H766" t="s">
        <v>81</v>
      </c>
      <c r="I766" t="s">
        <v>43</v>
      </c>
      <c r="J766" t="s">
        <v>159</v>
      </c>
      <c r="K766" t="s">
        <v>41</v>
      </c>
      <c r="L766" t="s">
        <v>152</v>
      </c>
      <c r="M766" t="s">
        <v>48</v>
      </c>
      <c r="N766" t="s">
        <v>96</v>
      </c>
      <c r="O766" t="s">
        <v>41</v>
      </c>
      <c r="P766" t="s">
        <v>144</v>
      </c>
      <c r="Q766">
        <v>21</v>
      </c>
      <c r="R766">
        <v>5</v>
      </c>
      <c r="S766">
        <v>9</v>
      </c>
      <c r="T766">
        <v>1</v>
      </c>
      <c r="U766">
        <v>3</v>
      </c>
      <c r="V766">
        <v>1</v>
      </c>
      <c r="W766">
        <v>75</v>
      </c>
      <c r="X766">
        <v>1488</v>
      </c>
      <c r="Y766">
        <v>4009</v>
      </c>
      <c r="Z766">
        <v>5454</v>
      </c>
      <c r="AA766">
        <v>2</v>
      </c>
      <c r="AB766" s="29">
        <v>44773</v>
      </c>
      <c r="AC766" s="29">
        <v>28865</v>
      </c>
      <c r="AD766" s="29">
        <v>43375</v>
      </c>
      <c r="AE766" s="29"/>
      <c r="AF766">
        <v>4</v>
      </c>
      <c r="AG766" t="s">
        <v>153</v>
      </c>
      <c r="AI766">
        <v>40</v>
      </c>
      <c r="AJ766">
        <v>1</v>
      </c>
      <c r="AK766" t="s">
        <v>162</v>
      </c>
      <c r="AL766" t="s">
        <v>77</v>
      </c>
      <c r="AM766">
        <f t="shared" si="55"/>
        <v>4</v>
      </c>
      <c r="AN766">
        <f t="shared" si="56"/>
        <v>10</v>
      </c>
      <c r="AO766" t="str">
        <f t="shared" si="57"/>
        <v/>
      </c>
      <c r="AP766" t="str">
        <f t="shared" si="58"/>
        <v/>
      </c>
      <c r="AQ766">
        <f t="shared" si="59"/>
        <v>2018</v>
      </c>
    </row>
    <row r="767" spans="1:43" x14ac:dyDescent="0.35">
      <c r="A767">
        <v>800</v>
      </c>
      <c r="B767">
        <v>27</v>
      </c>
      <c r="C767" t="s">
        <v>148</v>
      </c>
      <c r="D767" t="s">
        <v>151</v>
      </c>
      <c r="E767" t="s">
        <v>158</v>
      </c>
      <c r="F767" t="s">
        <v>35</v>
      </c>
      <c r="G767" t="s">
        <v>43</v>
      </c>
      <c r="H767" t="s">
        <v>82</v>
      </c>
      <c r="I767" t="s">
        <v>43</v>
      </c>
      <c r="J767" t="s">
        <v>159</v>
      </c>
      <c r="K767" t="s">
        <v>44</v>
      </c>
      <c r="L767" t="s">
        <v>41</v>
      </c>
      <c r="M767" t="s">
        <v>49</v>
      </c>
      <c r="N767" t="s">
        <v>160</v>
      </c>
      <c r="O767" t="s">
        <v>41</v>
      </c>
      <c r="P767" t="s">
        <v>148</v>
      </c>
      <c r="Q767">
        <v>19</v>
      </c>
      <c r="R767">
        <v>0</v>
      </c>
      <c r="S767">
        <v>5</v>
      </c>
      <c r="T767">
        <v>1</v>
      </c>
      <c r="U767">
        <v>1</v>
      </c>
      <c r="V767">
        <v>8</v>
      </c>
      <c r="W767">
        <v>84</v>
      </c>
      <c r="X767">
        <v>829</v>
      </c>
      <c r="Y767">
        <v>24008</v>
      </c>
      <c r="Z767">
        <v>4342</v>
      </c>
      <c r="AA767">
        <v>3</v>
      </c>
      <c r="AB767" s="29">
        <v>44773</v>
      </c>
      <c r="AC767" s="29">
        <v>35010</v>
      </c>
      <c r="AD767" s="29">
        <v>43397</v>
      </c>
      <c r="AE767" s="29"/>
      <c r="AF767">
        <v>4</v>
      </c>
      <c r="AG767" t="s">
        <v>157</v>
      </c>
      <c r="AI767">
        <v>23</v>
      </c>
      <c r="AJ767">
        <v>1</v>
      </c>
      <c r="AK767" t="s">
        <v>162</v>
      </c>
      <c r="AL767" t="s">
        <v>77</v>
      </c>
      <c r="AM767">
        <f t="shared" si="55"/>
        <v>4</v>
      </c>
      <c r="AN767">
        <f t="shared" si="56"/>
        <v>10</v>
      </c>
      <c r="AO767" t="str">
        <f t="shared" si="57"/>
        <v/>
      </c>
      <c r="AP767" t="str">
        <f t="shared" si="58"/>
        <v/>
      </c>
      <c r="AQ767">
        <f t="shared" si="59"/>
        <v>2018</v>
      </c>
    </row>
    <row r="768" spans="1:43" x14ac:dyDescent="0.35">
      <c r="A768">
        <v>1659</v>
      </c>
      <c r="B768">
        <v>36</v>
      </c>
      <c r="C768" t="s">
        <v>148</v>
      </c>
      <c r="D768" t="s">
        <v>145</v>
      </c>
      <c r="E768" t="s">
        <v>4</v>
      </c>
      <c r="F768" t="s">
        <v>38</v>
      </c>
      <c r="G768" t="s">
        <v>41</v>
      </c>
      <c r="H768" t="s">
        <v>82</v>
      </c>
      <c r="I768" t="s">
        <v>43</v>
      </c>
      <c r="J768" t="s">
        <v>155</v>
      </c>
      <c r="K768" t="s">
        <v>42</v>
      </c>
      <c r="L768" t="s">
        <v>48</v>
      </c>
      <c r="M768" t="s">
        <v>49</v>
      </c>
      <c r="N768" t="s">
        <v>95</v>
      </c>
      <c r="P768" t="s">
        <v>148</v>
      </c>
      <c r="Q768">
        <v>11</v>
      </c>
      <c r="R768">
        <v>2</v>
      </c>
      <c r="S768">
        <v>15</v>
      </c>
      <c r="T768">
        <v>1</v>
      </c>
      <c r="U768">
        <v>3</v>
      </c>
      <c r="V768">
        <v>7</v>
      </c>
      <c r="W768">
        <v>77</v>
      </c>
      <c r="X768">
        <v>311</v>
      </c>
      <c r="Y768">
        <v>10950</v>
      </c>
      <c r="Z768">
        <v>2013</v>
      </c>
      <c r="AA768">
        <v>4</v>
      </c>
      <c r="AB768" s="29">
        <v>44773</v>
      </c>
      <c r="AC768" s="29">
        <v>31656</v>
      </c>
      <c r="AD768" s="29">
        <v>43524</v>
      </c>
      <c r="AE768" s="29"/>
      <c r="AF768">
        <v>3</v>
      </c>
      <c r="AG768" t="s">
        <v>149</v>
      </c>
      <c r="AI768">
        <v>33</v>
      </c>
      <c r="AJ768">
        <v>1</v>
      </c>
      <c r="AK768" t="s">
        <v>170</v>
      </c>
      <c r="AL768" t="s">
        <v>77</v>
      </c>
      <c r="AM768">
        <f t="shared" si="55"/>
        <v>1</v>
      </c>
      <c r="AN768">
        <f t="shared" si="56"/>
        <v>2</v>
      </c>
      <c r="AO768" t="str">
        <f t="shared" si="57"/>
        <v/>
      </c>
      <c r="AP768" t="str">
        <f t="shared" si="58"/>
        <v/>
      </c>
      <c r="AQ768">
        <f t="shared" si="59"/>
        <v>2019</v>
      </c>
    </row>
    <row r="769" spans="1:43" x14ac:dyDescent="0.35">
      <c r="A769">
        <v>1173</v>
      </c>
      <c r="B769">
        <v>24</v>
      </c>
      <c r="C769" t="s">
        <v>148</v>
      </c>
      <c r="D769" t="s">
        <v>145</v>
      </c>
      <c r="E769" t="s">
        <v>4</v>
      </c>
      <c r="F769" t="s">
        <v>38</v>
      </c>
      <c r="G769" t="s">
        <v>44</v>
      </c>
      <c r="H769" t="s">
        <v>82</v>
      </c>
      <c r="I769" t="s">
        <v>43</v>
      </c>
      <c r="J769" t="s">
        <v>155</v>
      </c>
      <c r="K769" t="s">
        <v>42</v>
      </c>
      <c r="L769" t="s">
        <v>152</v>
      </c>
      <c r="M769" t="s">
        <v>49</v>
      </c>
      <c r="N769" t="s">
        <v>95</v>
      </c>
      <c r="P769" t="s">
        <v>148</v>
      </c>
      <c r="Q769">
        <v>22</v>
      </c>
      <c r="R769">
        <v>8</v>
      </c>
      <c r="S769">
        <v>6</v>
      </c>
      <c r="T769">
        <v>1</v>
      </c>
      <c r="U769">
        <v>2</v>
      </c>
      <c r="V769">
        <v>24</v>
      </c>
      <c r="W769">
        <v>49</v>
      </c>
      <c r="X769">
        <v>477</v>
      </c>
      <c r="Y769">
        <v>6409</v>
      </c>
      <c r="Z769">
        <v>3597</v>
      </c>
      <c r="AA769">
        <v>2</v>
      </c>
      <c r="AB769" s="29">
        <v>44773</v>
      </c>
      <c r="AC769" s="29">
        <v>36165</v>
      </c>
      <c r="AD769" s="29">
        <v>43570</v>
      </c>
      <c r="AE769" s="29"/>
      <c r="AF769">
        <v>3</v>
      </c>
      <c r="AG769" t="s">
        <v>157</v>
      </c>
      <c r="AI769">
        <v>21</v>
      </c>
      <c r="AJ769">
        <v>1</v>
      </c>
      <c r="AK769" t="s">
        <v>170</v>
      </c>
      <c r="AL769" t="s">
        <v>77</v>
      </c>
      <c r="AM769">
        <f t="shared" si="55"/>
        <v>2</v>
      </c>
      <c r="AN769">
        <f t="shared" si="56"/>
        <v>4</v>
      </c>
      <c r="AO769" t="str">
        <f t="shared" si="57"/>
        <v/>
      </c>
      <c r="AP769" t="str">
        <f t="shared" si="58"/>
        <v/>
      </c>
      <c r="AQ769">
        <f t="shared" si="59"/>
        <v>2019</v>
      </c>
    </row>
    <row r="770" spans="1:43" x14ac:dyDescent="0.35">
      <c r="A770">
        <v>1814</v>
      </c>
      <c r="B770">
        <v>41</v>
      </c>
      <c r="C770" t="s">
        <v>148</v>
      </c>
      <c r="D770" t="s">
        <v>145</v>
      </c>
      <c r="E770" t="s">
        <v>4</v>
      </c>
      <c r="F770" t="s">
        <v>38</v>
      </c>
      <c r="G770" t="s">
        <v>42</v>
      </c>
      <c r="H770" t="s">
        <v>82</v>
      </c>
      <c r="I770" t="s">
        <v>44</v>
      </c>
      <c r="J770" t="s">
        <v>161</v>
      </c>
      <c r="K770" t="s">
        <v>42</v>
      </c>
      <c r="L770" t="s">
        <v>41</v>
      </c>
      <c r="M770" t="s">
        <v>47</v>
      </c>
      <c r="N770" t="s">
        <v>95</v>
      </c>
      <c r="P770" t="s">
        <v>148</v>
      </c>
      <c r="Q770">
        <v>12</v>
      </c>
      <c r="R770">
        <v>3</v>
      </c>
      <c r="S770">
        <v>11</v>
      </c>
      <c r="T770">
        <v>1</v>
      </c>
      <c r="U770">
        <v>2</v>
      </c>
      <c r="V770">
        <v>5</v>
      </c>
      <c r="W770">
        <v>85</v>
      </c>
      <c r="X770">
        <v>447</v>
      </c>
      <c r="Y770">
        <v>15530</v>
      </c>
      <c r="Z770">
        <v>6870</v>
      </c>
      <c r="AA770">
        <v>3</v>
      </c>
      <c r="AB770" s="29">
        <v>44773</v>
      </c>
      <c r="AC770" s="29">
        <v>29943</v>
      </c>
      <c r="AD770" s="29">
        <v>43685</v>
      </c>
      <c r="AE770" s="29"/>
      <c r="AF770">
        <v>3</v>
      </c>
      <c r="AG770" t="s">
        <v>153</v>
      </c>
      <c r="AI770">
        <v>38</v>
      </c>
      <c r="AJ770">
        <v>1</v>
      </c>
      <c r="AK770" t="s">
        <v>170</v>
      </c>
      <c r="AL770" t="s">
        <v>78</v>
      </c>
      <c r="AM770">
        <f t="shared" ref="AM770:AM833" si="60">ROUNDUP(MONTH(AD770)/3,0)</f>
        <v>3</v>
      </c>
      <c r="AN770">
        <f t="shared" ref="AN770:AN833" si="61">MONTH(AD770)</f>
        <v>8</v>
      </c>
      <c r="AO770" t="str">
        <f t="shared" ref="AO770:AO833" si="62">IF(C770="Yes",ROUNDUP(MONTH(AE770)/3,0),"")</f>
        <v/>
      </c>
      <c r="AP770" t="str">
        <f t="shared" ref="AP770:AP833" si="63">IF(C770="Yes",MONTH(AE770),"")</f>
        <v/>
      </c>
      <c r="AQ770">
        <f t="shared" ref="AQ770:AQ833" si="64">YEAR(AD770)</f>
        <v>2019</v>
      </c>
    </row>
    <row r="771" spans="1:43" x14ac:dyDescent="0.35">
      <c r="A771">
        <v>1509</v>
      </c>
      <c r="B771">
        <v>49</v>
      </c>
      <c r="C771" t="s">
        <v>148</v>
      </c>
      <c r="D771" t="s">
        <v>145</v>
      </c>
      <c r="E771" t="s">
        <v>4</v>
      </c>
      <c r="F771" t="s">
        <v>36</v>
      </c>
      <c r="G771" t="s">
        <v>43</v>
      </c>
      <c r="H771" t="s">
        <v>81</v>
      </c>
      <c r="I771" t="s">
        <v>42</v>
      </c>
      <c r="J771" t="s">
        <v>155</v>
      </c>
      <c r="K771" t="s">
        <v>41</v>
      </c>
      <c r="L771" t="s">
        <v>152</v>
      </c>
      <c r="M771" t="s">
        <v>49</v>
      </c>
      <c r="N771" t="s">
        <v>160</v>
      </c>
      <c r="O771" t="s">
        <v>41</v>
      </c>
      <c r="P771" t="s">
        <v>148</v>
      </c>
      <c r="Q771">
        <v>25</v>
      </c>
      <c r="R771">
        <v>4</v>
      </c>
      <c r="S771">
        <v>10</v>
      </c>
      <c r="T771">
        <v>1</v>
      </c>
      <c r="U771">
        <v>2</v>
      </c>
      <c r="V771">
        <v>3</v>
      </c>
      <c r="W771">
        <v>43</v>
      </c>
      <c r="X771">
        <v>271</v>
      </c>
      <c r="Y771">
        <v>23070</v>
      </c>
      <c r="Z771">
        <v>4789</v>
      </c>
      <c r="AA771">
        <v>3</v>
      </c>
      <c r="AB771" s="29">
        <v>44773</v>
      </c>
      <c r="AC771" s="29">
        <v>27154</v>
      </c>
      <c r="AD771" s="29">
        <v>43690</v>
      </c>
      <c r="AE771" s="29"/>
      <c r="AF771">
        <v>3</v>
      </c>
      <c r="AG771" t="s">
        <v>153</v>
      </c>
      <c r="AI771">
        <v>46</v>
      </c>
      <c r="AJ771">
        <v>1</v>
      </c>
      <c r="AK771" t="s">
        <v>170</v>
      </c>
      <c r="AL771" t="s">
        <v>78</v>
      </c>
      <c r="AM771">
        <f t="shared" si="60"/>
        <v>3</v>
      </c>
      <c r="AN771">
        <f t="shared" si="61"/>
        <v>8</v>
      </c>
      <c r="AO771" t="str">
        <f t="shared" si="62"/>
        <v/>
      </c>
      <c r="AP771" t="str">
        <f t="shared" si="63"/>
        <v/>
      </c>
      <c r="AQ771">
        <f t="shared" si="64"/>
        <v>2019</v>
      </c>
    </row>
    <row r="772" spans="1:43" x14ac:dyDescent="0.35">
      <c r="A772">
        <v>305</v>
      </c>
      <c r="B772">
        <v>33</v>
      </c>
      <c r="C772" t="s">
        <v>148</v>
      </c>
      <c r="D772" t="s">
        <v>145</v>
      </c>
      <c r="E772" t="s">
        <v>4</v>
      </c>
      <c r="F772" t="s">
        <v>37</v>
      </c>
      <c r="G772" t="s">
        <v>43</v>
      </c>
      <c r="H772" t="s">
        <v>81</v>
      </c>
      <c r="I772" t="s">
        <v>42</v>
      </c>
      <c r="J772" t="s">
        <v>146</v>
      </c>
      <c r="K772" t="s">
        <v>42</v>
      </c>
      <c r="L772" t="s">
        <v>152</v>
      </c>
      <c r="M772" t="s">
        <v>49</v>
      </c>
      <c r="N772" t="s">
        <v>160</v>
      </c>
      <c r="P772" t="s">
        <v>148</v>
      </c>
      <c r="Q772">
        <v>21</v>
      </c>
      <c r="R772">
        <v>6</v>
      </c>
      <c r="S772">
        <v>7</v>
      </c>
      <c r="T772">
        <v>1</v>
      </c>
      <c r="U772">
        <v>1</v>
      </c>
      <c r="V772">
        <v>4</v>
      </c>
      <c r="W772">
        <v>47</v>
      </c>
      <c r="X772">
        <v>147</v>
      </c>
      <c r="Y772">
        <v>13248</v>
      </c>
      <c r="Z772">
        <v>2622</v>
      </c>
      <c r="AA772">
        <v>3</v>
      </c>
      <c r="AB772" s="29">
        <v>44773</v>
      </c>
      <c r="AC772" s="29">
        <v>33006</v>
      </c>
      <c r="AD772" s="29">
        <v>43730</v>
      </c>
      <c r="AE772" s="29"/>
      <c r="AF772">
        <v>3</v>
      </c>
      <c r="AG772" t="s">
        <v>149</v>
      </c>
      <c r="AI772">
        <v>30</v>
      </c>
      <c r="AJ772">
        <v>2</v>
      </c>
      <c r="AK772" t="s">
        <v>170</v>
      </c>
      <c r="AL772" t="s">
        <v>77</v>
      </c>
      <c r="AM772">
        <f t="shared" si="60"/>
        <v>3</v>
      </c>
      <c r="AN772">
        <f t="shared" si="61"/>
        <v>9</v>
      </c>
      <c r="AO772" t="str">
        <f t="shared" si="62"/>
        <v/>
      </c>
      <c r="AP772" t="str">
        <f t="shared" si="63"/>
        <v/>
      </c>
      <c r="AQ772">
        <f t="shared" si="64"/>
        <v>2019</v>
      </c>
    </row>
    <row r="773" spans="1:43" x14ac:dyDescent="0.35">
      <c r="A773">
        <v>707</v>
      </c>
      <c r="B773">
        <v>25</v>
      </c>
      <c r="C773" t="s">
        <v>148</v>
      </c>
      <c r="D773" t="s">
        <v>145</v>
      </c>
      <c r="E773" t="s">
        <v>158</v>
      </c>
      <c r="F773" t="s">
        <v>38</v>
      </c>
      <c r="G773" t="s">
        <v>44</v>
      </c>
      <c r="H773" t="s">
        <v>82</v>
      </c>
      <c r="I773" t="s">
        <v>44</v>
      </c>
      <c r="J773" t="s">
        <v>159</v>
      </c>
      <c r="K773" t="s">
        <v>42</v>
      </c>
      <c r="L773" t="s">
        <v>152</v>
      </c>
      <c r="M773" t="s">
        <v>49</v>
      </c>
      <c r="N773" t="s">
        <v>160</v>
      </c>
      <c r="O773" t="s">
        <v>41</v>
      </c>
      <c r="P773" t="s">
        <v>148</v>
      </c>
      <c r="Q773">
        <v>22</v>
      </c>
      <c r="R773">
        <v>0</v>
      </c>
      <c r="S773">
        <v>4</v>
      </c>
      <c r="T773">
        <v>1</v>
      </c>
      <c r="U773">
        <v>2</v>
      </c>
      <c r="V773">
        <v>8</v>
      </c>
      <c r="W773">
        <v>57</v>
      </c>
      <c r="X773">
        <v>810</v>
      </c>
      <c r="Y773">
        <v>15678</v>
      </c>
      <c r="Z773">
        <v>4851</v>
      </c>
      <c r="AA773">
        <v>4</v>
      </c>
      <c r="AB773" s="29">
        <v>44773</v>
      </c>
      <c r="AC773" s="29">
        <v>35858</v>
      </c>
      <c r="AD773" s="29">
        <v>43760</v>
      </c>
      <c r="AE773" s="29"/>
      <c r="AF773">
        <v>3</v>
      </c>
      <c r="AG773" t="s">
        <v>157</v>
      </c>
      <c r="AI773">
        <v>22</v>
      </c>
      <c r="AJ773">
        <v>1</v>
      </c>
      <c r="AK773" t="s">
        <v>170</v>
      </c>
      <c r="AL773" t="s">
        <v>77</v>
      </c>
      <c r="AM773">
        <f t="shared" si="60"/>
        <v>4</v>
      </c>
      <c r="AN773">
        <f t="shared" si="61"/>
        <v>10</v>
      </c>
      <c r="AO773" t="str">
        <f t="shared" si="62"/>
        <v/>
      </c>
      <c r="AP773" t="str">
        <f t="shared" si="63"/>
        <v/>
      </c>
      <c r="AQ773">
        <f t="shared" si="64"/>
        <v>2019</v>
      </c>
    </row>
    <row r="774" spans="1:43" x14ac:dyDescent="0.35">
      <c r="A774">
        <v>1473</v>
      </c>
      <c r="B774">
        <v>49</v>
      </c>
      <c r="C774" t="s">
        <v>148</v>
      </c>
      <c r="D774" t="s">
        <v>145</v>
      </c>
      <c r="E774" t="s">
        <v>4</v>
      </c>
      <c r="F774" t="s">
        <v>37</v>
      </c>
      <c r="G774" t="s">
        <v>41</v>
      </c>
      <c r="H774" t="s">
        <v>82</v>
      </c>
      <c r="I774" t="s">
        <v>43</v>
      </c>
      <c r="J774" t="s">
        <v>161</v>
      </c>
      <c r="K774" t="s">
        <v>43</v>
      </c>
      <c r="L774" t="s">
        <v>48</v>
      </c>
      <c r="M774" t="s">
        <v>48</v>
      </c>
      <c r="N774" t="s">
        <v>160</v>
      </c>
      <c r="O774" t="s">
        <v>41</v>
      </c>
      <c r="P774" t="s">
        <v>148</v>
      </c>
      <c r="Q774">
        <v>14</v>
      </c>
      <c r="R774">
        <v>2</v>
      </c>
      <c r="S774">
        <v>20</v>
      </c>
      <c r="T774">
        <v>1</v>
      </c>
      <c r="U774">
        <v>2</v>
      </c>
      <c r="V774">
        <v>5</v>
      </c>
      <c r="W774">
        <v>96</v>
      </c>
      <c r="X774">
        <v>1495</v>
      </c>
      <c r="Y774">
        <v>21534</v>
      </c>
      <c r="Z774">
        <v>6651</v>
      </c>
      <c r="AA774">
        <v>0</v>
      </c>
      <c r="AB774" s="29">
        <v>44773</v>
      </c>
      <c r="AC774" s="29">
        <v>26950</v>
      </c>
      <c r="AD774" s="29">
        <v>43782</v>
      </c>
      <c r="AE774" s="29"/>
      <c r="AF774">
        <v>3</v>
      </c>
      <c r="AG774" t="s">
        <v>153</v>
      </c>
      <c r="AI774">
        <v>46</v>
      </c>
      <c r="AJ774">
        <v>1</v>
      </c>
      <c r="AK774" t="s">
        <v>170</v>
      </c>
      <c r="AL774" t="s">
        <v>77</v>
      </c>
      <c r="AM774">
        <f t="shared" si="60"/>
        <v>4</v>
      </c>
      <c r="AN774">
        <f t="shared" si="61"/>
        <v>11</v>
      </c>
      <c r="AO774" t="str">
        <f t="shared" si="62"/>
        <v/>
      </c>
      <c r="AP774" t="str">
        <f t="shared" si="63"/>
        <v/>
      </c>
      <c r="AQ774">
        <f t="shared" si="64"/>
        <v>2019</v>
      </c>
    </row>
    <row r="775" spans="1:43" x14ac:dyDescent="0.35">
      <c r="A775">
        <v>1556</v>
      </c>
      <c r="B775">
        <v>36</v>
      </c>
      <c r="C775" t="s">
        <v>148</v>
      </c>
      <c r="D775" t="s">
        <v>145</v>
      </c>
      <c r="E775" t="s">
        <v>158</v>
      </c>
      <c r="F775" t="s">
        <v>37</v>
      </c>
      <c r="G775" t="s">
        <v>43</v>
      </c>
      <c r="H775" t="s">
        <v>82</v>
      </c>
      <c r="I775" t="s">
        <v>43</v>
      </c>
      <c r="J775" t="s">
        <v>166</v>
      </c>
      <c r="K775" t="s">
        <v>44</v>
      </c>
      <c r="L775" t="s">
        <v>152</v>
      </c>
      <c r="M775" t="s">
        <v>48</v>
      </c>
      <c r="N775" t="s">
        <v>95</v>
      </c>
      <c r="P775" t="s">
        <v>144</v>
      </c>
      <c r="Q775">
        <v>21</v>
      </c>
      <c r="R775">
        <v>3</v>
      </c>
      <c r="S775">
        <v>7</v>
      </c>
      <c r="T775">
        <v>1</v>
      </c>
      <c r="U775">
        <v>2</v>
      </c>
      <c r="V775">
        <v>2</v>
      </c>
      <c r="W775">
        <v>70</v>
      </c>
      <c r="X775">
        <v>1157</v>
      </c>
      <c r="Y775">
        <v>17001</v>
      </c>
      <c r="Z775">
        <v>2644</v>
      </c>
      <c r="AA775">
        <v>3</v>
      </c>
      <c r="AB775" s="29">
        <v>44773</v>
      </c>
      <c r="AC775" s="29">
        <v>31680</v>
      </c>
      <c r="AD775" s="29">
        <v>43808</v>
      </c>
      <c r="AE775" s="29"/>
      <c r="AF775">
        <v>3</v>
      </c>
      <c r="AG775" t="s">
        <v>149</v>
      </c>
      <c r="AI775">
        <v>33</v>
      </c>
      <c r="AJ775">
        <v>1</v>
      </c>
      <c r="AK775" t="s">
        <v>170</v>
      </c>
      <c r="AL775" t="s">
        <v>77</v>
      </c>
      <c r="AM775">
        <f t="shared" si="60"/>
        <v>4</v>
      </c>
      <c r="AN775">
        <f t="shared" si="61"/>
        <v>12</v>
      </c>
      <c r="AO775" t="str">
        <f t="shared" si="62"/>
        <v/>
      </c>
      <c r="AP775" t="str">
        <f t="shared" si="63"/>
        <v/>
      </c>
      <c r="AQ775">
        <f t="shared" si="64"/>
        <v>2019</v>
      </c>
    </row>
    <row r="776" spans="1:43" x14ac:dyDescent="0.35">
      <c r="A776">
        <v>1883</v>
      </c>
      <c r="B776">
        <v>29</v>
      </c>
      <c r="C776" t="s">
        <v>148</v>
      </c>
      <c r="D776" t="s">
        <v>145</v>
      </c>
      <c r="E776" t="s">
        <v>4</v>
      </c>
      <c r="F776" t="s">
        <v>38</v>
      </c>
      <c r="G776" t="s">
        <v>44</v>
      </c>
      <c r="H776" t="s">
        <v>82</v>
      </c>
      <c r="I776" t="s">
        <v>43</v>
      </c>
      <c r="J776" t="s">
        <v>155</v>
      </c>
      <c r="K776" t="s">
        <v>41</v>
      </c>
      <c r="L776" t="s">
        <v>48</v>
      </c>
      <c r="M776" t="s">
        <v>49</v>
      </c>
      <c r="N776" t="s">
        <v>95</v>
      </c>
      <c r="P776" t="s">
        <v>148</v>
      </c>
      <c r="Q776">
        <v>14</v>
      </c>
      <c r="R776">
        <v>3</v>
      </c>
      <c r="S776">
        <v>11</v>
      </c>
      <c r="T776">
        <v>1</v>
      </c>
      <c r="U776">
        <v>2</v>
      </c>
      <c r="V776">
        <v>7</v>
      </c>
      <c r="W776">
        <v>59</v>
      </c>
      <c r="X776">
        <v>592</v>
      </c>
      <c r="Y776">
        <v>19384</v>
      </c>
      <c r="Z776">
        <v>2062</v>
      </c>
      <c r="AA776">
        <v>2</v>
      </c>
      <c r="AB776" s="29">
        <v>44773</v>
      </c>
      <c r="AC776" s="29">
        <v>34242</v>
      </c>
      <c r="AD776" s="29">
        <v>43810</v>
      </c>
      <c r="AE776" s="29"/>
      <c r="AF776">
        <v>3</v>
      </c>
      <c r="AG776" t="s">
        <v>157</v>
      </c>
      <c r="AI776">
        <v>26</v>
      </c>
      <c r="AJ776">
        <v>1</v>
      </c>
      <c r="AK776" t="s">
        <v>170</v>
      </c>
      <c r="AL776" t="s">
        <v>77</v>
      </c>
      <c r="AM776">
        <f t="shared" si="60"/>
        <v>4</v>
      </c>
      <c r="AN776">
        <f t="shared" si="61"/>
        <v>12</v>
      </c>
      <c r="AO776" t="str">
        <f t="shared" si="62"/>
        <v/>
      </c>
      <c r="AP776" t="str">
        <f t="shared" si="63"/>
        <v/>
      </c>
      <c r="AQ776">
        <f t="shared" si="64"/>
        <v>2019</v>
      </c>
    </row>
    <row r="777" spans="1:43" x14ac:dyDescent="0.35">
      <c r="A777">
        <v>525</v>
      </c>
      <c r="B777">
        <v>43</v>
      </c>
      <c r="C777" t="s">
        <v>148</v>
      </c>
      <c r="D777" t="s">
        <v>151</v>
      </c>
      <c r="E777" t="s">
        <v>4</v>
      </c>
      <c r="F777" t="s">
        <v>38</v>
      </c>
      <c r="G777" t="s">
        <v>44</v>
      </c>
      <c r="H777" t="s">
        <v>82</v>
      </c>
      <c r="I777" t="s">
        <v>43</v>
      </c>
      <c r="J777" t="s">
        <v>155</v>
      </c>
      <c r="K777" t="s">
        <v>44</v>
      </c>
      <c r="L777" t="s">
        <v>152</v>
      </c>
      <c r="M777" t="s">
        <v>49</v>
      </c>
      <c r="N777" t="s">
        <v>160</v>
      </c>
      <c r="O777" t="s">
        <v>41</v>
      </c>
      <c r="P777" t="s">
        <v>148</v>
      </c>
      <c r="Q777">
        <v>20</v>
      </c>
      <c r="R777">
        <v>7</v>
      </c>
      <c r="S777">
        <v>8</v>
      </c>
      <c r="T777">
        <v>1</v>
      </c>
      <c r="U777">
        <v>2</v>
      </c>
      <c r="V777">
        <v>21</v>
      </c>
      <c r="W777">
        <v>61</v>
      </c>
      <c r="X777">
        <v>313</v>
      </c>
      <c r="Y777">
        <v>15238</v>
      </c>
      <c r="Z777">
        <v>2258</v>
      </c>
      <c r="AA777">
        <v>1</v>
      </c>
      <c r="AB777" s="29">
        <v>44773</v>
      </c>
      <c r="AC777" s="29">
        <v>29394</v>
      </c>
      <c r="AD777" s="29">
        <v>43814</v>
      </c>
      <c r="AE777" s="29"/>
      <c r="AF777">
        <v>3</v>
      </c>
      <c r="AG777" t="s">
        <v>153</v>
      </c>
      <c r="AI777">
        <v>40</v>
      </c>
      <c r="AJ777">
        <v>1</v>
      </c>
      <c r="AK777" t="s">
        <v>170</v>
      </c>
      <c r="AL777" t="s">
        <v>78</v>
      </c>
      <c r="AM777">
        <f t="shared" si="60"/>
        <v>4</v>
      </c>
      <c r="AN777">
        <f t="shared" si="61"/>
        <v>12</v>
      </c>
      <c r="AO777" t="str">
        <f t="shared" si="62"/>
        <v/>
      </c>
      <c r="AP777" t="str">
        <f t="shared" si="63"/>
        <v/>
      </c>
      <c r="AQ777">
        <f t="shared" si="64"/>
        <v>2019</v>
      </c>
    </row>
    <row r="778" spans="1:43" x14ac:dyDescent="0.35">
      <c r="A778">
        <v>1441</v>
      </c>
      <c r="B778">
        <v>56</v>
      </c>
      <c r="C778" t="s">
        <v>148</v>
      </c>
      <c r="D778" t="s">
        <v>145</v>
      </c>
      <c r="E778" t="s">
        <v>4</v>
      </c>
      <c r="F778" t="s">
        <v>36</v>
      </c>
      <c r="G778" t="s">
        <v>41</v>
      </c>
      <c r="H778" t="s">
        <v>81</v>
      </c>
      <c r="I778" t="s">
        <v>43</v>
      </c>
      <c r="J778" t="s">
        <v>146</v>
      </c>
      <c r="K778" t="s">
        <v>41</v>
      </c>
      <c r="L778" t="s">
        <v>152</v>
      </c>
      <c r="M778" t="s">
        <v>50</v>
      </c>
      <c r="N778" t="s">
        <v>160</v>
      </c>
      <c r="O778" t="s">
        <v>41</v>
      </c>
      <c r="P778" t="s">
        <v>148</v>
      </c>
      <c r="Q778">
        <v>22</v>
      </c>
      <c r="R778">
        <v>2</v>
      </c>
      <c r="S778">
        <v>5</v>
      </c>
      <c r="T778">
        <v>1</v>
      </c>
      <c r="U778">
        <v>0</v>
      </c>
      <c r="V778">
        <v>1</v>
      </c>
      <c r="W778">
        <v>90</v>
      </c>
      <c r="X778">
        <v>1255</v>
      </c>
      <c r="Y778">
        <v>10494</v>
      </c>
      <c r="Z778">
        <v>2066</v>
      </c>
      <c r="AA778">
        <v>3</v>
      </c>
      <c r="AB778" s="29">
        <v>44773</v>
      </c>
      <c r="AC778" s="29">
        <v>24582</v>
      </c>
      <c r="AD778" s="29">
        <v>43831</v>
      </c>
      <c r="AE778" s="29"/>
      <c r="AF778">
        <v>3</v>
      </c>
      <c r="AG778" t="s">
        <v>167</v>
      </c>
      <c r="AI778">
        <v>53</v>
      </c>
      <c r="AJ778">
        <v>1</v>
      </c>
      <c r="AK778" t="s">
        <v>170</v>
      </c>
      <c r="AL778" t="s">
        <v>77</v>
      </c>
      <c r="AM778">
        <f t="shared" si="60"/>
        <v>1</v>
      </c>
      <c r="AN778">
        <f t="shared" si="61"/>
        <v>1</v>
      </c>
      <c r="AO778" t="str">
        <f t="shared" si="62"/>
        <v/>
      </c>
      <c r="AP778" t="str">
        <f t="shared" si="63"/>
        <v/>
      </c>
      <c r="AQ778">
        <f t="shared" si="64"/>
        <v>2020</v>
      </c>
    </row>
    <row r="779" spans="1:43" x14ac:dyDescent="0.35">
      <c r="A779">
        <v>1834</v>
      </c>
      <c r="B779">
        <v>28</v>
      </c>
      <c r="C779" t="s">
        <v>148</v>
      </c>
      <c r="D779" t="s">
        <v>145</v>
      </c>
      <c r="E779" t="s">
        <v>4</v>
      </c>
      <c r="F779" t="s">
        <v>38</v>
      </c>
      <c r="G779" t="s">
        <v>43</v>
      </c>
      <c r="H779" t="s">
        <v>81</v>
      </c>
      <c r="I779" t="s">
        <v>43</v>
      </c>
      <c r="J779" t="s">
        <v>146</v>
      </c>
      <c r="K779" t="s">
        <v>41</v>
      </c>
      <c r="L779" t="s">
        <v>152</v>
      </c>
      <c r="M779" t="s">
        <v>49</v>
      </c>
      <c r="N779" t="s">
        <v>160</v>
      </c>
      <c r="O779" t="s">
        <v>41</v>
      </c>
      <c r="P779" t="s">
        <v>148</v>
      </c>
      <c r="Q779">
        <v>25</v>
      </c>
      <c r="R779">
        <v>1</v>
      </c>
      <c r="S779">
        <v>3</v>
      </c>
      <c r="T779">
        <v>1</v>
      </c>
      <c r="U779">
        <v>2</v>
      </c>
      <c r="V779">
        <v>1</v>
      </c>
      <c r="W779">
        <v>67</v>
      </c>
      <c r="X779">
        <v>1217</v>
      </c>
      <c r="Y779">
        <v>12719</v>
      </c>
      <c r="Z779">
        <v>3591</v>
      </c>
      <c r="AA779">
        <v>3</v>
      </c>
      <c r="AB779" s="29">
        <v>44773</v>
      </c>
      <c r="AC779" s="29">
        <v>34612</v>
      </c>
      <c r="AD779" s="29">
        <v>44002</v>
      </c>
      <c r="AE779" s="29"/>
      <c r="AF779">
        <v>2</v>
      </c>
      <c r="AG779" t="s">
        <v>157</v>
      </c>
      <c r="AI779">
        <v>26</v>
      </c>
      <c r="AJ779">
        <v>2</v>
      </c>
      <c r="AK779" t="s">
        <v>170</v>
      </c>
      <c r="AL779" t="s">
        <v>77</v>
      </c>
      <c r="AM779">
        <f t="shared" si="60"/>
        <v>2</v>
      </c>
      <c r="AN779">
        <f t="shared" si="61"/>
        <v>6</v>
      </c>
      <c r="AO779" t="str">
        <f t="shared" si="62"/>
        <v/>
      </c>
      <c r="AP779" t="str">
        <f t="shared" si="63"/>
        <v/>
      </c>
      <c r="AQ779">
        <f t="shared" si="64"/>
        <v>2020</v>
      </c>
    </row>
    <row r="780" spans="1:43" x14ac:dyDescent="0.35">
      <c r="A780">
        <v>1028</v>
      </c>
      <c r="B780">
        <v>35</v>
      </c>
      <c r="C780" t="s">
        <v>148</v>
      </c>
      <c r="D780" t="s">
        <v>145</v>
      </c>
      <c r="E780" t="s">
        <v>4</v>
      </c>
      <c r="F780" t="s">
        <v>38</v>
      </c>
      <c r="G780" t="s">
        <v>42</v>
      </c>
      <c r="H780" t="s">
        <v>82</v>
      </c>
      <c r="I780" t="s">
        <v>43</v>
      </c>
      <c r="J780" t="s">
        <v>155</v>
      </c>
      <c r="K780" t="s">
        <v>44</v>
      </c>
      <c r="L780" t="s">
        <v>152</v>
      </c>
      <c r="M780" t="s">
        <v>48</v>
      </c>
      <c r="N780" t="s">
        <v>96</v>
      </c>
      <c r="O780" t="s">
        <v>41</v>
      </c>
      <c r="P780" t="s">
        <v>148</v>
      </c>
      <c r="Q780">
        <v>20</v>
      </c>
      <c r="R780">
        <v>1</v>
      </c>
      <c r="S780">
        <v>3</v>
      </c>
      <c r="T780">
        <v>1</v>
      </c>
      <c r="U780">
        <v>2</v>
      </c>
      <c r="V780">
        <v>10</v>
      </c>
      <c r="W780">
        <v>45</v>
      </c>
      <c r="X780">
        <v>802</v>
      </c>
      <c r="Y780">
        <v>9541</v>
      </c>
      <c r="Z780">
        <v>3917</v>
      </c>
      <c r="AA780">
        <v>4</v>
      </c>
      <c r="AB780" s="29">
        <v>44773</v>
      </c>
      <c r="AC780" s="29">
        <v>32228</v>
      </c>
      <c r="AD780" s="29">
        <v>44022</v>
      </c>
      <c r="AE780" s="29"/>
      <c r="AF780">
        <v>2</v>
      </c>
      <c r="AG780" t="s">
        <v>149</v>
      </c>
      <c r="AI780">
        <v>33</v>
      </c>
      <c r="AJ780">
        <v>1</v>
      </c>
      <c r="AK780" t="s">
        <v>170</v>
      </c>
      <c r="AL780" t="s">
        <v>77</v>
      </c>
      <c r="AM780">
        <f t="shared" si="60"/>
        <v>3</v>
      </c>
      <c r="AN780">
        <f t="shared" si="61"/>
        <v>7</v>
      </c>
      <c r="AO780" t="str">
        <f t="shared" si="62"/>
        <v/>
      </c>
      <c r="AP780" t="str">
        <f t="shared" si="63"/>
        <v/>
      </c>
      <c r="AQ780">
        <f t="shared" si="64"/>
        <v>2020</v>
      </c>
    </row>
    <row r="781" spans="1:43" x14ac:dyDescent="0.35">
      <c r="A781">
        <v>897</v>
      </c>
      <c r="B781">
        <v>53</v>
      </c>
      <c r="C781" t="s">
        <v>148</v>
      </c>
      <c r="D781" t="s">
        <v>145</v>
      </c>
      <c r="E781" t="s">
        <v>158</v>
      </c>
      <c r="F781" t="s">
        <v>38</v>
      </c>
      <c r="G781" t="s">
        <v>41</v>
      </c>
      <c r="H781" t="s">
        <v>82</v>
      </c>
      <c r="I781" t="s">
        <v>43</v>
      </c>
      <c r="J781" t="s">
        <v>159</v>
      </c>
      <c r="K781" t="s">
        <v>44</v>
      </c>
      <c r="L781" t="s">
        <v>152</v>
      </c>
      <c r="M781" t="s">
        <v>49</v>
      </c>
      <c r="N781" t="s">
        <v>160</v>
      </c>
      <c r="O781" t="s">
        <v>41</v>
      </c>
      <c r="P781" t="s">
        <v>148</v>
      </c>
      <c r="Q781">
        <v>14</v>
      </c>
      <c r="R781">
        <v>5</v>
      </c>
      <c r="S781">
        <v>28</v>
      </c>
      <c r="T781">
        <v>1</v>
      </c>
      <c r="U781">
        <v>1</v>
      </c>
      <c r="V781">
        <v>8</v>
      </c>
      <c r="W781">
        <v>73</v>
      </c>
      <c r="X781">
        <v>868</v>
      </c>
      <c r="Y781">
        <v>22789</v>
      </c>
      <c r="Z781">
        <v>11836</v>
      </c>
      <c r="AA781">
        <v>3</v>
      </c>
      <c r="AB781" s="29">
        <v>44773</v>
      </c>
      <c r="AC781" s="29">
        <v>25595</v>
      </c>
      <c r="AD781" s="29">
        <v>44260</v>
      </c>
      <c r="AE781" s="29"/>
      <c r="AF781">
        <v>1</v>
      </c>
      <c r="AG781" t="s">
        <v>167</v>
      </c>
      <c r="AI781">
        <v>52</v>
      </c>
      <c r="AJ781">
        <v>1</v>
      </c>
      <c r="AK781" t="s">
        <v>170</v>
      </c>
      <c r="AL781" t="s">
        <v>77</v>
      </c>
      <c r="AM781">
        <f t="shared" si="60"/>
        <v>1</v>
      </c>
      <c r="AN781">
        <f t="shared" si="61"/>
        <v>3</v>
      </c>
      <c r="AO781" t="str">
        <f t="shared" si="62"/>
        <v/>
      </c>
      <c r="AP781" t="str">
        <f t="shared" si="63"/>
        <v/>
      </c>
      <c r="AQ781">
        <f t="shared" si="64"/>
        <v>2021</v>
      </c>
    </row>
    <row r="782" spans="1:43" x14ac:dyDescent="0.35">
      <c r="A782">
        <v>1644</v>
      </c>
      <c r="B782">
        <v>48</v>
      </c>
      <c r="C782" t="s">
        <v>148</v>
      </c>
      <c r="D782" t="s">
        <v>151</v>
      </c>
      <c r="E782" t="s">
        <v>4</v>
      </c>
      <c r="F782" t="s">
        <v>34</v>
      </c>
      <c r="G782" t="s">
        <v>43</v>
      </c>
      <c r="H782" t="s">
        <v>82</v>
      </c>
      <c r="I782" t="s">
        <v>42</v>
      </c>
      <c r="J782" t="s">
        <v>169</v>
      </c>
      <c r="K782" t="s">
        <v>44</v>
      </c>
      <c r="L782" t="s">
        <v>152</v>
      </c>
      <c r="M782" t="s">
        <v>49</v>
      </c>
      <c r="N782" t="s">
        <v>160</v>
      </c>
      <c r="O782" t="s">
        <v>41</v>
      </c>
      <c r="P782" t="s">
        <v>148</v>
      </c>
      <c r="Q782">
        <v>25</v>
      </c>
      <c r="R782">
        <v>2</v>
      </c>
      <c r="S782">
        <v>23</v>
      </c>
      <c r="T782">
        <v>1</v>
      </c>
      <c r="U782">
        <v>1</v>
      </c>
      <c r="V782">
        <v>4</v>
      </c>
      <c r="W782">
        <v>89</v>
      </c>
      <c r="X782">
        <v>365</v>
      </c>
      <c r="Y782">
        <v>5602</v>
      </c>
      <c r="Z782">
        <v>15202</v>
      </c>
      <c r="AA782">
        <v>3</v>
      </c>
      <c r="AB782" s="29">
        <v>44773</v>
      </c>
      <c r="AC782" s="29">
        <v>27341</v>
      </c>
      <c r="AD782" s="29">
        <v>44275</v>
      </c>
      <c r="AE782" s="29"/>
      <c r="AF782">
        <v>1</v>
      </c>
      <c r="AG782" t="s">
        <v>153</v>
      </c>
      <c r="AI782">
        <v>47</v>
      </c>
      <c r="AJ782">
        <v>1</v>
      </c>
      <c r="AK782" t="s">
        <v>170</v>
      </c>
      <c r="AL782" t="s">
        <v>78</v>
      </c>
      <c r="AM782">
        <f t="shared" si="60"/>
        <v>1</v>
      </c>
      <c r="AN782">
        <f t="shared" si="61"/>
        <v>3</v>
      </c>
      <c r="AO782" t="str">
        <f t="shared" si="62"/>
        <v/>
      </c>
      <c r="AP782" t="str">
        <f t="shared" si="63"/>
        <v/>
      </c>
      <c r="AQ782">
        <f t="shared" si="64"/>
        <v>2021</v>
      </c>
    </row>
    <row r="783" spans="1:43" x14ac:dyDescent="0.35">
      <c r="A783">
        <v>531</v>
      </c>
      <c r="B783">
        <v>39</v>
      </c>
      <c r="C783" t="s">
        <v>148</v>
      </c>
      <c r="D783" t="s">
        <v>151</v>
      </c>
      <c r="E783" t="s">
        <v>4</v>
      </c>
      <c r="F783" t="s">
        <v>35</v>
      </c>
      <c r="G783" t="s">
        <v>42</v>
      </c>
      <c r="H783" t="s">
        <v>82</v>
      </c>
      <c r="I783" t="s">
        <v>43</v>
      </c>
      <c r="J783" t="s">
        <v>169</v>
      </c>
      <c r="K783" t="s">
        <v>43</v>
      </c>
      <c r="L783" t="s">
        <v>147</v>
      </c>
      <c r="M783" t="s">
        <v>49</v>
      </c>
      <c r="N783" t="s">
        <v>96</v>
      </c>
      <c r="O783" t="s">
        <v>41</v>
      </c>
      <c r="P783" t="s">
        <v>144</v>
      </c>
      <c r="Q783">
        <v>14</v>
      </c>
      <c r="R783">
        <v>1</v>
      </c>
      <c r="S783">
        <v>21</v>
      </c>
      <c r="T783">
        <v>1</v>
      </c>
      <c r="U783">
        <v>6</v>
      </c>
      <c r="V783">
        <v>1</v>
      </c>
      <c r="W783">
        <v>52</v>
      </c>
      <c r="X783">
        <v>1218</v>
      </c>
      <c r="Y783">
        <v>8213</v>
      </c>
      <c r="Z783">
        <v>19197</v>
      </c>
      <c r="AA783">
        <v>3</v>
      </c>
      <c r="AB783" s="29">
        <v>44773</v>
      </c>
      <c r="AC783" s="29">
        <v>30537</v>
      </c>
      <c r="AD783" s="29">
        <v>37373</v>
      </c>
      <c r="AE783" s="29"/>
      <c r="AF783">
        <v>20</v>
      </c>
      <c r="AG783" t="s">
        <v>149</v>
      </c>
      <c r="AI783">
        <v>19</v>
      </c>
      <c r="AJ783">
        <v>1</v>
      </c>
      <c r="AK783" t="s">
        <v>163</v>
      </c>
      <c r="AL783" t="s">
        <v>77</v>
      </c>
      <c r="AM783">
        <f t="shared" si="60"/>
        <v>2</v>
      </c>
      <c r="AN783">
        <f t="shared" si="61"/>
        <v>4</v>
      </c>
      <c r="AO783" t="str">
        <f t="shared" si="62"/>
        <v/>
      </c>
      <c r="AP783" t="str">
        <f t="shared" si="63"/>
        <v/>
      </c>
      <c r="AQ783">
        <f t="shared" si="64"/>
        <v>2002</v>
      </c>
    </row>
    <row r="784" spans="1:43" x14ac:dyDescent="0.35">
      <c r="A784">
        <v>599</v>
      </c>
      <c r="B784">
        <v>41</v>
      </c>
      <c r="C784" t="s">
        <v>148</v>
      </c>
      <c r="D784" t="s">
        <v>164</v>
      </c>
      <c r="E784" t="s">
        <v>158</v>
      </c>
      <c r="F784" t="s">
        <v>36</v>
      </c>
      <c r="G784" t="s">
        <v>44</v>
      </c>
      <c r="H784" t="s">
        <v>82</v>
      </c>
      <c r="I784" t="s">
        <v>43</v>
      </c>
      <c r="J784" t="s">
        <v>159</v>
      </c>
      <c r="K784" t="s">
        <v>44</v>
      </c>
      <c r="L784" t="s">
        <v>147</v>
      </c>
      <c r="M784" t="s">
        <v>49</v>
      </c>
      <c r="N784" t="s">
        <v>95</v>
      </c>
      <c r="P784" t="s">
        <v>148</v>
      </c>
      <c r="Q784">
        <v>14</v>
      </c>
      <c r="R784">
        <v>7</v>
      </c>
      <c r="S784">
        <v>16</v>
      </c>
      <c r="T784">
        <v>1</v>
      </c>
      <c r="U784">
        <v>10</v>
      </c>
      <c r="V784">
        <v>10</v>
      </c>
      <c r="W784">
        <v>56</v>
      </c>
      <c r="X784">
        <v>267</v>
      </c>
      <c r="Y784">
        <v>13430</v>
      </c>
      <c r="Z784">
        <v>6230</v>
      </c>
      <c r="AA784">
        <v>3</v>
      </c>
      <c r="AB784" s="29">
        <v>44773</v>
      </c>
      <c r="AC784" s="29">
        <v>29997</v>
      </c>
      <c r="AD784" s="29">
        <v>39970</v>
      </c>
      <c r="AE784" s="29"/>
      <c r="AF784">
        <v>13</v>
      </c>
      <c r="AG784" t="s">
        <v>153</v>
      </c>
      <c r="AI784">
        <v>28</v>
      </c>
      <c r="AJ784">
        <v>1</v>
      </c>
      <c r="AK784" t="s">
        <v>154</v>
      </c>
      <c r="AL784" t="s">
        <v>77</v>
      </c>
      <c r="AM784">
        <f t="shared" si="60"/>
        <v>2</v>
      </c>
      <c r="AN784">
        <f t="shared" si="61"/>
        <v>6</v>
      </c>
      <c r="AO784" t="str">
        <f t="shared" si="62"/>
        <v/>
      </c>
      <c r="AP784" t="str">
        <f t="shared" si="63"/>
        <v/>
      </c>
      <c r="AQ784">
        <f t="shared" si="64"/>
        <v>2009</v>
      </c>
    </row>
    <row r="785" spans="1:43" x14ac:dyDescent="0.35">
      <c r="A785">
        <v>481</v>
      </c>
      <c r="B785">
        <v>36</v>
      </c>
      <c r="C785" t="s">
        <v>148</v>
      </c>
      <c r="D785" t="s">
        <v>151</v>
      </c>
      <c r="E785" t="s">
        <v>158</v>
      </c>
      <c r="F785" t="s">
        <v>37</v>
      </c>
      <c r="G785" t="s">
        <v>41</v>
      </c>
      <c r="H785" t="s">
        <v>82</v>
      </c>
      <c r="I785" t="s">
        <v>42</v>
      </c>
      <c r="J785" t="s">
        <v>159</v>
      </c>
      <c r="K785" t="s">
        <v>44</v>
      </c>
      <c r="L785" t="s">
        <v>147</v>
      </c>
      <c r="M785" t="s">
        <v>49</v>
      </c>
      <c r="N785" t="s">
        <v>160</v>
      </c>
      <c r="O785" t="s">
        <v>41</v>
      </c>
      <c r="P785" t="s">
        <v>148</v>
      </c>
      <c r="Q785">
        <v>11</v>
      </c>
      <c r="R785">
        <v>4</v>
      </c>
      <c r="S785">
        <v>16</v>
      </c>
      <c r="T785">
        <v>1</v>
      </c>
      <c r="U785">
        <v>12</v>
      </c>
      <c r="V785">
        <v>3</v>
      </c>
      <c r="W785">
        <v>48</v>
      </c>
      <c r="X785">
        <v>541</v>
      </c>
      <c r="Y785">
        <v>7246</v>
      </c>
      <c r="Z785">
        <v>9699</v>
      </c>
      <c r="AA785">
        <v>2</v>
      </c>
      <c r="AB785" s="29">
        <v>44773</v>
      </c>
      <c r="AC785" s="29">
        <v>31733</v>
      </c>
      <c r="AD785" s="29">
        <v>40238</v>
      </c>
      <c r="AE785" s="29"/>
      <c r="AF785">
        <v>12</v>
      </c>
      <c r="AG785" t="s">
        <v>149</v>
      </c>
      <c r="AI785">
        <v>24</v>
      </c>
      <c r="AJ785">
        <v>1</v>
      </c>
      <c r="AK785" t="s">
        <v>154</v>
      </c>
      <c r="AL785" t="s">
        <v>77</v>
      </c>
      <c r="AM785">
        <f t="shared" si="60"/>
        <v>1</v>
      </c>
      <c r="AN785">
        <f t="shared" si="61"/>
        <v>3</v>
      </c>
      <c r="AO785" t="str">
        <f t="shared" si="62"/>
        <v/>
      </c>
      <c r="AP785" t="str">
        <f t="shared" si="63"/>
        <v/>
      </c>
      <c r="AQ785">
        <f t="shared" si="64"/>
        <v>2010</v>
      </c>
    </row>
    <row r="786" spans="1:43" x14ac:dyDescent="0.35">
      <c r="A786">
        <v>1756</v>
      </c>
      <c r="B786">
        <v>33</v>
      </c>
      <c r="C786" t="s">
        <v>148</v>
      </c>
      <c r="D786" t="s">
        <v>164</v>
      </c>
      <c r="E786" t="s">
        <v>158</v>
      </c>
      <c r="F786" t="s">
        <v>38</v>
      </c>
      <c r="G786" t="s">
        <v>44</v>
      </c>
      <c r="H786" t="s">
        <v>81</v>
      </c>
      <c r="I786" t="s">
        <v>43</v>
      </c>
      <c r="J786" t="s">
        <v>159</v>
      </c>
      <c r="K786" t="s">
        <v>42</v>
      </c>
      <c r="L786" t="s">
        <v>147</v>
      </c>
      <c r="M786" t="s">
        <v>48</v>
      </c>
      <c r="N786" t="s">
        <v>95</v>
      </c>
      <c r="P786" t="s">
        <v>148</v>
      </c>
      <c r="Q786">
        <v>15</v>
      </c>
      <c r="R786">
        <v>8</v>
      </c>
      <c r="S786">
        <v>13</v>
      </c>
      <c r="T786">
        <v>1</v>
      </c>
      <c r="U786">
        <v>7</v>
      </c>
      <c r="V786">
        <v>2</v>
      </c>
      <c r="W786">
        <v>62</v>
      </c>
      <c r="X786">
        <v>1283</v>
      </c>
      <c r="Y786">
        <v>10697</v>
      </c>
      <c r="Z786">
        <v>5147</v>
      </c>
      <c r="AA786">
        <v>2</v>
      </c>
      <c r="AB786" s="29">
        <v>44773</v>
      </c>
      <c r="AC786" s="29">
        <v>32800</v>
      </c>
      <c r="AD786" s="29">
        <v>40820</v>
      </c>
      <c r="AE786" s="29"/>
      <c r="AF786">
        <v>11</v>
      </c>
      <c r="AG786" t="s">
        <v>149</v>
      </c>
      <c r="AI786">
        <v>22</v>
      </c>
      <c r="AJ786">
        <v>1</v>
      </c>
      <c r="AK786" t="s">
        <v>154</v>
      </c>
      <c r="AL786" t="s">
        <v>77</v>
      </c>
      <c r="AM786">
        <f t="shared" si="60"/>
        <v>4</v>
      </c>
      <c r="AN786">
        <f t="shared" si="61"/>
        <v>10</v>
      </c>
      <c r="AO786" t="str">
        <f t="shared" si="62"/>
        <v/>
      </c>
      <c r="AP786" t="str">
        <f t="shared" si="63"/>
        <v/>
      </c>
      <c r="AQ786">
        <f t="shared" si="64"/>
        <v>2011</v>
      </c>
    </row>
    <row r="787" spans="1:43" x14ac:dyDescent="0.35">
      <c r="A787">
        <v>1289</v>
      </c>
      <c r="B787">
        <v>34</v>
      </c>
      <c r="C787" t="s">
        <v>148</v>
      </c>
      <c r="D787" t="s">
        <v>151</v>
      </c>
      <c r="E787" t="s">
        <v>168</v>
      </c>
      <c r="F787" t="s">
        <v>38</v>
      </c>
      <c r="G787" t="s">
        <v>43</v>
      </c>
      <c r="H787" t="s">
        <v>82</v>
      </c>
      <c r="I787" t="s">
        <v>42</v>
      </c>
      <c r="J787" t="s">
        <v>168</v>
      </c>
      <c r="K787" t="s">
        <v>42</v>
      </c>
      <c r="L787" t="s">
        <v>147</v>
      </c>
      <c r="M787" t="s">
        <v>50</v>
      </c>
      <c r="N787" t="s">
        <v>160</v>
      </c>
      <c r="O787" t="s">
        <v>156</v>
      </c>
      <c r="P787" t="s">
        <v>148</v>
      </c>
      <c r="Q787">
        <v>11</v>
      </c>
      <c r="R787">
        <v>4</v>
      </c>
      <c r="S787">
        <v>14</v>
      </c>
      <c r="T787">
        <v>1</v>
      </c>
      <c r="U787">
        <v>8</v>
      </c>
      <c r="V787">
        <v>11</v>
      </c>
      <c r="W787">
        <v>56</v>
      </c>
      <c r="X787">
        <v>648</v>
      </c>
      <c r="Y787">
        <v>21833</v>
      </c>
      <c r="Z787">
        <v>4490</v>
      </c>
      <c r="AA787">
        <v>5</v>
      </c>
      <c r="AB787" s="29">
        <v>44773</v>
      </c>
      <c r="AC787" s="29">
        <v>32498</v>
      </c>
      <c r="AD787" s="29">
        <v>41160</v>
      </c>
      <c r="AE787" s="29"/>
      <c r="AF787">
        <v>10</v>
      </c>
      <c r="AG787" t="s">
        <v>149</v>
      </c>
      <c r="AI787">
        <v>24</v>
      </c>
      <c r="AJ787">
        <v>1</v>
      </c>
      <c r="AK787" t="s">
        <v>154</v>
      </c>
      <c r="AL787" t="s">
        <v>77</v>
      </c>
      <c r="AM787">
        <f t="shared" si="60"/>
        <v>3</v>
      </c>
      <c r="AN787">
        <f t="shared" si="61"/>
        <v>9</v>
      </c>
      <c r="AO787" t="str">
        <f t="shared" si="62"/>
        <v/>
      </c>
      <c r="AP787" t="str">
        <f t="shared" si="63"/>
        <v/>
      </c>
      <c r="AQ787">
        <f t="shared" si="64"/>
        <v>2012</v>
      </c>
    </row>
    <row r="788" spans="1:43" x14ac:dyDescent="0.35">
      <c r="A788">
        <v>256</v>
      </c>
      <c r="B788">
        <v>34</v>
      </c>
      <c r="C788" t="s">
        <v>148</v>
      </c>
      <c r="D788" t="s">
        <v>151</v>
      </c>
      <c r="E788" t="s">
        <v>4</v>
      </c>
      <c r="F788" t="s">
        <v>35</v>
      </c>
      <c r="G788" t="s">
        <v>44</v>
      </c>
      <c r="H788" t="s">
        <v>82</v>
      </c>
      <c r="I788" t="s">
        <v>42</v>
      </c>
      <c r="J788" t="s">
        <v>165</v>
      </c>
      <c r="K788" t="s">
        <v>43</v>
      </c>
      <c r="L788" t="s">
        <v>147</v>
      </c>
      <c r="M788" t="s">
        <v>48</v>
      </c>
      <c r="N788" t="s">
        <v>160</v>
      </c>
      <c r="P788" t="s">
        <v>148</v>
      </c>
      <c r="Q788">
        <v>17</v>
      </c>
      <c r="R788">
        <v>1</v>
      </c>
      <c r="S788">
        <v>10</v>
      </c>
      <c r="T788">
        <v>1</v>
      </c>
      <c r="U788">
        <v>9</v>
      </c>
      <c r="V788">
        <v>2</v>
      </c>
      <c r="W788">
        <v>45</v>
      </c>
      <c r="X788">
        <v>1069</v>
      </c>
      <c r="Y788">
        <v>14074</v>
      </c>
      <c r="Z788">
        <v>9547</v>
      </c>
      <c r="AA788">
        <v>2</v>
      </c>
      <c r="AB788" s="29">
        <v>44773</v>
      </c>
      <c r="AC788" s="29">
        <v>32505</v>
      </c>
      <c r="AD788" s="29">
        <v>41310</v>
      </c>
      <c r="AE788" s="29"/>
      <c r="AF788">
        <v>9</v>
      </c>
      <c r="AG788" t="s">
        <v>149</v>
      </c>
      <c r="AI788">
        <v>25</v>
      </c>
      <c r="AJ788">
        <v>1</v>
      </c>
      <c r="AK788" t="s">
        <v>150</v>
      </c>
      <c r="AL788" t="s">
        <v>77</v>
      </c>
      <c r="AM788">
        <f t="shared" si="60"/>
        <v>1</v>
      </c>
      <c r="AN788">
        <f t="shared" si="61"/>
        <v>2</v>
      </c>
      <c r="AO788" t="str">
        <f t="shared" si="62"/>
        <v/>
      </c>
      <c r="AP788" t="str">
        <f t="shared" si="63"/>
        <v/>
      </c>
      <c r="AQ788">
        <f t="shared" si="64"/>
        <v>2013</v>
      </c>
    </row>
    <row r="789" spans="1:43" x14ac:dyDescent="0.35">
      <c r="A789">
        <v>1350</v>
      </c>
      <c r="B789">
        <v>35</v>
      </c>
      <c r="C789" t="s">
        <v>148</v>
      </c>
      <c r="D789" t="s">
        <v>151</v>
      </c>
      <c r="E789" t="s">
        <v>4</v>
      </c>
      <c r="F789" t="s">
        <v>37</v>
      </c>
      <c r="G789" t="s">
        <v>43</v>
      </c>
      <c r="H789" t="s">
        <v>82</v>
      </c>
      <c r="I789" t="s">
        <v>43</v>
      </c>
      <c r="J789" t="s">
        <v>146</v>
      </c>
      <c r="K789" t="s">
        <v>43</v>
      </c>
      <c r="L789" t="s">
        <v>147</v>
      </c>
      <c r="M789" t="s">
        <v>49</v>
      </c>
      <c r="N789" t="s">
        <v>95</v>
      </c>
      <c r="P789" t="s">
        <v>144</v>
      </c>
      <c r="Q789">
        <v>11</v>
      </c>
      <c r="R789">
        <v>1</v>
      </c>
      <c r="S789">
        <v>9</v>
      </c>
      <c r="T789">
        <v>1</v>
      </c>
      <c r="U789">
        <v>1</v>
      </c>
      <c r="V789">
        <v>4</v>
      </c>
      <c r="W789">
        <v>87</v>
      </c>
      <c r="X789">
        <v>482</v>
      </c>
      <c r="Y789">
        <v>2690</v>
      </c>
      <c r="Z789">
        <v>4249</v>
      </c>
      <c r="AA789">
        <v>3</v>
      </c>
      <c r="AB789" s="29">
        <v>44773</v>
      </c>
      <c r="AC789" s="29">
        <v>32009</v>
      </c>
      <c r="AD789" s="29">
        <v>41532</v>
      </c>
      <c r="AE789" s="29"/>
      <c r="AF789">
        <v>9</v>
      </c>
      <c r="AG789" t="s">
        <v>149</v>
      </c>
      <c r="AI789">
        <v>26</v>
      </c>
      <c r="AJ789">
        <v>1</v>
      </c>
      <c r="AK789" t="s">
        <v>150</v>
      </c>
      <c r="AL789" t="s">
        <v>78</v>
      </c>
      <c r="AM789">
        <f t="shared" si="60"/>
        <v>3</v>
      </c>
      <c r="AN789">
        <f t="shared" si="61"/>
        <v>9</v>
      </c>
      <c r="AO789" t="str">
        <f t="shared" si="62"/>
        <v/>
      </c>
      <c r="AP789" t="str">
        <f t="shared" si="63"/>
        <v/>
      </c>
      <c r="AQ789">
        <f t="shared" si="64"/>
        <v>2013</v>
      </c>
    </row>
    <row r="790" spans="1:43" x14ac:dyDescent="0.35">
      <c r="A790">
        <v>2057</v>
      </c>
      <c r="B790">
        <v>31</v>
      </c>
      <c r="C790" t="s">
        <v>148</v>
      </c>
      <c r="D790" t="s">
        <v>164</v>
      </c>
      <c r="E790" t="s">
        <v>4</v>
      </c>
      <c r="F790" t="s">
        <v>38</v>
      </c>
      <c r="G790" t="s">
        <v>42</v>
      </c>
      <c r="H790" t="s">
        <v>82</v>
      </c>
      <c r="I790" t="s">
        <v>43</v>
      </c>
      <c r="J790" t="s">
        <v>165</v>
      </c>
      <c r="K790" t="s">
        <v>41</v>
      </c>
      <c r="L790" t="s">
        <v>147</v>
      </c>
      <c r="M790" t="s">
        <v>49</v>
      </c>
      <c r="N790" t="s">
        <v>95</v>
      </c>
      <c r="P790" t="s">
        <v>148</v>
      </c>
      <c r="Q790">
        <v>19</v>
      </c>
      <c r="R790">
        <v>0</v>
      </c>
      <c r="S790">
        <v>10</v>
      </c>
      <c r="T790">
        <v>1</v>
      </c>
      <c r="U790">
        <v>7</v>
      </c>
      <c r="V790">
        <v>5</v>
      </c>
      <c r="W790">
        <v>74</v>
      </c>
      <c r="X790">
        <v>325</v>
      </c>
      <c r="Y790">
        <v>3787</v>
      </c>
      <c r="Z790">
        <v>9936</v>
      </c>
      <c r="AA790">
        <v>2</v>
      </c>
      <c r="AB790" s="29">
        <v>44773</v>
      </c>
      <c r="AC790" s="29">
        <v>33701</v>
      </c>
      <c r="AD790" s="29">
        <v>41594</v>
      </c>
      <c r="AE790" s="29"/>
      <c r="AF790">
        <v>9</v>
      </c>
      <c r="AG790" t="s">
        <v>149</v>
      </c>
      <c r="AI790">
        <v>22</v>
      </c>
      <c r="AJ790">
        <v>1</v>
      </c>
      <c r="AK790" t="s">
        <v>150</v>
      </c>
      <c r="AL790" t="s">
        <v>77</v>
      </c>
      <c r="AM790">
        <f t="shared" si="60"/>
        <v>4</v>
      </c>
      <c r="AN790">
        <f t="shared" si="61"/>
        <v>11</v>
      </c>
      <c r="AO790" t="str">
        <f t="shared" si="62"/>
        <v/>
      </c>
      <c r="AP790" t="str">
        <f t="shared" si="63"/>
        <v/>
      </c>
      <c r="AQ790">
        <f t="shared" si="64"/>
        <v>2013</v>
      </c>
    </row>
    <row r="791" spans="1:43" x14ac:dyDescent="0.35">
      <c r="A791">
        <v>1771</v>
      </c>
      <c r="B791">
        <v>33</v>
      </c>
      <c r="C791" t="s">
        <v>148</v>
      </c>
      <c r="D791" t="s">
        <v>164</v>
      </c>
      <c r="E791" t="s">
        <v>4</v>
      </c>
      <c r="F791" t="s">
        <v>38</v>
      </c>
      <c r="G791" t="s">
        <v>44</v>
      </c>
      <c r="H791" t="s">
        <v>82</v>
      </c>
      <c r="I791" t="s">
        <v>43</v>
      </c>
      <c r="J791" t="s">
        <v>146</v>
      </c>
      <c r="K791" t="s">
        <v>42</v>
      </c>
      <c r="L791" t="s">
        <v>147</v>
      </c>
      <c r="M791" t="s">
        <v>48</v>
      </c>
      <c r="N791" t="s">
        <v>96</v>
      </c>
      <c r="O791" t="s">
        <v>156</v>
      </c>
      <c r="P791" t="s">
        <v>148</v>
      </c>
      <c r="Q791">
        <v>15</v>
      </c>
      <c r="R791">
        <v>5</v>
      </c>
      <c r="S791">
        <v>11</v>
      </c>
      <c r="T791">
        <v>1</v>
      </c>
      <c r="U791">
        <v>7</v>
      </c>
      <c r="V791">
        <v>4</v>
      </c>
      <c r="W791">
        <v>90</v>
      </c>
      <c r="X791">
        <v>775</v>
      </c>
      <c r="Y791">
        <v>6194</v>
      </c>
      <c r="Z791">
        <v>3055</v>
      </c>
      <c r="AA791">
        <v>2</v>
      </c>
      <c r="AB791" s="29">
        <v>44773</v>
      </c>
      <c r="AC791" s="29">
        <v>33062</v>
      </c>
      <c r="AD791" s="29">
        <v>41672</v>
      </c>
      <c r="AE791" s="29"/>
      <c r="AF791">
        <v>8</v>
      </c>
      <c r="AG791" t="s">
        <v>149</v>
      </c>
      <c r="AI791">
        <v>25</v>
      </c>
      <c r="AJ791">
        <v>1</v>
      </c>
      <c r="AK791" t="s">
        <v>150</v>
      </c>
      <c r="AL791" t="s">
        <v>78</v>
      </c>
      <c r="AM791">
        <f t="shared" si="60"/>
        <v>1</v>
      </c>
      <c r="AN791">
        <f t="shared" si="61"/>
        <v>2</v>
      </c>
      <c r="AO791" t="str">
        <f t="shared" si="62"/>
        <v/>
      </c>
      <c r="AP791" t="str">
        <f t="shared" si="63"/>
        <v/>
      </c>
      <c r="AQ791">
        <f t="shared" si="64"/>
        <v>2014</v>
      </c>
    </row>
    <row r="792" spans="1:43" x14ac:dyDescent="0.35">
      <c r="A792">
        <v>56</v>
      </c>
      <c r="B792">
        <v>27</v>
      </c>
      <c r="C792" t="s">
        <v>148</v>
      </c>
      <c r="D792" t="s">
        <v>151</v>
      </c>
      <c r="E792" t="s">
        <v>158</v>
      </c>
      <c r="F792" t="s">
        <v>38</v>
      </c>
      <c r="G792" t="s">
        <v>44</v>
      </c>
      <c r="H792" t="s">
        <v>82</v>
      </c>
      <c r="I792" t="s">
        <v>43</v>
      </c>
      <c r="J792" t="s">
        <v>159</v>
      </c>
      <c r="K792" t="s">
        <v>43</v>
      </c>
      <c r="L792" t="s">
        <v>147</v>
      </c>
      <c r="M792" t="s">
        <v>49</v>
      </c>
      <c r="N792" t="s">
        <v>95</v>
      </c>
      <c r="P792" t="s">
        <v>148</v>
      </c>
      <c r="Q792">
        <v>15</v>
      </c>
      <c r="R792">
        <v>1</v>
      </c>
      <c r="S792">
        <v>9</v>
      </c>
      <c r="T792">
        <v>1</v>
      </c>
      <c r="U792">
        <v>7</v>
      </c>
      <c r="V792">
        <v>8</v>
      </c>
      <c r="W792">
        <v>37</v>
      </c>
      <c r="X792">
        <v>994</v>
      </c>
      <c r="Y792">
        <v>2975</v>
      </c>
      <c r="Z792">
        <v>8726</v>
      </c>
      <c r="AA792">
        <v>0</v>
      </c>
      <c r="AB792" s="29">
        <v>44773</v>
      </c>
      <c r="AC792" s="29">
        <v>35152</v>
      </c>
      <c r="AD792" s="29">
        <v>41800</v>
      </c>
      <c r="AE792" s="29"/>
      <c r="AF792">
        <v>8</v>
      </c>
      <c r="AG792" t="s">
        <v>157</v>
      </c>
      <c r="AI792">
        <v>19</v>
      </c>
      <c r="AJ792">
        <v>1</v>
      </c>
      <c r="AK792" t="s">
        <v>150</v>
      </c>
      <c r="AL792" t="s">
        <v>77</v>
      </c>
      <c r="AM792">
        <f t="shared" si="60"/>
        <v>2</v>
      </c>
      <c r="AN792">
        <f t="shared" si="61"/>
        <v>6</v>
      </c>
      <c r="AO792" t="str">
        <f t="shared" si="62"/>
        <v/>
      </c>
      <c r="AP792" t="str">
        <f t="shared" si="63"/>
        <v/>
      </c>
      <c r="AQ792">
        <f t="shared" si="64"/>
        <v>2014</v>
      </c>
    </row>
    <row r="793" spans="1:43" x14ac:dyDescent="0.35">
      <c r="A793">
        <v>430</v>
      </c>
      <c r="B793">
        <v>43</v>
      </c>
      <c r="C793" t="s">
        <v>148</v>
      </c>
      <c r="D793" t="s">
        <v>151</v>
      </c>
      <c r="E793" t="s">
        <v>4</v>
      </c>
      <c r="F793" t="s">
        <v>37</v>
      </c>
      <c r="G793" t="s">
        <v>43</v>
      </c>
      <c r="H793" t="s">
        <v>81</v>
      </c>
      <c r="I793" t="s">
        <v>43</v>
      </c>
      <c r="J793" t="s">
        <v>155</v>
      </c>
      <c r="K793" t="s">
        <v>44</v>
      </c>
      <c r="L793" t="s">
        <v>147</v>
      </c>
      <c r="M793" t="s">
        <v>49</v>
      </c>
      <c r="N793" t="s">
        <v>95</v>
      </c>
      <c r="P793" t="s">
        <v>148</v>
      </c>
      <c r="Q793">
        <v>19</v>
      </c>
      <c r="R793">
        <v>0</v>
      </c>
      <c r="S793">
        <v>9</v>
      </c>
      <c r="T793">
        <v>1</v>
      </c>
      <c r="U793">
        <v>7</v>
      </c>
      <c r="V793">
        <v>10</v>
      </c>
      <c r="W793">
        <v>33</v>
      </c>
      <c r="X793">
        <v>185</v>
      </c>
      <c r="Y793">
        <v>10675</v>
      </c>
      <c r="Z793">
        <v>2455</v>
      </c>
      <c r="AA793">
        <v>5</v>
      </c>
      <c r="AB793" s="29">
        <v>44773</v>
      </c>
      <c r="AC793" s="29">
        <v>29314</v>
      </c>
      <c r="AD793" s="29">
        <v>41861</v>
      </c>
      <c r="AE793" s="29"/>
      <c r="AF793">
        <v>8</v>
      </c>
      <c r="AG793" t="s">
        <v>153</v>
      </c>
      <c r="AI793">
        <v>35</v>
      </c>
      <c r="AJ793">
        <v>1</v>
      </c>
      <c r="AK793" t="s">
        <v>150</v>
      </c>
      <c r="AL793" t="s">
        <v>77</v>
      </c>
      <c r="AM793">
        <f t="shared" si="60"/>
        <v>3</v>
      </c>
      <c r="AN793">
        <f t="shared" si="61"/>
        <v>8</v>
      </c>
      <c r="AO793" t="str">
        <f t="shared" si="62"/>
        <v/>
      </c>
      <c r="AP793" t="str">
        <f t="shared" si="63"/>
        <v/>
      </c>
      <c r="AQ793">
        <f t="shared" si="64"/>
        <v>2014</v>
      </c>
    </row>
    <row r="794" spans="1:43" x14ac:dyDescent="0.35">
      <c r="A794">
        <v>1934</v>
      </c>
      <c r="B794">
        <v>47</v>
      </c>
      <c r="C794" t="s">
        <v>148</v>
      </c>
      <c r="D794" t="s">
        <v>164</v>
      </c>
      <c r="E794" t="s">
        <v>4</v>
      </c>
      <c r="F794" t="s">
        <v>37</v>
      </c>
      <c r="G794" t="s">
        <v>43</v>
      </c>
      <c r="H794" t="s">
        <v>82</v>
      </c>
      <c r="I794" t="s">
        <v>43</v>
      </c>
      <c r="J794" t="s">
        <v>146</v>
      </c>
      <c r="K794" t="s">
        <v>42</v>
      </c>
      <c r="L794" t="s">
        <v>147</v>
      </c>
      <c r="M794" t="s">
        <v>50</v>
      </c>
      <c r="N794" t="s">
        <v>160</v>
      </c>
      <c r="O794" t="s">
        <v>41</v>
      </c>
      <c r="P794" t="s">
        <v>148</v>
      </c>
      <c r="Q794">
        <v>18</v>
      </c>
      <c r="R794">
        <v>8</v>
      </c>
      <c r="S794">
        <v>16</v>
      </c>
      <c r="T794">
        <v>1</v>
      </c>
      <c r="U794">
        <v>7</v>
      </c>
      <c r="V794">
        <v>14</v>
      </c>
      <c r="W794">
        <v>64</v>
      </c>
      <c r="X794">
        <v>1169</v>
      </c>
      <c r="Y794">
        <v>2125</v>
      </c>
      <c r="Z794">
        <v>5467</v>
      </c>
      <c r="AA794">
        <v>4</v>
      </c>
      <c r="AB794" s="29">
        <v>44773</v>
      </c>
      <c r="AC794" s="29">
        <v>27643</v>
      </c>
      <c r="AD794" s="29">
        <v>41892</v>
      </c>
      <c r="AE794" s="29"/>
      <c r="AF794">
        <v>8</v>
      </c>
      <c r="AG794" t="s">
        <v>153</v>
      </c>
      <c r="AI794">
        <v>39</v>
      </c>
      <c r="AJ794">
        <v>1</v>
      </c>
      <c r="AK794" t="s">
        <v>150</v>
      </c>
      <c r="AL794" t="s">
        <v>77</v>
      </c>
      <c r="AM794">
        <f t="shared" si="60"/>
        <v>3</v>
      </c>
      <c r="AN794">
        <f t="shared" si="61"/>
        <v>9</v>
      </c>
      <c r="AO794" t="str">
        <f t="shared" si="62"/>
        <v/>
      </c>
      <c r="AP794" t="str">
        <f t="shared" si="63"/>
        <v/>
      </c>
      <c r="AQ794">
        <f t="shared" si="64"/>
        <v>2014</v>
      </c>
    </row>
    <row r="795" spans="1:43" x14ac:dyDescent="0.35">
      <c r="A795">
        <v>286</v>
      </c>
      <c r="B795">
        <v>36</v>
      </c>
      <c r="C795" t="s">
        <v>148</v>
      </c>
      <c r="D795" t="s">
        <v>151</v>
      </c>
      <c r="E795" t="s">
        <v>4</v>
      </c>
      <c r="F795" t="s">
        <v>35</v>
      </c>
      <c r="G795" t="s">
        <v>42</v>
      </c>
      <c r="H795" t="s">
        <v>81</v>
      </c>
      <c r="I795" t="s">
        <v>43</v>
      </c>
      <c r="J795" t="s">
        <v>155</v>
      </c>
      <c r="K795" t="s">
        <v>44</v>
      </c>
      <c r="L795" t="s">
        <v>147</v>
      </c>
      <c r="M795" t="s">
        <v>49</v>
      </c>
      <c r="N795" t="s">
        <v>95</v>
      </c>
      <c r="P795" t="s">
        <v>148</v>
      </c>
      <c r="Q795">
        <v>13</v>
      </c>
      <c r="R795">
        <v>1</v>
      </c>
      <c r="S795">
        <v>8</v>
      </c>
      <c r="T795">
        <v>1</v>
      </c>
      <c r="U795">
        <v>7</v>
      </c>
      <c r="V795">
        <v>18</v>
      </c>
      <c r="W795">
        <v>73</v>
      </c>
      <c r="X795">
        <v>635</v>
      </c>
      <c r="Y795">
        <v>7703</v>
      </c>
      <c r="Z795">
        <v>2153</v>
      </c>
      <c r="AA795">
        <v>2</v>
      </c>
      <c r="AB795" s="29">
        <v>44773</v>
      </c>
      <c r="AC795" s="29">
        <v>31768</v>
      </c>
      <c r="AD795" s="29">
        <v>41976</v>
      </c>
      <c r="AE795" s="29"/>
      <c r="AF795">
        <v>8</v>
      </c>
      <c r="AG795" t="s">
        <v>149</v>
      </c>
      <c r="AI795">
        <v>28</v>
      </c>
      <c r="AJ795">
        <v>1</v>
      </c>
      <c r="AK795" t="s">
        <v>150</v>
      </c>
      <c r="AL795" t="s">
        <v>77</v>
      </c>
      <c r="AM795">
        <f t="shared" si="60"/>
        <v>4</v>
      </c>
      <c r="AN795">
        <f t="shared" si="61"/>
        <v>12</v>
      </c>
      <c r="AO795" t="str">
        <f t="shared" si="62"/>
        <v/>
      </c>
      <c r="AP795" t="str">
        <f t="shared" si="63"/>
        <v/>
      </c>
      <c r="AQ795">
        <f t="shared" si="64"/>
        <v>2014</v>
      </c>
    </row>
    <row r="796" spans="1:43" x14ac:dyDescent="0.35">
      <c r="A796">
        <v>1804</v>
      </c>
      <c r="B796">
        <v>35</v>
      </c>
      <c r="C796" t="s">
        <v>148</v>
      </c>
      <c r="D796" t="s">
        <v>164</v>
      </c>
      <c r="E796" t="s">
        <v>4</v>
      </c>
      <c r="F796" t="s">
        <v>36</v>
      </c>
      <c r="G796" t="s">
        <v>42</v>
      </c>
      <c r="H796" t="s">
        <v>82</v>
      </c>
      <c r="I796" t="s">
        <v>43</v>
      </c>
      <c r="J796" t="s">
        <v>165</v>
      </c>
      <c r="K796" t="s">
        <v>44</v>
      </c>
      <c r="L796" t="s">
        <v>147</v>
      </c>
      <c r="M796" t="s">
        <v>49</v>
      </c>
      <c r="N796" t="s">
        <v>96</v>
      </c>
      <c r="O796" t="s">
        <v>41</v>
      </c>
      <c r="P796" t="s">
        <v>148</v>
      </c>
      <c r="Q796">
        <v>14</v>
      </c>
      <c r="R796">
        <v>2</v>
      </c>
      <c r="S796">
        <v>15</v>
      </c>
      <c r="T796">
        <v>1</v>
      </c>
      <c r="U796">
        <v>7</v>
      </c>
      <c r="V796">
        <v>2</v>
      </c>
      <c r="W796">
        <v>90</v>
      </c>
      <c r="X796">
        <v>1180</v>
      </c>
      <c r="Y796">
        <v>24442</v>
      </c>
      <c r="Z796">
        <v>5762</v>
      </c>
      <c r="AA796">
        <v>6</v>
      </c>
      <c r="AB796" s="29">
        <v>44773</v>
      </c>
      <c r="AC796" s="29">
        <v>32189</v>
      </c>
      <c r="AD796" s="29">
        <v>42288</v>
      </c>
      <c r="AE796" s="29"/>
      <c r="AF796">
        <v>7</v>
      </c>
      <c r="AG796" t="s">
        <v>149</v>
      </c>
      <c r="AI796">
        <v>28</v>
      </c>
      <c r="AJ796">
        <v>1</v>
      </c>
      <c r="AK796" t="s">
        <v>150</v>
      </c>
      <c r="AL796" t="s">
        <v>77</v>
      </c>
      <c r="AM796">
        <f t="shared" si="60"/>
        <v>4</v>
      </c>
      <c r="AN796">
        <f t="shared" si="61"/>
        <v>10</v>
      </c>
      <c r="AO796" t="str">
        <f t="shared" si="62"/>
        <v/>
      </c>
      <c r="AP796" t="str">
        <f t="shared" si="63"/>
        <v/>
      </c>
      <c r="AQ796">
        <f t="shared" si="64"/>
        <v>2015</v>
      </c>
    </row>
    <row r="797" spans="1:43" x14ac:dyDescent="0.35">
      <c r="A797">
        <v>1143</v>
      </c>
      <c r="B797">
        <v>29</v>
      </c>
      <c r="C797" t="s">
        <v>148</v>
      </c>
      <c r="D797" t="s">
        <v>151</v>
      </c>
      <c r="E797" t="s">
        <v>4</v>
      </c>
      <c r="F797" t="s">
        <v>38</v>
      </c>
      <c r="G797" t="s">
        <v>44</v>
      </c>
      <c r="H797" t="s">
        <v>81</v>
      </c>
      <c r="I797" t="s">
        <v>43</v>
      </c>
      <c r="J797" t="s">
        <v>146</v>
      </c>
      <c r="K797" t="s">
        <v>42</v>
      </c>
      <c r="L797" t="s">
        <v>147</v>
      </c>
      <c r="M797" t="s">
        <v>48</v>
      </c>
      <c r="N797" t="s">
        <v>96</v>
      </c>
      <c r="O797" t="s">
        <v>156</v>
      </c>
      <c r="P797" t="s">
        <v>148</v>
      </c>
      <c r="Q797">
        <v>14</v>
      </c>
      <c r="R797">
        <v>0</v>
      </c>
      <c r="S797">
        <v>8</v>
      </c>
      <c r="T797">
        <v>1</v>
      </c>
      <c r="U797">
        <v>1</v>
      </c>
      <c r="V797">
        <v>10</v>
      </c>
      <c r="W797">
        <v>61</v>
      </c>
      <c r="X797">
        <v>490</v>
      </c>
      <c r="Y797">
        <v>17940</v>
      </c>
      <c r="Z797">
        <v>3291</v>
      </c>
      <c r="AA797">
        <v>2</v>
      </c>
      <c r="AB797" s="29">
        <v>44773</v>
      </c>
      <c r="AC797" s="29">
        <v>34508</v>
      </c>
      <c r="AD797" s="29">
        <v>42333</v>
      </c>
      <c r="AE797" s="29"/>
      <c r="AF797">
        <v>7</v>
      </c>
      <c r="AG797" t="s">
        <v>157</v>
      </c>
      <c r="AI797">
        <v>22</v>
      </c>
      <c r="AJ797">
        <v>1</v>
      </c>
      <c r="AK797" t="s">
        <v>150</v>
      </c>
      <c r="AL797" t="s">
        <v>78</v>
      </c>
      <c r="AM797">
        <f t="shared" si="60"/>
        <v>4</v>
      </c>
      <c r="AN797">
        <f t="shared" si="61"/>
        <v>11</v>
      </c>
      <c r="AO797" t="str">
        <f t="shared" si="62"/>
        <v/>
      </c>
      <c r="AP797" t="str">
        <f t="shared" si="63"/>
        <v/>
      </c>
      <c r="AQ797">
        <f t="shared" si="64"/>
        <v>2015</v>
      </c>
    </row>
    <row r="798" spans="1:43" x14ac:dyDescent="0.35">
      <c r="A798">
        <v>275</v>
      </c>
      <c r="B798">
        <v>49</v>
      </c>
      <c r="C798" t="s">
        <v>148</v>
      </c>
      <c r="D798" t="s">
        <v>164</v>
      </c>
      <c r="E798" t="s">
        <v>4</v>
      </c>
      <c r="F798" t="s">
        <v>37</v>
      </c>
      <c r="G798" t="s">
        <v>44</v>
      </c>
      <c r="H798" t="s">
        <v>82</v>
      </c>
      <c r="I798" t="s">
        <v>43</v>
      </c>
      <c r="J798" t="s">
        <v>165</v>
      </c>
      <c r="K798" t="s">
        <v>44</v>
      </c>
      <c r="L798" t="s">
        <v>147</v>
      </c>
      <c r="M798" t="s">
        <v>49</v>
      </c>
      <c r="N798" t="s">
        <v>96</v>
      </c>
      <c r="O798" t="s">
        <v>156</v>
      </c>
      <c r="P798" t="s">
        <v>144</v>
      </c>
      <c r="Q798">
        <v>15</v>
      </c>
      <c r="R798">
        <v>1</v>
      </c>
      <c r="S798">
        <v>7</v>
      </c>
      <c r="T798">
        <v>1</v>
      </c>
      <c r="U798">
        <v>7</v>
      </c>
      <c r="V798">
        <v>18</v>
      </c>
      <c r="W798">
        <v>92</v>
      </c>
      <c r="X798">
        <v>1002</v>
      </c>
      <c r="Y798">
        <v>23793</v>
      </c>
      <c r="Z798">
        <v>6804</v>
      </c>
      <c r="AA798">
        <v>0</v>
      </c>
      <c r="AB798" s="29">
        <v>44773</v>
      </c>
      <c r="AC798" s="29">
        <v>26897</v>
      </c>
      <c r="AD798" s="29">
        <v>42345</v>
      </c>
      <c r="AE798" s="29"/>
      <c r="AF798">
        <v>7</v>
      </c>
      <c r="AG798" t="s">
        <v>153</v>
      </c>
      <c r="AI798">
        <v>42</v>
      </c>
      <c r="AJ798">
        <v>1</v>
      </c>
      <c r="AK798" t="s">
        <v>150</v>
      </c>
      <c r="AL798" t="s">
        <v>78</v>
      </c>
      <c r="AM798">
        <f t="shared" si="60"/>
        <v>4</v>
      </c>
      <c r="AN798">
        <f t="shared" si="61"/>
        <v>12</v>
      </c>
      <c r="AO798" t="str">
        <f t="shared" si="62"/>
        <v/>
      </c>
      <c r="AP798" t="str">
        <f t="shared" si="63"/>
        <v/>
      </c>
      <c r="AQ798">
        <f t="shared" si="64"/>
        <v>2015</v>
      </c>
    </row>
    <row r="799" spans="1:43" x14ac:dyDescent="0.35">
      <c r="A799">
        <v>1440</v>
      </c>
      <c r="B799">
        <v>37</v>
      </c>
      <c r="C799" t="s">
        <v>148</v>
      </c>
      <c r="D799" t="s">
        <v>164</v>
      </c>
      <c r="E799" t="s">
        <v>4</v>
      </c>
      <c r="F799" t="s">
        <v>36</v>
      </c>
      <c r="G799" t="s">
        <v>43</v>
      </c>
      <c r="H799" t="s">
        <v>82</v>
      </c>
      <c r="I799" t="s">
        <v>44</v>
      </c>
      <c r="J799" t="s">
        <v>155</v>
      </c>
      <c r="K799" t="s">
        <v>43</v>
      </c>
      <c r="L799" t="s">
        <v>147</v>
      </c>
      <c r="M799" t="s">
        <v>47</v>
      </c>
      <c r="N799" t="s">
        <v>95</v>
      </c>
      <c r="P799" t="s">
        <v>148</v>
      </c>
      <c r="Q799">
        <v>14</v>
      </c>
      <c r="R799">
        <v>0</v>
      </c>
      <c r="S799">
        <v>7</v>
      </c>
      <c r="T799">
        <v>1</v>
      </c>
      <c r="U799">
        <v>3</v>
      </c>
      <c r="V799">
        <v>5</v>
      </c>
      <c r="W799">
        <v>84</v>
      </c>
      <c r="X799">
        <v>1413</v>
      </c>
      <c r="Y799">
        <v>25470</v>
      </c>
      <c r="Z799">
        <v>3500</v>
      </c>
      <c r="AA799">
        <v>2</v>
      </c>
      <c r="AB799" s="29">
        <v>44773</v>
      </c>
      <c r="AC799" s="29">
        <v>31593</v>
      </c>
      <c r="AD799" s="29">
        <v>42579</v>
      </c>
      <c r="AE799" s="29"/>
      <c r="AF799">
        <v>6</v>
      </c>
      <c r="AG799" t="s">
        <v>149</v>
      </c>
      <c r="AI799">
        <v>31</v>
      </c>
      <c r="AJ799">
        <v>2</v>
      </c>
      <c r="AK799" t="s">
        <v>150</v>
      </c>
      <c r="AL799" t="s">
        <v>77</v>
      </c>
      <c r="AM799">
        <f t="shared" si="60"/>
        <v>3</v>
      </c>
      <c r="AN799">
        <f t="shared" si="61"/>
        <v>7</v>
      </c>
      <c r="AO799" t="str">
        <f t="shared" si="62"/>
        <v/>
      </c>
      <c r="AP799" t="str">
        <f t="shared" si="63"/>
        <v/>
      </c>
      <c r="AQ799">
        <f t="shared" si="64"/>
        <v>2016</v>
      </c>
    </row>
    <row r="800" spans="1:43" x14ac:dyDescent="0.35">
      <c r="A800">
        <v>269</v>
      </c>
      <c r="B800">
        <v>35</v>
      </c>
      <c r="C800" t="s">
        <v>148</v>
      </c>
      <c r="D800" t="s">
        <v>151</v>
      </c>
      <c r="E800" t="s">
        <v>4</v>
      </c>
      <c r="F800" t="s">
        <v>38</v>
      </c>
      <c r="G800" t="s">
        <v>42</v>
      </c>
      <c r="H800" t="s">
        <v>81</v>
      </c>
      <c r="I800" t="s">
        <v>43</v>
      </c>
      <c r="J800" t="s">
        <v>155</v>
      </c>
      <c r="K800" t="s">
        <v>42</v>
      </c>
      <c r="L800" t="s">
        <v>147</v>
      </c>
      <c r="M800" t="s">
        <v>49</v>
      </c>
      <c r="N800" t="s">
        <v>95</v>
      </c>
      <c r="P800" t="s">
        <v>148</v>
      </c>
      <c r="Q800">
        <v>11</v>
      </c>
      <c r="R800">
        <v>5</v>
      </c>
      <c r="S800">
        <v>10</v>
      </c>
      <c r="T800">
        <v>1</v>
      </c>
      <c r="U800">
        <v>2</v>
      </c>
      <c r="V800">
        <v>2</v>
      </c>
      <c r="W800">
        <v>37</v>
      </c>
      <c r="X800">
        <v>138</v>
      </c>
      <c r="Y800">
        <v>15986</v>
      </c>
      <c r="Z800">
        <v>4425</v>
      </c>
      <c r="AA800">
        <v>5</v>
      </c>
      <c r="AB800" s="29">
        <v>44773</v>
      </c>
      <c r="AC800" s="29">
        <v>32261</v>
      </c>
      <c r="AD800" s="29">
        <v>42594</v>
      </c>
      <c r="AE800" s="29"/>
      <c r="AF800">
        <v>6</v>
      </c>
      <c r="AG800" t="s">
        <v>149</v>
      </c>
      <c r="AI800">
        <v>29</v>
      </c>
      <c r="AJ800">
        <v>1</v>
      </c>
      <c r="AK800" t="s">
        <v>150</v>
      </c>
      <c r="AL800" t="s">
        <v>77</v>
      </c>
      <c r="AM800">
        <f t="shared" si="60"/>
        <v>3</v>
      </c>
      <c r="AN800">
        <f t="shared" si="61"/>
        <v>8</v>
      </c>
      <c r="AO800" t="str">
        <f t="shared" si="62"/>
        <v/>
      </c>
      <c r="AP800" t="str">
        <f t="shared" si="63"/>
        <v/>
      </c>
      <c r="AQ800">
        <f t="shared" si="64"/>
        <v>2016</v>
      </c>
    </row>
    <row r="801" spans="1:43" x14ac:dyDescent="0.35">
      <c r="A801">
        <v>998</v>
      </c>
      <c r="B801">
        <v>33</v>
      </c>
      <c r="C801" t="s">
        <v>148</v>
      </c>
      <c r="D801" t="s">
        <v>151</v>
      </c>
      <c r="E801" t="s">
        <v>4</v>
      </c>
      <c r="F801" t="s">
        <v>37</v>
      </c>
      <c r="G801" t="s">
        <v>43</v>
      </c>
      <c r="H801" t="s">
        <v>81</v>
      </c>
      <c r="I801" t="s">
        <v>44</v>
      </c>
      <c r="J801" t="s">
        <v>161</v>
      </c>
      <c r="K801" t="s">
        <v>42</v>
      </c>
      <c r="L801" t="s">
        <v>147</v>
      </c>
      <c r="M801" t="s">
        <v>49</v>
      </c>
      <c r="N801" t="s">
        <v>160</v>
      </c>
      <c r="O801" t="s">
        <v>41</v>
      </c>
      <c r="P801" t="s">
        <v>144</v>
      </c>
      <c r="Q801">
        <v>13</v>
      </c>
      <c r="R801">
        <v>1</v>
      </c>
      <c r="S801">
        <v>6</v>
      </c>
      <c r="T801">
        <v>1</v>
      </c>
      <c r="U801">
        <v>2</v>
      </c>
      <c r="V801">
        <v>1</v>
      </c>
      <c r="W801">
        <v>84</v>
      </c>
      <c r="X801">
        <v>827</v>
      </c>
      <c r="Y801">
        <v>20161</v>
      </c>
      <c r="Z801">
        <v>5488</v>
      </c>
      <c r="AA801">
        <v>2</v>
      </c>
      <c r="AB801" s="29">
        <v>44773</v>
      </c>
      <c r="AC801" s="29">
        <v>32882</v>
      </c>
      <c r="AD801" s="29">
        <v>42634</v>
      </c>
      <c r="AE801" s="29"/>
      <c r="AF801">
        <v>6</v>
      </c>
      <c r="AG801" t="s">
        <v>149</v>
      </c>
      <c r="AI801">
        <v>27</v>
      </c>
      <c r="AJ801">
        <v>1</v>
      </c>
      <c r="AK801" t="s">
        <v>150</v>
      </c>
      <c r="AL801" t="s">
        <v>77</v>
      </c>
      <c r="AM801">
        <f t="shared" si="60"/>
        <v>3</v>
      </c>
      <c r="AN801">
        <f t="shared" si="61"/>
        <v>9</v>
      </c>
      <c r="AO801" t="str">
        <f t="shared" si="62"/>
        <v/>
      </c>
      <c r="AP801" t="str">
        <f t="shared" si="63"/>
        <v/>
      </c>
      <c r="AQ801">
        <f t="shared" si="64"/>
        <v>2016</v>
      </c>
    </row>
    <row r="802" spans="1:43" x14ac:dyDescent="0.35">
      <c r="A802">
        <v>2022</v>
      </c>
      <c r="B802">
        <v>39</v>
      </c>
      <c r="C802" t="s">
        <v>148</v>
      </c>
      <c r="D802" t="s">
        <v>164</v>
      </c>
      <c r="E802" t="s">
        <v>4</v>
      </c>
      <c r="F802" t="s">
        <v>38</v>
      </c>
      <c r="G802" t="s">
        <v>44</v>
      </c>
      <c r="H802" t="s">
        <v>82</v>
      </c>
      <c r="I802" t="s">
        <v>43</v>
      </c>
      <c r="J802" t="s">
        <v>169</v>
      </c>
      <c r="K802" t="s">
        <v>44</v>
      </c>
      <c r="L802" t="s">
        <v>147</v>
      </c>
      <c r="M802" t="s">
        <v>48</v>
      </c>
      <c r="N802" t="s">
        <v>95</v>
      </c>
      <c r="P802" t="s">
        <v>148</v>
      </c>
      <c r="Q802">
        <v>13</v>
      </c>
      <c r="R802">
        <v>2</v>
      </c>
      <c r="S802">
        <v>21</v>
      </c>
      <c r="T802">
        <v>1</v>
      </c>
      <c r="U802">
        <v>3</v>
      </c>
      <c r="V802">
        <v>9</v>
      </c>
      <c r="W802">
        <v>87</v>
      </c>
      <c r="X802">
        <v>105</v>
      </c>
      <c r="Y802">
        <v>15302</v>
      </c>
      <c r="Z802">
        <v>19431</v>
      </c>
      <c r="AA802">
        <v>3</v>
      </c>
      <c r="AB802" s="29">
        <v>44773</v>
      </c>
      <c r="AC802" s="29">
        <v>30634</v>
      </c>
      <c r="AD802" s="29">
        <v>42679</v>
      </c>
      <c r="AE802" s="29"/>
      <c r="AF802">
        <v>6</v>
      </c>
      <c r="AG802" t="s">
        <v>149</v>
      </c>
      <c r="AI802">
        <v>33</v>
      </c>
      <c r="AJ802">
        <v>2</v>
      </c>
      <c r="AK802" t="s">
        <v>150</v>
      </c>
      <c r="AL802" t="s">
        <v>77</v>
      </c>
      <c r="AM802">
        <f t="shared" si="60"/>
        <v>4</v>
      </c>
      <c r="AN802">
        <f t="shared" si="61"/>
        <v>11</v>
      </c>
      <c r="AO802" t="str">
        <f t="shared" si="62"/>
        <v/>
      </c>
      <c r="AP802" t="str">
        <f t="shared" si="63"/>
        <v/>
      </c>
      <c r="AQ802">
        <f t="shared" si="64"/>
        <v>2016</v>
      </c>
    </row>
    <row r="803" spans="1:43" x14ac:dyDescent="0.35">
      <c r="A803">
        <v>1700</v>
      </c>
      <c r="B803">
        <v>37</v>
      </c>
      <c r="C803" t="s">
        <v>148</v>
      </c>
      <c r="D803" t="s">
        <v>151</v>
      </c>
      <c r="E803" t="s">
        <v>158</v>
      </c>
      <c r="F803" t="s">
        <v>37</v>
      </c>
      <c r="G803" t="s">
        <v>43</v>
      </c>
      <c r="H803" t="s">
        <v>82</v>
      </c>
      <c r="I803" t="s">
        <v>41</v>
      </c>
      <c r="J803" t="s">
        <v>159</v>
      </c>
      <c r="K803" t="s">
        <v>44</v>
      </c>
      <c r="L803" t="s">
        <v>147</v>
      </c>
      <c r="M803" t="s">
        <v>48</v>
      </c>
      <c r="N803" t="s">
        <v>96</v>
      </c>
      <c r="O803" t="s">
        <v>156</v>
      </c>
      <c r="P803" t="s">
        <v>148</v>
      </c>
      <c r="Q803">
        <v>14</v>
      </c>
      <c r="R803">
        <v>1</v>
      </c>
      <c r="S803">
        <v>6</v>
      </c>
      <c r="T803">
        <v>1</v>
      </c>
      <c r="U803">
        <v>3</v>
      </c>
      <c r="V803">
        <v>1</v>
      </c>
      <c r="W803">
        <v>31</v>
      </c>
      <c r="X803">
        <v>1278</v>
      </c>
      <c r="Y803">
        <v>7677</v>
      </c>
      <c r="Z803">
        <v>9525</v>
      </c>
      <c r="AA803">
        <v>2</v>
      </c>
      <c r="AB803" s="29">
        <v>44773</v>
      </c>
      <c r="AC803" s="29">
        <v>31345</v>
      </c>
      <c r="AD803" s="29">
        <v>42722</v>
      </c>
      <c r="AE803" s="29"/>
      <c r="AF803">
        <v>6</v>
      </c>
      <c r="AG803" t="s">
        <v>149</v>
      </c>
      <c r="AI803">
        <v>31</v>
      </c>
      <c r="AJ803">
        <v>2</v>
      </c>
      <c r="AK803" t="s">
        <v>150</v>
      </c>
      <c r="AL803" t="s">
        <v>77</v>
      </c>
      <c r="AM803">
        <f t="shared" si="60"/>
        <v>4</v>
      </c>
      <c r="AN803">
        <f t="shared" si="61"/>
        <v>12</v>
      </c>
      <c r="AO803" t="str">
        <f t="shared" si="62"/>
        <v/>
      </c>
      <c r="AP803" t="str">
        <f t="shared" si="63"/>
        <v/>
      </c>
      <c r="AQ803">
        <f t="shared" si="64"/>
        <v>2016</v>
      </c>
    </row>
    <row r="804" spans="1:43" x14ac:dyDescent="0.35">
      <c r="A804">
        <v>1563</v>
      </c>
      <c r="B804">
        <v>38</v>
      </c>
      <c r="C804" t="s">
        <v>148</v>
      </c>
      <c r="D804" t="s">
        <v>151</v>
      </c>
      <c r="E804" t="s">
        <v>168</v>
      </c>
      <c r="F804" t="s">
        <v>37</v>
      </c>
      <c r="G804" t="s">
        <v>43</v>
      </c>
      <c r="H804" t="s">
        <v>82</v>
      </c>
      <c r="I804" t="s">
        <v>43</v>
      </c>
      <c r="J804" t="s">
        <v>168</v>
      </c>
      <c r="K804" t="s">
        <v>43</v>
      </c>
      <c r="L804" t="s">
        <v>147</v>
      </c>
      <c r="M804" t="s">
        <v>49</v>
      </c>
      <c r="N804" t="s">
        <v>160</v>
      </c>
      <c r="P804" t="s">
        <v>148</v>
      </c>
      <c r="Q804">
        <v>11</v>
      </c>
      <c r="R804">
        <v>3</v>
      </c>
      <c r="S804">
        <v>10</v>
      </c>
      <c r="T804">
        <v>1</v>
      </c>
      <c r="U804">
        <v>2</v>
      </c>
      <c r="V804">
        <v>10</v>
      </c>
      <c r="W804">
        <v>71</v>
      </c>
      <c r="X804">
        <v>888</v>
      </c>
      <c r="Y804">
        <v>14814</v>
      </c>
      <c r="Z804">
        <v>6077</v>
      </c>
      <c r="AA804">
        <v>2</v>
      </c>
      <c r="AB804" s="29">
        <v>44773</v>
      </c>
      <c r="AC804" s="29">
        <v>31218</v>
      </c>
      <c r="AD804" s="29">
        <v>42792</v>
      </c>
      <c r="AE804" s="29"/>
      <c r="AF804">
        <v>5</v>
      </c>
      <c r="AG804" t="s">
        <v>149</v>
      </c>
      <c r="AI804">
        <v>33</v>
      </c>
      <c r="AJ804">
        <v>1</v>
      </c>
      <c r="AK804" t="s">
        <v>162</v>
      </c>
      <c r="AL804" t="s">
        <v>77</v>
      </c>
      <c r="AM804">
        <f t="shared" si="60"/>
        <v>1</v>
      </c>
      <c r="AN804">
        <f t="shared" si="61"/>
        <v>2</v>
      </c>
      <c r="AO804" t="str">
        <f t="shared" si="62"/>
        <v/>
      </c>
      <c r="AP804" t="str">
        <f t="shared" si="63"/>
        <v/>
      </c>
      <c r="AQ804">
        <f t="shared" si="64"/>
        <v>2017</v>
      </c>
    </row>
    <row r="805" spans="1:43" x14ac:dyDescent="0.35">
      <c r="A805">
        <v>1590</v>
      </c>
      <c r="B805">
        <v>29</v>
      </c>
      <c r="C805" t="s">
        <v>148</v>
      </c>
      <c r="D805" t="s">
        <v>151</v>
      </c>
      <c r="E805" t="s">
        <v>4</v>
      </c>
      <c r="F805" t="s">
        <v>35</v>
      </c>
      <c r="G805" t="s">
        <v>41</v>
      </c>
      <c r="H805" t="s">
        <v>82</v>
      </c>
      <c r="I805" t="s">
        <v>43</v>
      </c>
      <c r="J805" t="s">
        <v>161</v>
      </c>
      <c r="K805" t="s">
        <v>44</v>
      </c>
      <c r="L805" t="s">
        <v>147</v>
      </c>
      <c r="M805" t="s">
        <v>50</v>
      </c>
      <c r="N805" t="s">
        <v>96</v>
      </c>
      <c r="O805" t="s">
        <v>41</v>
      </c>
      <c r="P805" t="s">
        <v>148</v>
      </c>
      <c r="Q805">
        <v>19</v>
      </c>
      <c r="R805">
        <v>1</v>
      </c>
      <c r="S805">
        <v>6</v>
      </c>
      <c r="T805">
        <v>1</v>
      </c>
      <c r="U805">
        <v>3</v>
      </c>
      <c r="V805">
        <v>2</v>
      </c>
      <c r="W805">
        <v>87</v>
      </c>
      <c r="X805">
        <v>995</v>
      </c>
      <c r="Y805">
        <v>24483</v>
      </c>
      <c r="Z805">
        <v>8853</v>
      </c>
      <c r="AA805">
        <v>0</v>
      </c>
      <c r="AB805" s="29">
        <v>44773</v>
      </c>
      <c r="AC805" s="29">
        <v>34299</v>
      </c>
      <c r="AD805" s="29">
        <v>42800</v>
      </c>
      <c r="AE805" s="29"/>
      <c r="AF805">
        <v>5</v>
      </c>
      <c r="AG805" t="s">
        <v>157</v>
      </c>
      <c r="AI805">
        <v>24</v>
      </c>
      <c r="AJ805">
        <v>1</v>
      </c>
      <c r="AK805" t="s">
        <v>162</v>
      </c>
      <c r="AL805" t="s">
        <v>77</v>
      </c>
      <c r="AM805">
        <f t="shared" si="60"/>
        <v>1</v>
      </c>
      <c r="AN805">
        <f t="shared" si="61"/>
        <v>3</v>
      </c>
      <c r="AO805" t="str">
        <f t="shared" si="62"/>
        <v/>
      </c>
      <c r="AP805" t="str">
        <f t="shared" si="63"/>
        <v/>
      </c>
      <c r="AQ805">
        <f t="shared" si="64"/>
        <v>2017</v>
      </c>
    </row>
    <row r="806" spans="1:43" x14ac:dyDescent="0.35">
      <c r="A806">
        <v>1972</v>
      </c>
      <c r="B806">
        <v>38</v>
      </c>
      <c r="C806" t="s">
        <v>148</v>
      </c>
      <c r="D806" t="s">
        <v>151</v>
      </c>
      <c r="E806" t="s">
        <v>168</v>
      </c>
      <c r="F806" t="s">
        <v>37</v>
      </c>
      <c r="G806" t="s">
        <v>44</v>
      </c>
      <c r="H806" t="s">
        <v>82</v>
      </c>
      <c r="I806" t="s">
        <v>43</v>
      </c>
      <c r="J806" t="s">
        <v>168</v>
      </c>
      <c r="K806" t="s">
        <v>42</v>
      </c>
      <c r="L806" t="s">
        <v>147</v>
      </c>
      <c r="M806" t="s">
        <v>49</v>
      </c>
      <c r="N806" t="s">
        <v>160</v>
      </c>
      <c r="O806" t="s">
        <v>41</v>
      </c>
      <c r="P806" t="s">
        <v>144</v>
      </c>
      <c r="Q806">
        <v>11</v>
      </c>
      <c r="R806">
        <v>0</v>
      </c>
      <c r="S806">
        <v>7</v>
      </c>
      <c r="T806">
        <v>1</v>
      </c>
      <c r="U806">
        <v>2</v>
      </c>
      <c r="V806">
        <v>1</v>
      </c>
      <c r="W806">
        <v>88</v>
      </c>
      <c r="X806">
        <v>1444</v>
      </c>
      <c r="Y806">
        <v>5224</v>
      </c>
      <c r="Z806">
        <v>2991</v>
      </c>
      <c r="AA806">
        <v>2</v>
      </c>
      <c r="AB806" s="29">
        <v>44773</v>
      </c>
      <c r="AC806" s="29">
        <v>31187</v>
      </c>
      <c r="AD806" s="29">
        <v>42818</v>
      </c>
      <c r="AE806" s="29"/>
      <c r="AF806">
        <v>5</v>
      </c>
      <c r="AG806" t="s">
        <v>149</v>
      </c>
      <c r="AI806">
        <v>33</v>
      </c>
      <c r="AJ806">
        <v>1</v>
      </c>
      <c r="AK806" t="s">
        <v>162</v>
      </c>
      <c r="AL806" t="s">
        <v>77</v>
      </c>
      <c r="AM806">
        <f t="shared" si="60"/>
        <v>1</v>
      </c>
      <c r="AN806">
        <f t="shared" si="61"/>
        <v>3</v>
      </c>
      <c r="AO806" t="str">
        <f t="shared" si="62"/>
        <v/>
      </c>
      <c r="AP806" t="str">
        <f t="shared" si="63"/>
        <v/>
      </c>
      <c r="AQ806">
        <f t="shared" si="64"/>
        <v>2017</v>
      </c>
    </row>
    <row r="807" spans="1:43" x14ac:dyDescent="0.35">
      <c r="A807">
        <v>1646</v>
      </c>
      <c r="B807">
        <v>24</v>
      </c>
      <c r="C807" t="s">
        <v>148</v>
      </c>
      <c r="D807" t="s">
        <v>151</v>
      </c>
      <c r="E807" t="s">
        <v>4</v>
      </c>
      <c r="F807" t="s">
        <v>35</v>
      </c>
      <c r="G807" t="s">
        <v>41</v>
      </c>
      <c r="H807" t="s">
        <v>81</v>
      </c>
      <c r="I807" t="s">
        <v>43</v>
      </c>
      <c r="J807" t="s">
        <v>146</v>
      </c>
      <c r="K807" t="s">
        <v>44</v>
      </c>
      <c r="L807" t="s">
        <v>147</v>
      </c>
      <c r="M807" t="s">
        <v>49</v>
      </c>
      <c r="N807" t="s">
        <v>95</v>
      </c>
      <c r="P807" t="s">
        <v>144</v>
      </c>
      <c r="Q807">
        <v>13</v>
      </c>
      <c r="R807">
        <v>1</v>
      </c>
      <c r="S807">
        <v>6</v>
      </c>
      <c r="T807">
        <v>1</v>
      </c>
      <c r="U807">
        <v>3</v>
      </c>
      <c r="V807">
        <v>2</v>
      </c>
      <c r="W807">
        <v>32</v>
      </c>
      <c r="X807">
        <v>567</v>
      </c>
      <c r="Y807">
        <v>17218</v>
      </c>
      <c r="Z807">
        <v>3760</v>
      </c>
      <c r="AA807">
        <v>2</v>
      </c>
      <c r="AB807" s="29">
        <v>44773</v>
      </c>
      <c r="AC807" s="29">
        <v>36279</v>
      </c>
      <c r="AD807" s="29">
        <v>42838</v>
      </c>
      <c r="AE807" s="29"/>
      <c r="AF807">
        <v>5</v>
      </c>
      <c r="AG807" t="s">
        <v>157</v>
      </c>
      <c r="AI807">
        <v>19</v>
      </c>
      <c r="AJ807">
        <v>1</v>
      </c>
      <c r="AK807" t="s">
        <v>162</v>
      </c>
      <c r="AL807" t="s">
        <v>77</v>
      </c>
      <c r="AM807">
        <f t="shared" si="60"/>
        <v>2</v>
      </c>
      <c r="AN807">
        <f t="shared" si="61"/>
        <v>4</v>
      </c>
      <c r="AO807" t="str">
        <f t="shared" si="62"/>
        <v/>
      </c>
      <c r="AP807" t="str">
        <f t="shared" si="63"/>
        <v/>
      </c>
      <c r="AQ807">
        <f t="shared" si="64"/>
        <v>2017</v>
      </c>
    </row>
    <row r="808" spans="1:43" x14ac:dyDescent="0.35">
      <c r="A808">
        <v>369</v>
      </c>
      <c r="B808">
        <v>25</v>
      </c>
      <c r="C808" t="s">
        <v>148</v>
      </c>
      <c r="D808" t="s">
        <v>164</v>
      </c>
      <c r="E808" t="s">
        <v>4</v>
      </c>
      <c r="F808" t="s">
        <v>36</v>
      </c>
      <c r="G808" t="s">
        <v>42</v>
      </c>
      <c r="H808" t="s">
        <v>82</v>
      </c>
      <c r="I808" t="s">
        <v>44</v>
      </c>
      <c r="J808" t="s">
        <v>161</v>
      </c>
      <c r="K808" t="s">
        <v>41</v>
      </c>
      <c r="L808" t="s">
        <v>147</v>
      </c>
      <c r="M808" t="s">
        <v>49</v>
      </c>
      <c r="N808" t="s">
        <v>96</v>
      </c>
      <c r="O808" t="s">
        <v>156</v>
      </c>
      <c r="P808" t="s">
        <v>148</v>
      </c>
      <c r="Q808">
        <v>12</v>
      </c>
      <c r="R808">
        <v>1</v>
      </c>
      <c r="S808">
        <v>6</v>
      </c>
      <c r="T808">
        <v>1</v>
      </c>
      <c r="U808">
        <v>5</v>
      </c>
      <c r="V808">
        <v>5</v>
      </c>
      <c r="W808">
        <v>85</v>
      </c>
      <c r="X808">
        <v>675</v>
      </c>
      <c r="Y808">
        <v>18384</v>
      </c>
      <c r="Z808">
        <v>4000</v>
      </c>
      <c r="AA808">
        <v>2</v>
      </c>
      <c r="AB808" s="29">
        <v>44773</v>
      </c>
      <c r="AC808" s="29">
        <v>35797</v>
      </c>
      <c r="AD808" s="29">
        <v>42935</v>
      </c>
      <c r="AE808" s="29"/>
      <c r="AF808">
        <v>5</v>
      </c>
      <c r="AG808" t="s">
        <v>157</v>
      </c>
      <c r="AI808">
        <v>20</v>
      </c>
      <c r="AJ808">
        <v>1</v>
      </c>
      <c r="AK808" t="s">
        <v>162</v>
      </c>
      <c r="AL808" t="s">
        <v>78</v>
      </c>
      <c r="AM808">
        <f t="shared" si="60"/>
        <v>3</v>
      </c>
      <c r="AN808">
        <f t="shared" si="61"/>
        <v>7</v>
      </c>
      <c r="AO808" t="str">
        <f t="shared" si="62"/>
        <v/>
      </c>
      <c r="AP808" t="str">
        <f t="shared" si="63"/>
        <v/>
      </c>
      <c r="AQ808">
        <f t="shared" si="64"/>
        <v>2017</v>
      </c>
    </row>
    <row r="809" spans="1:43" x14ac:dyDescent="0.35">
      <c r="A809">
        <v>1395</v>
      </c>
      <c r="B809">
        <v>33</v>
      </c>
      <c r="C809" t="s">
        <v>148</v>
      </c>
      <c r="D809" t="s">
        <v>151</v>
      </c>
      <c r="E809" t="s">
        <v>158</v>
      </c>
      <c r="F809" t="s">
        <v>35</v>
      </c>
      <c r="G809" t="s">
        <v>42</v>
      </c>
      <c r="H809" t="s">
        <v>82</v>
      </c>
      <c r="I809" t="s">
        <v>43</v>
      </c>
      <c r="J809" t="s">
        <v>159</v>
      </c>
      <c r="K809" t="s">
        <v>44</v>
      </c>
      <c r="L809" t="s">
        <v>147</v>
      </c>
      <c r="M809" t="s">
        <v>50</v>
      </c>
      <c r="N809" t="s">
        <v>160</v>
      </c>
      <c r="P809" t="s">
        <v>148</v>
      </c>
      <c r="Q809">
        <v>13</v>
      </c>
      <c r="R809">
        <v>6</v>
      </c>
      <c r="S809">
        <v>8</v>
      </c>
      <c r="T809">
        <v>1</v>
      </c>
      <c r="U809">
        <v>2</v>
      </c>
      <c r="V809">
        <v>5</v>
      </c>
      <c r="W809">
        <v>61</v>
      </c>
      <c r="X809">
        <v>1111</v>
      </c>
      <c r="Y809">
        <v>19293</v>
      </c>
      <c r="Z809">
        <v>9998</v>
      </c>
      <c r="AA809">
        <v>2</v>
      </c>
      <c r="AB809" s="29">
        <v>44773</v>
      </c>
      <c r="AC809" s="29">
        <v>33068</v>
      </c>
      <c r="AD809" s="29">
        <v>42952</v>
      </c>
      <c r="AE809" s="29"/>
      <c r="AF809">
        <v>5</v>
      </c>
      <c r="AG809" t="s">
        <v>149</v>
      </c>
      <c r="AI809">
        <v>28</v>
      </c>
      <c r="AJ809">
        <v>1</v>
      </c>
      <c r="AK809" t="s">
        <v>162</v>
      </c>
      <c r="AL809" t="s">
        <v>77</v>
      </c>
      <c r="AM809">
        <f t="shared" si="60"/>
        <v>3</v>
      </c>
      <c r="AN809">
        <f t="shared" si="61"/>
        <v>8</v>
      </c>
      <c r="AO809" t="str">
        <f t="shared" si="62"/>
        <v/>
      </c>
      <c r="AP809" t="str">
        <f t="shared" si="63"/>
        <v/>
      </c>
      <c r="AQ809">
        <f t="shared" si="64"/>
        <v>2017</v>
      </c>
    </row>
    <row r="810" spans="1:43" x14ac:dyDescent="0.35">
      <c r="A810">
        <v>983</v>
      </c>
      <c r="B810">
        <v>38</v>
      </c>
      <c r="C810" t="s">
        <v>148</v>
      </c>
      <c r="D810" t="s">
        <v>164</v>
      </c>
      <c r="E810" t="s">
        <v>158</v>
      </c>
      <c r="F810" t="s">
        <v>38</v>
      </c>
      <c r="G810" t="s">
        <v>43</v>
      </c>
      <c r="H810" t="s">
        <v>81</v>
      </c>
      <c r="I810" t="s">
        <v>43</v>
      </c>
      <c r="J810" t="s">
        <v>159</v>
      </c>
      <c r="K810" t="s">
        <v>44</v>
      </c>
      <c r="L810" t="s">
        <v>147</v>
      </c>
      <c r="M810" t="s">
        <v>49</v>
      </c>
      <c r="N810" t="s">
        <v>95</v>
      </c>
      <c r="P810" t="s">
        <v>144</v>
      </c>
      <c r="Q810">
        <v>13</v>
      </c>
      <c r="R810">
        <v>1</v>
      </c>
      <c r="S810">
        <v>6</v>
      </c>
      <c r="T810">
        <v>1</v>
      </c>
      <c r="U810">
        <v>3</v>
      </c>
      <c r="V810">
        <v>10</v>
      </c>
      <c r="W810">
        <v>85</v>
      </c>
      <c r="X810">
        <v>152</v>
      </c>
      <c r="Y810">
        <v>19899</v>
      </c>
      <c r="Z810">
        <v>5666</v>
      </c>
      <c r="AA810">
        <v>1</v>
      </c>
      <c r="AB810" s="29">
        <v>44773</v>
      </c>
      <c r="AC810" s="29">
        <v>31199</v>
      </c>
      <c r="AD810" s="29">
        <v>42956</v>
      </c>
      <c r="AE810" s="29"/>
      <c r="AF810">
        <v>5</v>
      </c>
      <c r="AG810" t="s">
        <v>149</v>
      </c>
      <c r="AI810">
        <v>33</v>
      </c>
      <c r="AJ810">
        <v>1</v>
      </c>
      <c r="AK810" t="s">
        <v>162</v>
      </c>
      <c r="AL810" t="s">
        <v>77</v>
      </c>
      <c r="AM810">
        <f t="shared" si="60"/>
        <v>3</v>
      </c>
      <c r="AN810">
        <f t="shared" si="61"/>
        <v>8</v>
      </c>
      <c r="AO810" t="str">
        <f t="shared" si="62"/>
        <v/>
      </c>
      <c r="AP810" t="str">
        <f t="shared" si="63"/>
        <v/>
      </c>
      <c r="AQ810">
        <f t="shared" si="64"/>
        <v>2017</v>
      </c>
    </row>
    <row r="811" spans="1:43" x14ac:dyDescent="0.35">
      <c r="A811">
        <v>52</v>
      </c>
      <c r="B811">
        <v>33</v>
      </c>
      <c r="C811" t="s">
        <v>148</v>
      </c>
      <c r="D811" t="s">
        <v>151</v>
      </c>
      <c r="E811" t="s">
        <v>158</v>
      </c>
      <c r="F811" t="s">
        <v>38</v>
      </c>
      <c r="G811" t="s">
        <v>43</v>
      </c>
      <c r="H811" t="s">
        <v>81</v>
      </c>
      <c r="I811" t="s">
        <v>44</v>
      </c>
      <c r="J811" t="s">
        <v>159</v>
      </c>
      <c r="K811" t="s">
        <v>41</v>
      </c>
      <c r="L811" t="s">
        <v>147</v>
      </c>
      <c r="M811" t="s">
        <v>49</v>
      </c>
      <c r="N811" t="s">
        <v>160</v>
      </c>
      <c r="O811" t="s">
        <v>156</v>
      </c>
      <c r="P811" t="s">
        <v>148</v>
      </c>
      <c r="Q811">
        <v>19</v>
      </c>
      <c r="R811">
        <v>2</v>
      </c>
      <c r="S811">
        <v>10</v>
      </c>
      <c r="T811">
        <v>1</v>
      </c>
      <c r="U811">
        <v>3</v>
      </c>
      <c r="V811">
        <v>1</v>
      </c>
      <c r="W811">
        <v>42</v>
      </c>
      <c r="X811">
        <v>1141</v>
      </c>
      <c r="Y811">
        <v>3193</v>
      </c>
      <c r="Z811">
        <v>5376</v>
      </c>
      <c r="AA811">
        <v>3</v>
      </c>
      <c r="AB811" s="29">
        <v>44773</v>
      </c>
      <c r="AC811" s="29">
        <v>32905</v>
      </c>
      <c r="AD811" s="29">
        <v>42986</v>
      </c>
      <c r="AE811" s="29"/>
      <c r="AF811">
        <v>5</v>
      </c>
      <c r="AG811" t="s">
        <v>149</v>
      </c>
      <c r="AI811">
        <v>28</v>
      </c>
      <c r="AJ811">
        <v>1</v>
      </c>
      <c r="AK811" t="s">
        <v>162</v>
      </c>
      <c r="AL811" t="s">
        <v>78</v>
      </c>
      <c r="AM811">
        <f t="shared" si="60"/>
        <v>3</v>
      </c>
      <c r="AN811">
        <f t="shared" si="61"/>
        <v>9</v>
      </c>
      <c r="AO811" t="str">
        <f t="shared" si="62"/>
        <v/>
      </c>
      <c r="AP811" t="str">
        <f t="shared" si="63"/>
        <v/>
      </c>
      <c r="AQ811">
        <f t="shared" si="64"/>
        <v>2017</v>
      </c>
    </row>
    <row r="812" spans="1:43" x14ac:dyDescent="0.35">
      <c r="A812">
        <v>1068</v>
      </c>
      <c r="B812">
        <v>26</v>
      </c>
      <c r="C812" t="s">
        <v>148</v>
      </c>
      <c r="D812" t="s">
        <v>151</v>
      </c>
      <c r="E812" t="s">
        <v>4</v>
      </c>
      <c r="F812" t="s">
        <v>35</v>
      </c>
      <c r="G812" t="s">
        <v>41</v>
      </c>
      <c r="H812" t="s">
        <v>81</v>
      </c>
      <c r="I812" t="s">
        <v>42</v>
      </c>
      <c r="J812" t="s">
        <v>146</v>
      </c>
      <c r="K812" t="s">
        <v>43</v>
      </c>
      <c r="L812" t="s">
        <v>147</v>
      </c>
      <c r="M812" t="s">
        <v>49</v>
      </c>
      <c r="N812" t="s">
        <v>96</v>
      </c>
      <c r="O812" t="s">
        <v>156</v>
      </c>
      <c r="P812" t="s">
        <v>148</v>
      </c>
      <c r="Q812">
        <v>13</v>
      </c>
      <c r="R812">
        <v>1</v>
      </c>
      <c r="S812">
        <v>5</v>
      </c>
      <c r="T812">
        <v>1</v>
      </c>
      <c r="U812">
        <v>3</v>
      </c>
      <c r="V812">
        <v>1</v>
      </c>
      <c r="W812">
        <v>66</v>
      </c>
      <c r="X812">
        <v>921</v>
      </c>
      <c r="Y812">
        <v>25265</v>
      </c>
      <c r="Z812">
        <v>2007</v>
      </c>
      <c r="AA812">
        <v>5</v>
      </c>
      <c r="AB812" s="29">
        <v>44773</v>
      </c>
      <c r="AC812" s="29">
        <v>35521</v>
      </c>
      <c r="AD812" s="29">
        <v>43048</v>
      </c>
      <c r="AE812" s="29"/>
      <c r="AF812">
        <v>5</v>
      </c>
      <c r="AG812" t="s">
        <v>157</v>
      </c>
      <c r="AI812">
        <v>21</v>
      </c>
      <c r="AJ812">
        <v>1</v>
      </c>
      <c r="AK812" t="s">
        <v>162</v>
      </c>
      <c r="AL812" t="s">
        <v>77</v>
      </c>
      <c r="AM812">
        <f t="shared" si="60"/>
        <v>4</v>
      </c>
      <c r="AN812">
        <f t="shared" si="61"/>
        <v>11</v>
      </c>
      <c r="AO812" t="str">
        <f t="shared" si="62"/>
        <v/>
      </c>
      <c r="AP812" t="str">
        <f t="shared" si="63"/>
        <v/>
      </c>
      <c r="AQ812">
        <f t="shared" si="64"/>
        <v>2017</v>
      </c>
    </row>
    <row r="813" spans="1:43" x14ac:dyDescent="0.35">
      <c r="A813">
        <v>449</v>
      </c>
      <c r="B813">
        <v>27</v>
      </c>
      <c r="C813" t="s">
        <v>148</v>
      </c>
      <c r="D813" t="s">
        <v>164</v>
      </c>
      <c r="E813" t="s">
        <v>158</v>
      </c>
      <c r="F813" t="s">
        <v>35</v>
      </c>
      <c r="G813" t="s">
        <v>43</v>
      </c>
      <c r="H813" t="s">
        <v>82</v>
      </c>
      <c r="I813" t="s">
        <v>43</v>
      </c>
      <c r="J813" t="s">
        <v>159</v>
      </c>
      <c r="K813" t="s">
        <v>42</v>
      </c>
      <c r="L813" t="s">
        <v>147</v>
      </c>
      <c r="M813" t="s">
        <v>49</v>
      </c>
      <c r="N813" t="s">
        <v>160</v>
      </c>
      <c r="O813" t="s">
        <v>41</v>
      </c>
      <c r="P813" t="s">
        <v>144</v>
      </c>
      <c r="Q813">
        <v>13</v>
      </c>
      <c r="R813">
        <v>0</v>
      </c>
      <c r="S813">
        <v>6</v>
      </c>
      <c r="T813">
        <v>1</v>
      </c>
      <c r="U813">
        <v>4</v>
      </c>
      <c r="V813">
        <v>1</v>
      </c>
      <c r="W813">
        <v>73</v>
      </c>
      <c r="X813">
        <v>210</v>
      </c>
      <c r="Y813">
        <v>22107</v>
      </c>
      <c r="Z813">
        <v>6349</v>
      </c>
      <c r="AA813">
        <v>0</v>
      </c>
      <c r="AB813" s="29">
        <v>44773</v>
      </c>
      <c r="AC813" s="29">
        <v>35125</v>
      </c>
      <c r="AD813" s="29">
        <v>43056</v>
      </c>
      <c r="AE813" s="29"/>
      <c r="AF813">
        <v>5</v>
      </c>
      <c r="AG813" t="s">
        <v>157</v>
      </c>
      <c r="AI813">
        <v>22</v>
      </c>
      <c r="AJ813">
        <v>2</v>
      </c>
      <c r="AK813" t="s">
        <v>162</v>
      </c>
      <c r="AL813" t="s">
        <v>77</v>
      </c>
      <c r="AM813">
        <f t="shared" si="60"/>
        <v>4</v>
      </c>
      <c r="AN813">
        <f t="shared" si="61"/>
        <v>11</v>
      </c>
      <c r="AO813" t="str">
        <f t="shared" si="62"/>
        <v/>
      </c>
      <c r="AP813" t="str">
        <f t="shared" si="63"/>
        <v/>
      </c>
      <c r="AQ813">
        <f t="shared" si="64"/>
        <v>2017</v>
      </c>
    </row>
    <row r="814" spans="1:43" x14ac:dyDescent="0.35">
      <c r="A814">
        <v>308</v>
      </c>
      <c r="B814">
        <v>31</v>
      </c>
      <c r="C814" t="s">
        <v>148</v>
      </c>
      <c r="D814" t="s">
        <v>164</v>
      </c>
      <c r="E814" t="s">
        <v>4</v>
      </c>
      <c r="F814" t="s">
        <v>37</v>
      </c>
      <c r="G814" t="s">
        <v>43</v>
      </c>
      <c r="H814" t="s">
        <v>82</v>
      </c>
      <c r="I814" t="s">
        <v>41</v>
      </c>
      <c r="J814" t="s">
        <v>165</v>
      </c>
      <c r="K814" t="s">
        <v>43</v>
      </c>
      <c r="L814" t="s">
        <v>147</v>
      </c>
      <c r="M814" t="s">
        <v>49</v>
      </c>
      <c r="N814" t="s">
        <v>160</v>
      </c>
      <c r="O814" t="s">
        <v>41</v>
      </c>
      <c r="P814" t="s">
        <v>148</v>
      </c>
      <c r="Q814">
        <v>12</v>
      </c>
      <c r="R814">
        <v>0</v>
      </c>
      <c r="S814">
        <v>6</v>
      </c>
      <c r="T814">
        <v>1</v>
      </c>
      <c r="U814">
        <v>4</v>
      </c>
      <c r="V814">
        <v>1</v>
      </c>
      <c r="W814">
        <v>90</v>
      </c>
      <c r="X814">
        <v>979</v>
      </c>
      <c r="Y814">
        <v>4381</v>
      </c>
      <c r="Z814">
        <v>4345</v>
      </c>
      <c r="AA814">
        <v>2</v>
      </c>
      <c r="AB814" s="29">
        <v>44773</v>
      </c>
      <c r="AC814" s="29">
        <v>33613</v>
      </c>
      <c r="AD814" s="29">
        <v>43076</v>
      </c>
      <c r="AE814" s="29"/>
      <c r="AF814">
        <v>5</v>
      </c>
      <c r="AG814" t="s">
        <v>149</v>
      </c>
      <c r="AI814">
        <v>26</v>
      </c>
      <c r="AJ814">
        <v>1</v>
      </c>
      <c r="AK814" t="s">
        <v>162</v>
      </c>
      <c r="AL814" t="s">
        <v>77</v>
      </c>
      <c r="AM814">
        <f t="shared" si="60"/>
        <v>4</v>
      </c>
      <c r="AN814">
        <f t="shared" si="61"/>
        <v>12</v>
      </c>
      <c r="AO814" t="str">
        <f t="shared" si="62"/>
        <v/>
      </c>
      <c r="AP814" t="str">
        <f t="shared" si="63"/>
        <v/>
      </c>
      <c r="AQ814">
        <f t="shared" si="64"/>
        <v>2017</v>
      </c>
    </row>
    <row r="815" spans="1:43" x14ac:dyDescent="0.35">
      <c r="A815">
        <v>562</v>
      </c>
      <c r="B815">
        <v>30</v>
      </c>
      <c r="C815" t="s">
        <v>148</v>
      </c>
      <c r="D815" t="s">
        <v>164</v>
      </c>
      <c r="E815" t="s">
        <v>4</v>
      </c>
      <c r="F815" t="s">
        <v>38</v>
      </c>
      <c r="G815" t="s">
        <v>43</v>
      </c>
      <c r="H815" t="s">
        <v>82</v>
      </c>
      <c r="I815" t="s">
        <v>43</v>
      </c>
      <c r="J815" t="s">
        <v>155</v>
      </c>
      <c r="K815" t="s">
        <v>44</v>
      </c>
      <c r="L815" t="s">
        <v>147</v>
      </c>
      <c r="M815" t="s">
        <v>47</v>
      </c>
      <c r="N815" t="s">
        <v>160</v>
      </c>
      <c r="O815" t="s">
        <v>41</v>
      </c>
      <c r="P815" t="s">
        <v>148</v>
      </c>
      <c r="Q815">
        <v>15</v>
      </c>
      <c r="R815">
        <v>4</v>
      </c>
      <c r="S815">
        <v>9</v>
      </c>
      <c r="T815">
        <v>1</v>
      </c>
      <c r="U815">
        <v>4</v>
      </c>
      <c r="V815">
        <v>3</v>
      </c>
      <c r="W815">
        <v>53</v>
      </c>
      <c r="X815">
        <v>1400</v>
      </c>
      <c r="Y815">
        <v>16734</v>
      </c>
      <c r="Z815">
        <v>2097</v>
      </c>
      <c r="AA815">
        <v>3</v>
      </c>
      <c r="AB815" s="29">
        <v>44773</v>
      </c>
      <c r="AC815" s="29">
        <v>34006</v>
      </c>
      <c r="AD815" s="29">
        <v>43103</v>
      </c>
      <c r="AE815" s="29"/>
      <c r="AF815">
        <v>5</v>
      </c>
      <c r="AG815" t="s">
        <v>149</v>
      </c>
      <c r="AI815">
        <v>25</v>
      </c>
      <c r="AJ815">
        <v>2</v>
      </c>
      <c r="AK815" t="s">
        <v>162</v>
      </c>
      <c r="AL815" t="s">
        <v>77</v>
      </c>
      <c r="AM815">
        <f t="shared" si="60"/>
        <v>1</v>
      </c>
      <c r="AN815">
        <f t="shared" si="61"/>
        <v>1</v>
      </c>
      <c r="AO815" t="str">
        <f t="shared" si="62"/>
        <v/>
      </c>
      <c r="AP815" t="str">
        <f t="shared" si="63"/>
        <v/>
      </c>
      <c r="AQ815">
        <f t="shared" si="64"/>
        <v>2018</v>
      </c>
    </row>
    <row r="816" spans="1:43" x14ac:dyDescent="0.35">
      <c r="A816">
        <v>1947</v>
      </c>
      <c r="B816">
        <v>28</v>
      </c>
      <c r="C816" t="s">
        <v>148</v>
      </c>
      <c r="D816" t="s">
        <v>164</v>
      </c>
      <c r="E816" t="s">
        <v>4</v>
      </c>
      <c r="F816" t="s">
        <v>38</v>
      </c>
      <c r="G816" t="s">
        <v>43</v>
      </c>
      <c r="H816" t="s">
        <v>82</v>
      </c>
      <c r="I816" t="s">
        <v>43</v>
      </c>
      <c r="J816" t="s">
        <v>146</v>
      </c>
      <c r="K816" t="s">
        <v>43</v>
      </c>
      <c r="L816" t="s">
        <v>147</v>
      </c>
      <c r="M816" t="s">
        <v>48</v>
      </c>
      <c r="N816" t="s">
        <v>95</v>
      </c>
      <c r="P816" t="s">
        <v>148</v>
      </c>
      <c r="Q816">
        <v>14</v>
      </c>
      <c r="R816">
        <v>1</v>
      </c>
      <c r="S816">
        <v>5</v>
      </c>
      <c r="T816">
        <v>1</v>
      </c>
      <c r="U816">
        <v>4</v>
      </c>
      <c r="V816">
        <v>16</v>
      </c>
      <c r="W816">
        <v>49</v>
      </c>
      <c r="X816">
        <v>1103</v>
      </c>
      <c r="Y816">
        <v>2122</v>
      </c>
      <c r="Z816">
        <v>2144</v>
      </c>
      <c r="AA816">
        <v>3</v>
      </c>
      <c r="AB816" s="29">
        <v>44773</v>
      </c>
      <c r="AC816" s="29">
        <v>34586</v>
      </c>
      <c r="AD816" s="29">
        <v>43163</v>
      </c>
      <c r="AE816" s="29"/>
      <c r="AF816">
        <v>4</v>
      </c>
      <c r="AG816" t="s">
        <v>157</v>
      </c>
      <c r="AI816">
        <v>24</v>
      </c>
      <c r="AJ816">
        <v>1</v>
      </c>
      <c r="AK816" t="s">
        <v>162</v>
      </c>
      <c r="AL816" t="s">
        <v>77</v>
      </c>
      <c r="AM816">
        <f t="shared" si="60"/>
        <v>1</v>
      </c>
      <c r="AN816">
        <f t="shared" si="61"/>
        <v>3</v>
      </c>
      <c r="AO816" t="str">
        <f t="shared" si="62"/>
        <v/>
      </c>
      <c r="AP816" t="str">
        <f t="shared" si="63"/>
        <v/>
      </c>
      <c r="AQ816">
        <f t="shared" si="64"/>
        <v>2018</v>
      </c>
    </row>
    <row r="817" spans="1:43" x14ac:dyDescent="0.35">
      <c r="A817">
        <v>1955</v>
      </c>
      <c r="B817">
        <v>32</v>
      </c>
      <c r="C817" t="s">
        <v>148</v>
      </c>
      <c r="D817" t="s">
        <v>164</v>
      </c>
      <c r="E817" t="s">
        <v>4</v>
      </c>
      <c r="F817" t="s">
        <v>37</v>
      </c>
      <c r="G817" t="s">
        <v>43</v>
      </c>
      <c r="H817" t="s">
        <v>81</v>
      </c>
      <c r="I817" t="s">
        <v>43</v>
      </c>
      <c r="J817" t="s">
        <v>161</v>
      </c>
      <c r="K817" t="s">
        <v>44</v>
      </c>
      <c r="L817" t="s">
        <v>147</v>
      </c>
      <c r="M817" t="s">
        <v>49</v>
      </c>
      <c r="N817" t="s">
        <v>96</v>
      </c>
      <c r="O817" t="s">
        <v>41</v>
      </c>
      <c r="P817" t="s">
        <v>148</v>
      </c>
      <c r="Q817">
        <v>18</v>
      </c>
      <c r="R817">
        <v>5</v>
      </c>
      <c r="S817">
        <v>9</v>
      </c>
      <c r="T817">
        <v>1</v>
      </c>
      <c r="U817">
        <v>2</v>
      </c>
      <c r="V817">
        <v>15</v>
      </c>
      <c r="W817">
        <v>34</v>
      </c>
      <c r="X817">
        <v>1146</v>
      </c>
      <c r="Y817">
        <v>16542</v>
      </c>
      <c r="Z817">
        <v>6667</v>
      </c>
      <c r="AA817">
        <v>6</v>
      </c>
      <c r="AB817" s="29">
        <v>44773</v>
      </c>
      <c r="AC817" s="29">
        <v>33183</v>
      </c>
      <c r="AD817" s="29">
        <v>43174</v>
      </c>
      <c r="AE817" s="29"/>
      <c r="AF817">
        <v>4</v>
      </c>
      <c r="AG817" t="s">
        <v>149</v>
      </c>
      <c r="AI817">
        <v>28</v>
      </c>
      <c r="AJ817">
        <v>2</v>
      </c>
      <c r="AK817" t="s">
        <v>162</v>
      </c>
      <c r="AL817" t="s">
        <v>78</v>
      </c>
      <c r="AM817">
        <f t="shared" si="60"/>
        <v>1</v>
      </c>
      <c r="AN817">
        <f t="shared" si="61"/>
        <v>3</v>
      </c>
      <c r="AO817" t="str">
        <f t="shared" si="62"/>
        <v/>
      </c>
      <c r="AP817" t="str">
        <f t="shared" si="63"/>
        <v/>
      </c>
      <c r="AQ817">
        <f t="shared" si="64"/>
        <v>2018</v>
      </c>
    </row>
    <row r="818" spans="1:43" x14ac:dyDescent="0.35">
      <c r="A818">
        <v>838</v>
      </c>
      <c r="B818">
        <v>34</v>
      </c>
      <c r="C818" t="s">
        <v>148</v>
      </c>
      <c r="D818" t="s">
        <v>151</v>
      </c>
      <c r="E818" t="s">
        <v>4</v>
      </c>
      <c r="F818" t="s">
        <v>37</v>
      </c>
      <c r="G818" t="s">
        <v>43</v>
      </c>
      <c r="H818" t="s">
        <v>81</v>
      </c>
      <c r="I818" t="s">
        <v>42</v>
      </c>
      <c r="J818" t="s">
        <v>146</v>
      </c>
      <c r="K818" t="s">
        <v>44</v>
      </c>
      <c r="L818" t="s">
        <v>147</v>
      </c>
      <c r="M818" t="s">
        <v>49</v>
      </c>
      <c r="N818" t="s">
        <v>95</v>
      </c>
      <c r="P818" t="s">
        <v>148</v>
      </c>
      <c r="Q818">
        <v>16</v>
      </c>
      <c r="R818">
        <v>1</v>
      </c>
      <c r="S818">
        <v>6</v>
      </c>
      <c r="T818">
        <v>1</v>
      </c>
      <c r="U818">
        <v>3</v>
      </c>
      <c r="V818">
        <v>16</v>
      </c>
      <c r="W818">
        <v>100</v>
      </c>
      <c r="X818">
        <v>702</v>
      </c>
      <c r="Y818">
        <v>8306</v>
      </c>
      <c r="Z818">
        <v>2553</v>
      </c>
      <c r="AA818">
        <v>3</v>
      </c>
      <c r="AB818" s="29">
        <v>44773</v>
      </c>
      <c r="AC818" s="29">
        <v>32436</v>
      </c>
      <c r="AD818" s="29">
        <v>43175</v>
      </c>
      <c r="AE818" s="29"/>
      <c r="AF818">
        <v>4</v>
      </c>
      <c r="AG818" t="s">
        <v>149</v>
      </c>
      <c r="AI818">
        <v>30</v>
      </c>
      <c r="AJ818">
        <v>2</v>
      </c>
      <c r="AK818" t="s">
        <v>162</v>
      </c>
      <c r="AL818" t="s">
        <v>77</v>
      </c>
      <c r="AM818">
        <f t="shared" si="60"/>
        <v>1</v>
      </c>
      <c r="AN818">
        <f t="shared" si="61"/>
        <v>3</v>
      </c>
      <c r="AO818" t="str">
        <f t="shared" si="62"/>
        <v/>
      </c>
      <c r="AP818" t="str">
        <f t="shared" si="63"/>
        <v/>
      </c>
      <c r="AQ818">
        <f t="shared" si="64"/>
        <v>2018</v>
      </c>
    </row>
    <row r="819" spans="1:43" x14ac:dyDescent="0.35">
      <c r="A819">
        <v>422</v>
      </c>
      <c r="B819">
        <v>58</v>
      </c>
      <c r="C819" t="s">
        <v>148</v>
      </c>
      <c r="D819" t="s">
        <v>164</v>
      </c>
      <c r="E819" t="s">
        <v>4</v>
      </c>
      <c r="F819" t="s">
        <v>37</v>
      </c>
      <c r="G819" t="s">
        <v>44</v>
      </c>
      <c r="H819" t="s">
        <v>82</v>
      </c>
      <c r="I819" t="s">
        <v>41</v>
      </c>
      <c r="J819" t="s">
        <v>161</v>
      </c>
      <c r="K819" t="s">
        <v>43</v>
      </c>
      <c r="L819" t="s">
        <v>147</v>
      </c>
      <c r="M819" t="s">
        <v>49</v>
      </c>
      <c r="N819" t="s">
        <v>96</v>
      </c>
      <c r="O819" t="s">
        <v>41</v>
      </c>
      <c r="P819" t="s">
        <v>144</v>
      </c>
      <c r="Q819">
        <v>13</v>
      </c>
      <c r="R819">
        <v>2</v>
      </c>
      <c r="S819">
        <v>12</v>
      </c>
      <c r="T819">
        <v>1</v>
      </c>
      <c r="U819">
        <v>2</v>
      </c>
      <c r="V819">
        <v>1</v>
      </c>
      <c r="W819">
        <v>32</v>
      </c>
      <c r="X819">
        <v>390</v>
      </c>
      <c r="Y819">
        <v>17056</v>
      </c>
      <c r="Z819">
        <v>5660</v>
      </c>
      <c r="AA819">
        <v>2</v>
      </c>
      <c r="AB819" s="29">
        <v>44773</v>
      </c>
      <c r="AC819" s="29">
        <v>23669</v>
      </c>
      <c r="AD819" s="29">
        <v>43180</v>
      </c>
      <c r="AE819" s="29"/>
      <c r="AF819">
        <v>4</v>
      </c>
      <c r="AG819" t="s">
        <v>167</v>
      </c>
      <c r="AI819">
        <v>54</v>
      </c>
      <c r="AJ819">
        <v>1</v>
      </c>
      <c r="AK819" t="s">
        <v>162</v>
      </c>
      <c r="AL819" t="s">
        <v>78</v>
      </c>
      <c r="AM819">
        <f t="shared" si="60"/>
        <v>1</v>
      </c>
      <c r="AN819">
        <f t="shared" si="61"/>
        <v>3</v>
      </c>
      <c r="AO819" t="str">
        <f t="shared" si="62"/>
        <v/>
      </c>
      <c r="AP819" t="str">
        <f t="shared" si="63"/>
        <v/>
      </c>
      <c r="AQ819">
        <f t="shared" si="64"/>
        <v>2018</v>
      </c>
    </row>
    <row r="820" spans="1:43" x14ac:dyDescent="0.35">
      <c r="A820">
        <v>1245</v>
      </c>
      <c r="B820">
        <v>54</v>
      </c>
      <c r="C820" t="s">
        <v>148</v>
      </c>
      <c r="D820" t="s">
        <v>151</v>
      </c>
      <c r="E820" t="s">
        <v>4</v>
      </c>
      <c r="F820" t="s">
        <v>37</v>
      </c>
      <c r="G820" t="s">
        <v>44</v>
      </c>
      <c r="H820" t="s">
        <v>81</v>
      </c>
      <c r="I820" t="s">
        <v>43</v>
      </c>
      <c r="J820" t="s">
        <v>165</v>
      </c>
      <c r="K820" t="s">
        <v>43</v>
      </c>
      <c r="L820" t="s">
        <v>147</v>
      </c>
      <c r="M820" t="s">
        <v>47</v>
      </c>
      <c r="N820" t="s">
        <v>96</v>
      </c>
      <c r="O820" t="s">
        <v>41</v>
      </c>
      <c r="P820" t="s">
        <v>148</v>
      </c>
      <c r="Q820">
        <v>17</v>
      </c>
      <c r="R820">
        <v>7</v>
      </c>
      <c r="S820">
        <v>33</v>
      </c>
      <c r="T820">
        <v>1</v>
      </c>
      <c r="U820">
        <v>4</v>
      </c>
      <c r="V820">
        <v>1</v>
      </c>
      <c r="W820">
        <v>53</v>
      </c>
      <c r="X820">
        <v>966</v>
      </c>
      <c r="Y820">
        <v>9659</v>
      </c>
      <c r="Z820">
        <v>10502</v>
      </c>
      <c r="AA820">
        <v>2</v>
      </c>
      <c r="AB820" s="29">
        <v>44773</v>
      </c>
      <c r="AC820" s="29">
        <v>25234</v>
      </c>
      <c r="AD820" s="29">
        <v>43207</v>
      </c>
      <c r="AE820" s="29"/>
      <c r="AF820">
        <v>4</v>
      </c>
      <c r="AG820" t="s">
        <v>167</v>
      </c>
      <c r="AI820">
        <v>50</v>
      </c>
      <c r="AJ820">
        <v>2</v>
      </c>
      <c r="AK820" t="s">
        <v>162</v>
      </c>
      <c r="AL820" t="s">
        <v>78</v>
      </c>
      <c r="AM820">
        <f t="shared" si="60"/>
        <v>2</v>
      </c>
      <c r="AN820">
        <f t="shared" si="61"/>
        <v>4</v>
      </c>
      <c r="AO820" t="str">
        <f t="shared" si="62"/>
        <v/>
      </c>
      <c r="AP820" t="str">
        <f t="shared" si="63"/>
        <v/>
      </c>
      <c r="AQ820">
        <f t="shared" si="64"/>
        <v>2018</v>
      </c>
    </row>
    <row r="821" spans="1:43" x14ac:dyDescent="0.35">
      <c r="A821">
        <v>744</v>
      </c>
      <c r="B821">
        <v>44</v>
      </c>
      <c r="C821" t="s">
        <v>148</v>
      </c>
      <c r="D821" t="s">
        <v>164</v>
      </c>
      <c r="E821" t="s">
        <v>4</v>
      </c>
      <c r="F821" t="s">
        <v>38</v>
      </c>
      <c r="G821" t="s">
        <v>41</v>
      </c>
      <c r="H821" t="s">
        <v>82</v>
      </c>
      <c r="I821" t="s">
        <v>41</v>
      </c>
      <c r="J821" t="s">
        <v>155</v>
      </c>
      <c r="K821" t="s">
        <v>43</v>
      </c>
      <c r="L821" t="s">
        <v>147</v>
      </c>
      <c r="M821" t="s">
        <v>49</v>
      </c>
      <c r="N821" t="s">
        <v>95</v>
      </c>
      <c r="P821" t="s">
        <v>148</v>
      </c>
      <c r="Q821">
        <v>14</v>
      </c>
      <c r="R821">
        <v>2</v>
      </c>
      <c r="S821">
        <v>9</v>
      </c>
      <c r="T821">
        <v>1</v>
      </c>
      <c r="U821">
        <v>4</v>
      </c>
      <c r="V821">
        <v>24</v>
      </c>
      <c r="W821">
        <v>49</v>
      </c>
      <c r="X821">
        <v>381</v>
      </c>
      <c r="Y821">
        <v>2104</v>
      </c>
      <c r="Z821">
        <v>3708</v>
      </c>
      <c r="AA821">
        <v>5</v>
      </c>
      <c r="AB821" s="29">
        <v>44773</v>
      </c>
      <c r="AC821" s="29">
        <v>28904</v>
      </c>
      <c r="AD821" s="29">
        <v>43229</v>
      </c>
      <c r="AE821" s="29"/>
      <c r="AF821">
        <v>4</v>
      </c>
      <c r="AG821" t="s">
        <v>153</v>
      </c>
      <c r="AI821">
        <v>40</v>
      </c>
      <c r="AJ821">
        <v>2</v>
      </c>
      <c r="AK821" t="s">
        <v>162</v>
      </c>
      <c r="AL821" t="s">
        <v>77</v>
      </c>
      <c r="AM821">
        <f t="shared" si="60"/>
        <v>2</v>
      </c>
      <c r="AN821">
        <f t="shared" si="61"/>
        <v>5</v>
      </c>
      <c r="AO821" t="str">
        <f t="shared" si="62"/>
        <v/>
      </c>
      <c r="AP821" t="str">
        <f t="shared" si="63"/>
        <v/>
      </c>
      <c r="AQ821">
        <f t="shared" si="64"/>
        <v>2018</v>
      </c>
    </row>
    <row r="822" spans="1:43" x14ac:dyDescent="0.35">
      <c r="A822">
        <v>1720</v>
      </c>
      <c r="B822">
        <v>32</v>
      </c>
      <c r="C822" t="s">
        <v>148</v>
      </c>
      <c r="D822" t="s">
        <v>151</v>
      </c>
      <c r="E822" t="s">
        <v>4</v>
      </c>
      <c r="F822" t="s">
        <v>38</v>
      </c>
      <c r="G822" t="s">
        <v>41</v>
      </c>
      <c r="H822" t="s">
        <v>82</v>
      </c>
      <c r="I822" t="s">
        <v>43</v>
      </c>
      <c r="J822" t="s">
        <v>146</v>
      </c>
      <c r="K822" t="s">
        <v>43</v>
      </c>
      <c r="L822" t="s">
        <v>147</v>
      </c>
      <c r="M822" t="s">
        <v>48</v>
      </c>
      <c r="N822" t="s">
        <v>160</v>
      </c>
      <c r="O822" t="s">
        <v>41</v>
      </c>
      <c r="P822" t="s">
        <v>148</v>
      </c>
      <c r="Q822">
        <v>13</v>
      </c>
      <c r="R822">
        <v>6</v>
      </c>
      <c r="S822">
        <v>10</v>
      </c>
      <c r="T822">
        <v>1</v>
      </c>
      <c r="U822">
        <v>3</v>
      </c>
      <c r="V822">
        <v>10</v>
      </c>
      <c r="W822">
        <v>56</v>
      </c>
      <c r="X822">
        <v>585</v>
      </c>
      <c r="Y822">
        <v>17360</v>
      </c>
      <c r="Z822">
        <v>3433</v>
      </c>
      <c r="AA822">
        <v>3</v>
      </c>
      <c r="AB822" s="29">
        <v>44773</v>
      </c>
      <c r="AC822" s="29">
        <v>33113</v>
      </c>
      <c r="AD822" s="29">
        <v>43277</v>
      </c>
      <c r="AE822" s="29"/>
      <c r="AF822">
        <v>4</v>
      </c>
      <c r="AG822" t="s">
        <v>149</v>
      </c>
      <c r="AI822">
        <v>28</v>
      </c>
      <c r="AJ822">
        <v>1</v>
      </c>
      <c r="AK822" t="s">
        <v>162</v>
      </c>
      <c r="AL822" t="s">
        <v>77</v>
      </c>
      <c r="AM822">
        <f t="shared" si="60"/>
        <v>2</v>
      </c>
      <c r="AN822">
        <f t="shared" si="61"/>
        <v>6</v>
      </c>
      <c r="AO822" t="str">
        <f t="shared" si="62"/>
        <v/>
      </c>
      <c r="AP822" t="str">
        <f t="shared" si="63"/>
        <v/>
      </c>
      <c r="AQ822">
        <f t="shared" si="64"/>
        <v>2018</v>
      </c>
    </row>
    <row r="823" spans="1:43" x14ac:dyDescent="0.35">
      <c r="A823">
        <v>1704</v>
      </c>
      <c r="B823">
        <v>35</v>
      </c>
      <c r="C823" t="s">
        <v>148</v>
      </c>
      <c r="D823" t="s">
        <v>151</v>
      </c>
      <c r="E823" t="s">
        <v>4</v>
      </c>
      <c r="F823" t="s">
        <v>37</v>
      </c>
      <c r="G823" t="s">
        <v>41</v>
      </c>
      <c r="H823" t="s">
        <v>82</v>
      </c>
      <c r="I823" t="s">
        <v>42</v>
      </c>
      <c r="J823" t="s">
        <v>146</v>
      </c>
      <c r="K823" t="s">
        <v>44</v>
      </c>
      <c r="L823" t="s">
        <v>147</v>
      </c>
      <c r="M823" t="s">
        <v>50</v>
      </c>
      <c r="N823" t="s">
        <v>95</v>
      </c>
      <c r="P823" t="s">
        <v>144</v>
      </c>
      <c r="Q823">
        <v>14</v>
      </c>
      <c r="R823">
        <v>0</v>
      </c>
      <c r="S823">
        <v>6</v>
      </c>
      <c r="T823">
        <v>1</v>
      </c>
      <c r="U823">
        <v>4</v>
      </c>
      <c r="V823">
        <v>2</v>
      </c>
      <c r="W823">
        <v>79</v>
      </c>
      <c r="X823">
        <v>146</v>
      </c>
      <c r="Y823">
        <v>13970</v>
      </c>
      <c r="Z823">
        <v>4930</v>
      </c>
      <c r="AA823">
        <v>2</v>
      </c>
      <c r="AB823" s="29">
        <v>44773</v>
      </c>
      <c r="AC823" s="29">
        <v>32206</v>
      </c>
      <c r="AD823" s="29">
        <v>43282</v>
      </c>
      <c r="AE823" s="29"/>
      <c r="AF823">
        <v>4</v>
      </c>
      <c r="AG823" t="s">
        <v>149</v>
      </c>
      <c r="AI823">
        <v>31</v>
      </c>
      <c r="AJ823">
        <v>1</v>
      </c>
      <c r="AK823" t="s">
        <v>162</v>
      </c>
      <c r="AL823" t="s">
        <v>77</v>
      </c>
      <c r="AM823">
        <f t="shared" si="60"/>
        <v>3</v>
      </c>
      <c r="AN823">
        <f t="shared" si="61"/>
        <v>7</v>
      </c>
      <c r="AO823" t="str">
        <f t="shared" si="62"/>
        <v/>
      </c>
      <c r="AP823" t="str">
        <f t="shared" si="63"/>
        <v/>
      </c>
      <c r="AQ823">
        <f t="shared" si="64"/>
        <v>2018</v>
      </c>
    </row>
    <row r="824" spans="1:43" x14ac:dyDescent="0.35">
      <c r="A824">
        <v>1648</v>
      </c>
      <c r="B824">
        <v>27</v>
      </c>
      <c r="C824" t="s">
        <v>148</v>
      </c>
      <c r="D824" t="s">
        <v>151</v>
      </c>
      <c r="E824" t="s">
        <v>4</v>
      </c>
      <c r="F824" t="s">
        <v>38</v>
      </c>
      <c r="G824" t="s">
        <v>44</v>
      </c>
      <c r="H824" t="s">
        <v>82</v>
      </c>
      <c r="I824" t="s">
        <v>43</v>
      </c>
      <c r="J824" t="s">
        <v>146</v>
      </c>
      <c r="K824" t="s">
        <v>44</v>
      </c>
      <c r="L824" t="s">
        <v>147</v>
      </c>
      <c r="M824" t="s">
        <v>48</v>
      </c>
      <c r="N824" t="s">
        <v>95</v>
      </c>
      <c r="P824" t="s">
        <v>148</v>
      </c>
      <c r="Q824">
        <v>13</v>
      </c>
      <c r="R824">
        <v>2</v>
      </c>
      <c r="S824">
        <v>6</v>
      </c>
      <c r="T824">
        <v>1</v>
      </c>
      <c r="U824">
        <v>2</v>
      </c>
      <c r="V824">
        <v>2</v>
      </c>
      <c r="W824">
        <v>87</v>
      </c>
      <c r="X824">
        <v>591</v>
      </c>
      <c r="Y824">
        <v>6297</v>
      </c>
      <c r="Z824">
        <v>2580</v>
      </c>
      <c r="AA824">
        <v>0</v>
      </c>
      <c r="AB824" s="29">
        <v>44773</v>
      </c>
      <c r="AC824" s="29">
        <v>34966</v>
      </c>
      <c r="AD824" s="29">
        <v>43361</v>
      </c>
      <c r="AE824" s="29"/>
      <c r="AF824">
        <v>4</v>
      </c>
      <c r="AG824" t="s">
        <v>157</v>
      </c>
      <c r="AI824">
        <v>23</v>
      </c>
      <c r="AJ824">
        <v>1</v>
      </c>
      <c r="AK824" t="s">
        <v>162</v>
      </c>
      <c r="AL824" t="s">
        <v>77</v>
      </c>
      <c r="AM824">
        <f t="shared" si="60"/>
        <v>3</v>
      </c>
      <c r="AN824">
        <f t="shared" si="61"/>
        <v>9</v>
      </c>
      <c r="AO824" t="str">
        <f t="shared" si="62"/>
        <v/>
      </c>
      <c r="AP824" t="str">
        <f t="shared" si="63"/>
        <v/>
      </c>
      <c r="AQ824">
        <f t="shared" si="64"/>
        <v>2018</v>
      </c>
    </row>
    <row r="825" spans="1:43" x14ac:dyDescent="0.35">
      <c r="A825">
        <v>26</v>
      </c>
      <c r="B825">
        <v>24</v>
      </c>
      <c r="C825" t="s">
        <v>148</v>
      </c>
      <c r="D825" t="s">
        <v>164</v>
      </c>
      <c r="E825" t="s">
        <v>4</v>
      </c>
      <c r="F825" t="s">
        <v>36</v>
      </c>
      <c r="G825" t="s">
        <v>41</v>
      </c>
      <c r="H825" t="s">
        <v>81</v>
      </c>
      <c r="I825" t="s">
        <v>44</v>
      </c>
      <c r="J825" t="s">
        <v>165</v>
      </c>
      <c r="K825" t="s">
        <v>43</v>
      </c>
      <c r="L825" t="s">
        <v>147</v>
      </c>
      <c r="M825" t="s">
        <v>48</v>
      </c>
      <c r="N825" t="s">
        <v>96</v>
      </c>
      <c r="O825" t="s">
        <v>41</v>
      </c>
      <c r="P825" t="s">
        <v>148</v>
      </c>
      <c r="Q825">
        <v>18</v>
      </c>
      <c r="R825">
        <v>0</v>
      </c>
      <c r="S825">
        <v>5</v>
      </c>
      <c r="T825">
        <v>1</v>
      </c>
      <c r="U825">
        <v>3</v>
      </c>
      <c r="V825">
        <v>11</v>
      </c>
      <c r="W825">
        <v>96</v>
      </c>
      <c r="X825">
        <v>673</v>
      </c>
      <c r="Y825">
        <v>8232</v>
      </c>
      <c r="Z825">
        <v>4011</v>
      </c>
      <c r="AA825">
        <v>5</v>
      </c>
      <c r="AB825" s="29">
        <v>44773</v>
      </c>
      <c r="AC825" s="29">
        <v>36322</v>
      </c>
      <c r="AD825" s="29">
        <v>43363</v>
      </c>
      <c r="AE825" s="29"/>
      <c r="AF825">
        <v>4</v>
      </c>
      <c r="AG825" t="s">
        <v>157</v>
      </c>
      <c r="AI825">
        <v>20</v>
      </c>
      <c r="AJ825">
        <v>2</v>
      </c>
      <c r="AK825" t="s">
        <v>162</v>
      </c>
      <c r="AL825" t="s">
        <v>77</v>
      </c>
      <c r="AM825">
        <f t="shared" si="60"/>
        <v>3</v>
      </c>
      <c r="AN825">
        <f t="shared" si="61"/>
        <v>9</v>
      </c>
      <c r="AO825" t="str">
        <f t="shared" si="62"/>
        <v/>
      </c>
      <c r="AP825" t="str">
        <f t="shared" si="63"/>
        <v/>
      </c>
      <c r="AQ825">
        <f t="shared" si="64"/>
        <v>2018</v>
      </c>
    </row>
    <row r="826" spans="1:43" x14ac:dyDescent="0.35">
      <c r="A826">
        <v>1507</v>
      </c>
      <c r="B826">
        <v>28</v>
      </c>
      <c r="C826" t="s">
        <v>148</v>
      </c>
      <c r="D826" t="s">
        <v>151</v>
      </c>
      <c r="E826" t="s">
        <v>158</v>
      </c>
      <c r="F826" t="s">
        <v>38</v>
      </c>
      <c r="G826" t="s">
        <v>43</v>
      </c>
      <c r="H826" t="s">
        <v>82</v>
      </c>
      <c r="I826" t="s">
        <v>43</v>
      </c>
      <c r="J826" t="s">
        <v>159</v>
      </c>
      <c r="K826" t="s">
        <v>41</v>
      </c>
      <c r="L826" t="s">
        <v>147</v>
      </c>
      <c r="M826" t="s">
        <v>49</v>
      </c>
      <c r="N826" t="s">
        <v>95</v>
      </c>
      <c r="P826" t="s">
        <v>148</v>
      </c>
      <c r="Q826">
        <v>14</v>
      </c>
      <c r="R826">
        <v>0</v>
      </c>
      <c r="S826">
        <v>5</v>
      </c>
      <c r="T826">
        <v>1</v>
      </c>
      <c r="U826">
        <v>3</v>
      </c>
      <c r="V826">
        <v>7</v>
      </c>
      <c r="W826">
        <v>55</v>
      </c>
      <c r="X826">
        <v>467</v>
      </c>
      <c r="Y826">
        <v>11827</v>
      </c>
      <c r="Z826">
        <v>4898</v>
      </c>
      <c r="AA826">
        <v>5</v>
      </c>
      <c r="AB826" s="29">
        <v>44773</v>
      </c>
      <c r="AC826" s="29">
        <v>34719</v>
      </c>
      <c r="AD826" s="29">
        <v>43368</v>
      </c>
      <c r="AE826" s="29"/>
      <c r="AF826">
        <v>4</v>
      </c>
      <c r="AG826" t="s">
        <v>157</v>
      </c>
      <c r="AI826">
        <v>24</v>
      </c>
      <c r="AJ826">
        <v>1</v>
      </c>
      <c r="AK826" t="s">
        <v>162</v>
      </c>
      <c r="AL826" t="s">
        <v>78</v>
      </c>
      <c r="AM826">
        <f t="shared" si="60"/>
        <v>3</v>
      </c>
      <c r="AN826">
        <f t="shared" si="61"/>
        <v>9</v>
      </c>
      <c r="AO826" t="str">
        <f t="shared" si="62"/>
        <v/>
      </c>
      <c r="AP826" t="str">
        <f t="shared" si="63"/>
        <v/>
      </c>
      <c r="AQ826">
        <f t="shared" si="64"/>
        <v>2018</v>
      </c>
    </row>
    <row r="827" spans="1:43" x14ac:dyDescent="0.35">
      <c r="A827">
        <v>1605</v>
      </c>
      <c r="B827">
        <v>22</v>
      </c>
      <c r="C827" t="s">
        <v>148</v>
      </c>
      <c r="D827" t="s">
        <v>164</v>
      </c>
      <c r="E827" t="s">
        <v>4</v>
      </c>
      <c r="F827" t="s">
        <v>36</v>
      </c>
      <c r="G827" t="s">
        <v>42</v>
      </c>
      <c r="H827" t="s">
        <v>81</v>
      </c>
      <c r="I827" t="s">
        <v>42</v>
      </c>
      <c r="J827" t="s">
        <v>146</v>
      </c>
      <c r="K827" t="s">
        <v>43</v>
      </c>
      <c r="L827" t="s">
        <v>147</v>
      </c>
      <c r="M827" t="s">
        <v>48</v>
      </c>
      <c r="N827" t="s">
        <v>160</v>
      </c>
      <c r="P827" t="s">
        <v>144</v>
      </c>
      <c r="Q827">
        <v>14</v>
      </c>
      <c r="R827">
        <v>1</v>
      </c>
      <c r="S827">
        <v>4</v>
      </c>
      <c r="T827">
        <v>1</v>
      </c>
      <c r="U827">
        <v>3</v>
      </c>
      <c r="V827">
        <v>26</v>
      </c>
      <c r="W827">
        <v>85</v>
      </c>
      <c r="X827">
        <v>457</v>
      </c>
      <c r="Y827">
        <v>10293</v>
      </c>
      <c r="Z827">
        <v>2814</v>
      </c>
      <c r="AA827">
        <v>2</v>
      </c>
      <c r="AB827" s="29">
        <v>44773</v>
      </c>
      <c r="AC827" s="29">
        <v>37000</v>
      </c>
      <c r="AD827" s="29">
        <v>43395</v>
      </c>
      <c r="AE827" s="29"/>
      <c r="AF827">
        <v>4</v>
      </c>
      <c r="AG827" t="s">
        <v>157</v>
      </c>
      <c r="AI827">
        <v>18</v>
      </c>
      <c r="AJ827">
        <v>1</v>
      </c>
      <c r="AK827" t="s">
        <v>162</v>
      </c>
      <c r="AL827" t="s">
        <v>77</v>
      </c>
      <c r="AM827">
        <f t="shared" si="60"/>
        <v>4</v>
      </c>
      <c r="AN827">
        <f t="shared" si="61"/>
        <v>10</v>
      </c>
      <c r="AO827" t="str">
        <f t="shared" si="62"/>
        <v/>
      </c>
      <c r="AP827" t="str">
        <f t="shared" si="63"/>
        <v/>
      </c>
      <c r="AQ827">
        <f t="shared" si="64"/>
        <v>2018</v>
      </c>
    </row>
    <row r="828" spans="1:43" x14ac:dyDescent="0.35">
      <c r="A828">
        <v>91</v>
      </c>
      <c r="B828">
        <v>59</v>
      </c>
      <c r="C828" t="s">
        <v>148</v>
      </c>
      <c r="D828" t="s">
        <v>151</v>
      </c>
      <c r="E828" t="s">
        <v>158</v>
      </c>
      <c r="F828" t="s">
        <v>35</v>
      </c>
      <c r="G828" t="s">
        <v>41</v>
      </c>
      <c r="H828" t="s">
        <v>81</v>
      </c>
      <c r="I828" t="s">
        <v>42</v>
      </c>
      <c r="J828" t="s">
        <v>159</v>
      </c>
      <c r="K828" t="s">
        <v>43</v>
      </c>
      <c r="L828" t="s">
        <v>147</v>
      </c>
      <c r="M828" t="s">
        <v>48</v>
      </c>
      <c r="N828" t="s">
        <v>95</v>
      </c>
      <c r="P828" t="s">
        <v>148</v>
      </c>
      <c r="Q828">
        <v>11</v>
      </c>
      <c r="R828">
        <v>7</v>
      </c>
      <c r="S828">
        <v>20</v>
      </c>
      <c r="T828">
        <v>1</v>
      </c>
      <c r="U828">
        <v>3</v>
      </c>
      <c r="V828">
        <v>1</v>
      </c>
      <c r="W828">
        <v>57</v>
      </c>
      <c r="X828">
        <v>1225</v>
      </c>
      <c r="Y828">
        <v>24668</v>
      </c>
      <c r="Z828">
        <v>5473</v>
      </c>
      <c r="AA828">
        <v>2</v>
      </c>
      <c r="AB828" s="29">
        <v>44773</v>
      </c>
      <c r="AC828" s="29">
        <v>23534</v>
      </c>
      <c r="AD828" s="29">
        <v>43411</v>
      </c>
      <c r="AE828" s="29"/>
      <c r="AF828">
        <v>4</v>
      </c>
      <c r="AG828" t="s">
        <v>167</v>
      </c>
      <c r="AI828">
        <v>55</v>
      </c>
      <c r="AJ828">
        <v>1</v>
      </c>
      <c r="AK828" t="s">
        <v>162</v>
      </c>
      <c r="AL828" t="s">
        <v>77</v>
      </c>
      <c r="AM828">
        <f t="shared" si="60"/>
        <v>4</v>
      </c>
      <c r="AN828">
        <f t="shared" si="61"/>
        <v>11</v>
      </c>
      <c r="AO828" t="str">
        <f t="shared" si="62"/>
        <v/>
      </c>
      <c r="AP828" t="str">
        <f t="shared" si="63"/>
        <v/>
      </c>
      <c r="AQ828">
        <f t="shared" si="64"/>
        <v>2018</v>
      </c>
    </row>
    <row r="829" spans="1:43" x14ac:dyDescent="0.35">
      <c r="A829">
        <v>403</v>
      </c>
      <c r="B829">
        <v>37</v>
      </c>
      <c r="C829" t="s">
        <v>148</v>
      </c>
      <c r="D829" t="s">
        <v>151</v>
      </c>
      <c r="E829" t="s">
        <v>4</v>
      </c>
      <c r="F829" t="s">
        <v>38</v>
      </c>
      <c r="G829" t="s">
        <v>42</v>
      </c>
      <c r="H829" t="s">
        <v>82</v>
      </c>
      <c r="I829" t="s">
        <v>43</v>
      </c>
      <c r="J829" t="s">
        <v>146</v>
      </c>
      <c r="K829" t="s">
        <v>44</v>
      </c>
      <c r="L829" t="s">
        <v>147</v>
      </c>
      <c r="M829" t="s">
        <v>48</v>
      </c>
      <c r="N829" t="s">
        <v>160</v>
      </c>
      <c r="O829" t="s">
        <v>43</v>
      </c>
      <c r="P829" t="s">
        <v>144</v>
      </c>
      <c r="Q829">
        <v>12</v>
      </c>
      <c r="R829">
        <v>1</v>
      </c>
      <c r="S829">
        <v>4</v>
      </c>
      <c r="T829">
        <v>1</v>
      </c>
      <c r="U829">
        <v>2</v>
      </c>
      <c r="V829">
        <v>9</v>
      </c>
      <c r="W829">
        <v>53</v>
      </c>
      <c r="X829">
        <v>889</v>
      </c>
      <c r="Y829">
        <v>11411</v>
      </c>
      <c r="Z829">
        <v>2326</v>
      </c>
      <c r="AA829">
        <v>3</v>
      </c>
      <c r="AB829" s="29">
        <v>44773</v>
      </c>
      <c r="AC829" s="29">
        <v>31557</v>
      </c>
      <c r="AD829" s="29">
        <v>43462</v>
      </c>
      <c r="AE829" s="29"/>
      <c r="AF829">
        <v>4</v>
      </c>
      <c r="AG829" t="s">
        <v>149</v>
      </c>
      <c r="AI829">
        <v>33</v>
      </c>
      <c r="AJ829">
        <v>1</v>
      </c>
      <c r="AK829" t="s">
        <v>162</v>
      </c>
      <c r="AL829" t="s">
        <v>77</v>
      </c>
      <c r="AM829">
        <f t="shared" si="60"/>
        <v>4</v>
      </c>
      <c r="AN829">
        <f t="shared" si="61"/>
        <v>12</v>
      </c>
      <c r="AO829" t="str">
        <f t="shared" si="62"/>
        <v/>
      </c>
      <c r="AP829" t="str">
        <f t="shared" si="63"/>
        <v/>
      </c>
      <c r="AQ829">
        <f t="shared" si="64"/>
        <v>2018</v>
      </c>
    </row>
    <row r="830" spans="1:43" x14ac:dyDescent="0.35">
      <c r="A830">
        <v>1431</v>
      </c>
      <c r="B830">
        <v>34</v>
      </c>
      <c r="C830" t="s">
        <v>148</v>
      </c>
      <c r="D830" t="s">
        <v>151</v>
      </c>
      <c r="E830" t="s">
        <v>4</v>
      </c>
      <c r="F830" t="s">
        <v>37</v>
      </c>
      <c r="G830" t="s">
        <v>44</v>
      </c>
      <c r="H830" t="s">
        <v>82</v>
      </c>
      <c r="I830" t="s">
        <v>43</v>
      </c>
      <c r="J830" t="s">
        <v>146</v>
      </c>
      <c r="K830" t="s">
        <v>41</v>
      </c>
      <c r="L830" t="s">
        <v>147</v>
      </c>
      <c r="M830" t="s">
        <v>49</v>
      </c>
      <c r="N830" t="s">
        <v>96</v>
      </c>
      <c r="O830" t="s">
        <v>156</v>
      </c>
      <c r="P830" t="s">
        <v>148</v>
      </c>
      <c r="Q830">
        <v>14</v>
      </c>
      <c r="R830">
        <v>5</v>
      </c>
      <c r="S830">
        <v>10</v>
      </c>
      <c r="T830">
        <v>1</v>
      </c>
      <c r="U830">
        <v>3</v>
      </c>
      <c r="V830">
        <v>1</v>
      </c>
      <c r="W830">
        <v>91</v>
      </c>
      <c r="X830">
        <v>560</v>
      </c>
      <c r="Y830">
        <v>20284</v>
      </c>
      <c r="Z830">
        <v>2996</v>
      </c>
      <c r="AA830">
        <v>2</v>
      </c>
      <c r="AB830" s="29">
        <v>44773</v>
      </c>
      <c r="AC830" s="29">
        <v>32651</v>
      </c>
      <c r="AD830" s="29">
        <v>43483</v>
      </c>
      <c r="AE830" s="29"/>
      <c r="AF830">
        <v>4</v>
      </c>
      <c r="AG830" t="s">
        <v>149</v>
      </c>
      <c r="AI830">
        <v>30</v>
      </c>
      <c r="AJ830">
        <v>1</v>
      </c>
      <c r="AK830" t="s">
        <v>162</v>
      </c>
      <c r="AL830" t="s">
        <v>77</v>
      </c>
      <c r="AM830">
        <f t="shared" si="60"/>
        <v>1</v>
      </c>
      <c r="AN830">
        <f t="shared" si="61"/>
        <v>1</v>
      </c>
      <c r="AO830" t="str">
        <f t="shared" si="62"/>
        <v/>
      </c>
      <c r="AP830" t="str">
        <f t="shared" si="63"/>
        <v/>
      </c>
      <c r="AQ830">
        <f t="shared" si="64"/>
        <v>2019</v>
      </c>
    </row>
    <row r="831" spans="1:43" x14ac:dyDescent="0.35">
      <c r="A831">
        <v>216</v>
      </c>
      <c r="B831">
        <v>34</v>
      </c>
      <c r="C831" t="s">
        <v>148</v>
      </c>
      <c r="D831" t="s">
        <v>151</v>
      </c>
      <c r="E831" t="s">
        <v>158</v>
      </c>
      <c r="F831" t="s">
        <v>37</v>
      </c>
      <c r="G831" t="s">
        <v>43</v>
      </c>
      <c r="H831" t="s">
        <v>81</v>
      </c>
      <c r="I831" t="s">
        <v>43</v>
      </c>
      <c r="J831" t="s">
        <v>166</v>
      </c>
      <c r="K831" t="s">
        <v>43</v>
      </c>
      <c r="L831" t="s">
        <v>147</v>
      </c>
      <c r="M831" t="s">
        <v>49</v>
      </c>
      <c r="N831" t="s">
        <v>160</v>
      </c>
      <c r="O831" t="s">
        <v>41</v>
      </c>
      <c r="P831" t="s">
        <v>148</v>
      </c>
      <c r="Q831">
        <v>18</v>
      </c>
      <c r="R831">
        <v>6</v>
      </c>
      <c r="S831">
        <v>6</v>
      </c>
      <c r="T831">
        <v>1</v>
      </c>
      <c r="U831">
        <v>2</v>
      </c>
      <c r="V831">
        <v>2</v>
      </c>
      <c r="W831">
        <v>75</v>
      </c>
      <c r="X831">
        <v>303</v>
      </c>
      <c r="Y831">
        <v>11314</v>
      </c>
      <c r="Z831">
        <v>2231</v>
      </c>
      <c r="AA831">
        <v>3</v>
      </c>
      <c r="AB831" s="29">
        <v>44773</v>
      </c>
      <c r="AC831" s="29">
        <v>32647</v>
      </c>
      <c r="AD831" s="29">
        <v>43491</v>
      </c>
      <c r="AE831" s="29"/>
      <c r="AF831">
        <v>4</v>
      </c>
      <c r="AG831" t="s">
        <v>149</v>
      </c>
      <c r="AI831">
        <v>30</v>
      </c>
      <c r="AJ831">
        <v>2</v>
      </c>
      <c r="AK831" t="s">
        <v>162</v>
      </c>
      <c r="AL831" t="s">
        <v>77</v>
      </c>
      <c r="AM831">
        <f t="shared" si="60"/>
        <v>1</v>
      </c>
      <c r="AN831">
        <f t="shared" si="61"/>
        <v>1</v>
      </c>
      <c r="AO831" t="str">
        <f t="shared" si="62"/>
        <v/>
      </c>
      <c r="AP831" t="str">
        <f t="shared" si="63"/>
        <v/>
      </c>
      <c r="AQ831">
        <f t="shared" si="64"/>
        <v>2019</v>
      </c>
    </row>
    <row r="832" spans="1:43" x14ac:dyDescent="0.35">
      <c r="A832">
        <v>791</v>
      </c>
      <c r="B832">
        <v>52</v>
      </c>
      <c r="C832" t="s">
        <v>148</v>
      </c>
      <c r="D832" t="s">
        <v>164</v>
      </c>
      <c r="E832" t="s">
        <v>4</v>
      </c>
      <c r="F832" t="s">
        <v>37</v>
      </c>
      <c r="G832" t="s">
        <v>44</v>
      </c>
      <c r="H832" t="s">
        <v>82</v>
      </c>
      <c r="I832" t="s">
        <v>43</v>
      </c>
      <c r="J832" t="s">
        <v>146</v>
      </c>
      <c r="K832" t="s">
        <v>44</v>
      </c>
      <c r="L832" t="s">
        <v>147</v>
      </c>
      <c r="M832" t="s">
        <v>49</v>
      </c>
      <c r="N832" t="s">
        <v>160</v>
      </c>
      <c r="O832" t="s">
        <v>41</v>
      </c>
      <c r="P832" t="s">
        <v>148</v>
      </c>
      <c r="Q832">
        <v>18</v>
      </c>
      <c r="R832">
        <v>0</v>
      </c>
      <c r="S832">
        <v>5</v>
      </c>
      <c r="T832">
        <v>1</v>
      </c>
      <c r="U832">
        <v>2</v>
      </c>
      <c r="V832">
        <v>19</v>
      </c>
      <c r="W832">
        <v>41</v>
      </c>
      <c r="X832">
        <v>715</v>
      </c>
      <c r="Y832">
        <v>26589</v>
      </c>
      <c r="Z832">
        <v>4258</v>
      </c>
      <c r="AA832">
        <v>3</v>
      </c>
      <c r="AB832" s="29">
        <v>44773</v>
      </c>
      <c r="AC832" s="29">
        <v>26029</v>
      </c>
      <c r="AD832" s="29">
        <v>43549</v>
      </c>
      <c r="AE832" s="29"/>
      <c r="AF832">
        <v>3</v>
      </c>
      <c r="AG832" t="s">
        <v>167</v>
      </c>
      <c r="AI832">
        <v>49</v>
      </c>
      <c r="AJ832">
        <v>1</v>
      </c>
      <c r="AK832" t="s">
        <v>170</v>
      </c>
      <c r="AL832" t="s">
        <v>77</v>
      </c>
      <c r="AM832">
        <f t="shared" si="60"/>
        <v>1</v>
      </c>
      <c r="AN832">
        <f t="shared" si="61"/>
        <v>3</v>
      </c>
      <c r="AO832" t="str">
        <f t="shared" si="62"/>
        <v/>
      </c>
      <c r="AP832" t="str">
        <f t="shared" si="63"/>
        <v/>
      </c>
      <c r="AQ832">
        <f t="shared" si="64"/>
        <v>2019</v>
      </c>
    </row>
    <row r="833" spans="1:43" x14ac:dyDescent="0.35">
      <c r="A833">
        <v>837</v>
      </c>
      <c r="B833">
        <v>38</v>
      </c>
      <c r="C833" t="s">
        <v>148</v>
      </c>
      <c r="D833" t="s">
        <v>151</v>
      </c>
      <c r="E833" t="s">
        <v>4</v>
      </c>
      <c r="F833" t="s">
        <v>38</v>
      </c>
      <c r="G833" t="s">
        <v>41</v>
      </c>
      <c r="H833" t="s">
        <v>82</v>
      </c>
      <c r="I833" t="s">
        <v>42</v>
      </c>
      <c r="J833" t="s">
        <v>161</v>
      </c>
      <c r="K833" t="s">
        <v>41</v>
      </c>
      <c r="L833" t="s">
        <v>147</v>
      </c>
      <c r="M833" t="s">
        <v>48</v>
      </c>
      <c r="N833" t="s">
        <v>96</v>
      </c>
      <c r="O833" t="s">
        <v>41</v>
      </c>
      <c r="P833" t="s">
        <v>148</v>
      </c>
      <c r="Q833">
        <v>15</v>
      </c>
      <c r="R833">
        <v>2</v>
      </c>
      <c r="S833">
        <v>13</v>
      </c>
      <c r="T833">
        <v>1</v>
      </c>
      <c r="U833">
        <v>2</v>
      </c>
      <c r="V833">
        <v>12</v>
      </c>
      <c r="W833">
        <v>45</v>
      </c>
      <c r="X833">
        <v>471</v>
      </c>
      <c r="Y833">
        <v>4284</v>
      </c>
      <c r="Z833">
        <v>6288</v>
      </c>
      <c r="AA833">
        <v>3</v>
      </c>
      <c r="AB833" s="29">
        <v>44773</v>
      </c>
      <c r="AC833" s="29">
        <v>30944</v>
      </c>
      <c r="AD833" s="29">
        <v>43586</v>
      </c>
      <c r="AE833" s="29"/>
      <c r="AF833">
        <v>3</v>
      </c>
      <c r="AG833" t="s">
        <v>149</v>
      </c>
      <c r="AI833">
        <v>35</v>
      </c>
      <c r="AJ833">
        <v>1</v>
      </c>
      <c r="AK833" t="s">
        <v>170</v>
      </c>
      <c r="AL833" t="s">
        <v>77</v>
      </c>
      <c r="AM833">
        <f t="shared" si="60"/>
        <v>2</v>
      </c>
      <c r="AN833">
        <f t="shared" si="61"/>
        <v>5</v>
      </c>
      <c r="AO833" t="str">
        <f t="shared" si="62"/>
        <v/>
      </c>
      <c r="AP833" t="str">
        <f t="shared" si="63"/>
        <v/>
      </c>
      <c r="AQ833">
        <f t="shared" si="64"/>
        <v>2019</v>
      </c>
    </row>
    <row r="834" spans="1:43" x14ac:dyDescent="0.35">
      <c r="A834">
        <v>1813</v>
      </c>
      <c r="B834">
        <v>43</v>
      </c>
      <c r="C834" t="s">
        <v>148</v>
      </c>
      <c r="D834" t="s">
        <v>164</v>
      </c>
      <c r="E834" t="s">
        <v>4</v>
      </c>
      <c r="F834" t="s">
        <v>38</v>
      </c>
      <c r="G834" t="s">
        <v>41</v>
      </c>
      <c r="H834" t="s">
        <v>82</v>
      </c>
      <c r="I834" t="s">
        <v>43</v>
      </c>
      <c r="J834" t="s">
        <v>146</v>
      </c>
      <c r="K834" t="s">
        <v>43</v>
      </c>
      <c r="L834" t="s">
        <v>147</v>
      </c>
      <c r="M834" t="s">
        <v>48</v>
      </c>
      <c r="N834" t="s">
        <v>95</v>
      </c>
      <c r="P834" t="s">
        <v>148</v>
      </c>
      <c r="Q834">
        <v>13</v>
      </c>
      <c r="R834">
        <v>4</v>
      </c>
      <c r="S834">
        <v>7</v>
      </c>
      <c r="T834">
        <v>1</v>
      </c>
      <c r="U834">
        <v>2</v>
      </c>
      <c r="V834">
        <v>9</v>
      </c>
      <c r="W834">
        <v>52</v>
      </c>
      <c r="X834">
        <v>343</v>
      </c>
      <c r="Y834">
        <v>24978</v>
      </c>
      <c r="Z834">
        <v>2438</v>
      </c>
      <c r="AA834">
        <v>2</v>
      </c>
      <c r="AB834" s="29">
        <v>44773</v>
      </c>
      <c r="AC834" s="29">
        <v>29317</v>
      </c>
      <c r="AD834" s="29">
        <v>43675</v>
      </c>
      <c r="AE834" s="29"/>
      <c r="AF834">
        <v>3</v>
      </c>
      <c r="AG834" t="s">
        <v>153</v>
      </c>
      <c r="AI834">
        <v>40</v>
      </c>
      <c r="AJ834">
        <v>1</v>
      </c>
      <c r="AK834" t="s">
        <v>170</v>
      </c>
      <c r="AL834" t="s">
        <v>78</v>
      </c>
      <c r="AM834">
        <f t="shared" ref="AM834:AM897" si="65">ROUNDUP(MONTH(AD834)/3,0)</f>
        <v>3</v>
      </c>
      <c r="AN834">
        <f t="shared" ref="AN834:AN897" si="66">MONTH(AD834)</f>
        <v>7</v>
      </c>
      <c r="AO834" t="str">
        <f t="shared" ref="AO834:AO897" si="67">IF(C834="Yes",ROUNDUP(MONTH(AE834)/3,0),"")</f>
        <v/>
      </c>
      <c r="AP834" t="str">
        <f t="shared" ref="AP834:AP897" si="68">IF(C834="Yes",MONTH(AE834),"")</f>
        <v/>
      </c>
      <c r="AQ834">
        <f t="shared" ref="AQ834:AQ897" si="69">YEAR(AD834)</f>
        <v>2019</v>
      </c>
    </row>
    <row r="835" spans="1:43" x14ac:dyDescent="0.35">
      <c r="A835">
        <v>171</v>
      </c>
      <c r="B835">
        <v>43</v>
      </c>
      <c r="C835" t="s">
        <v>148</v>
      </c>
      <c r="D835" t="s">
        <v>151</v>
      </c>
      <c r="E835" t="s">
        <v>4</v>
      </c>
      <c r="F835" t="s">
        <v>38</v>
      </c>
      <c r="G835" t="s">
        <v>42</v>
      </c>
      <c r="H835" t="s">
        <v>81</v>
      </c>
      <c r="I835" t="s">
        <v>44</v>
      </c>
      <c r="J835" t="s">
        <v>146</v>
      </c>
      <c r="K835" t="s">
        <v>43</v>
      </c>
      <c r="L835" t="s">
        <v>147</v>
      </c>
      <c r="M835" t="s">
        <v>49</v>
      </c>
      <c r="N835" t="s">
        <v>95</v>
      </c>
      <c r="P835" t="s">
        <v>148</v>
      </c>
      <c r="Q835">
        <v>12</v>
      </c>
      <c r="R835">
        <v>4</v>
      </c>
      <c r="S835">
        <v>18</v>
      </c>
      <c r="T835">
        <v>1</v>
      </c>
      <c r="U835">
        <v>2</v>
      </c>
      <c r="V835">
        <v>28</v>
      </c>
      <c r="W835">
        <v>72</v>
      </c>
      <c r="X835">
        <v>957</v>
      </c>
      <c r="Y835">
        <v>16090</v>
      </c>
      <c r="Z835">
        <v>4739</v>
      </c>
      <c r="AA835">
        <v>2</v>
      </c>
      <c r="AB835" s="29">
        <v>44773</v>
      </c>
      <c r="AC835" s="29">
        <v>29132</v>
      </c>
      <c r="AD835" s="29">
        <v>43711</v>
      </c>
      <c r="AE835" s="29"/>
      <c r="AF835">
        <v>3</v>
      </c>
      <c r="AG835" t="s">
        <v>153</v>
      </c>
      <c r="AI835">
        <v>40</v>
      </c>
      <c r="AJ835">
        <v>1</v>
      </c>
      <c r="AK835" t="s">
        <v>170</v>
      </c>
      <c r="AL835" t="s">
        <v>77</v>
      </c>
      <c r="AM835">
        <f t="shared" si="65"/>
        <v>3</v>
      </c>
      <c r="AN835">
        <f t="shared" si="66"/>
        <v>9</v>
      </c>
      <c r="AO835" t="str">
        <f t="shared" si="67"/>
        <v/>
      </c>
      <c r="AP835" t="str">
        <f t="shared" si="68"/>
        <v/>
      </c>
      <c r="AQ835">
        <f t="shared" si="69"/>
        <v>2019</v>
      </c>
    </row>
    <row r="836" spans="1:43" x14ac:dyDescent="0.35">
      <c r="A836">
        <v>1096</v>
      </c>
      <c r="B836">
        <v>55</v>
      </c>
      <c r="C836" t="s">
        <v>148</v>
      </c>
      <c r="D836" t="s">
        <v>151</v>
      </c>
      <c r="E836" t="s">
        <v>4</v>
      </c>
      <c r="F836" t="s">
        <v>35</v>
      </c>
      <c r="G836" t="s">
        <v>44</v>
      </c>
      <c r="H836" t="s">
        <v>82</v>
      </c>
      <c r="I836" t="s">
        <v>43</v>
      </c>
      <c r="J836" t="s">
        <v>165</v>
      </c>
      <c r="K836" t="s">
        <v>42</v>
      </c>
      <c r="L836" t="s">
        <v>147</v>
      </c>
      <c r="M836" t="s">
        <v>49</v>
      </c>
      <c r="N836" t="s">
        <v>160</v>
      </c>
      <c r="O836" t="s">
        <v>41</v>
      </c>
      <c r="P836" t="s">
        <v>148</v>
      </c>
      <c r="Q836">
        <v>18</v>
      </c>
      <c r="R836">
        <v>3</v>
      </c>
      <c r="S836">
        <v>23</v>
      </c>
      <c r="T836">
        <v>1</v>
      </c>
      <c r="U836">
        <v>2</v>
      </c>
      <c r="V836">
        <v>2</v>
      </c>
      <c r="W836">
        <v>65</v>
      </c>
      <c r="X836">
        <v>1091</v>
      </c>
      <c r="Y836">
        <v>15813</v>
      </c>
      <c r="Z836">
        <v>10976</v>
      </c>
      <c r="AA836">
        <v>4</v>
      </c>
      <c r="AB836" s="29">
        <v>44773</v>
      </c>
      <c r="AC836" s="29">
        <v>25048</v>
      </c>
      <c r="AD836" s="29">
        <v>43752</v>
      </c>
      <c r="AE836" s="29"/>
      <c r="AF836">
        <v>3</v>
      </c>
      <c r="AG836" t="s">
        <v>167</v>
      </c>
      <c r="AI836">
        <v>52</v>
      </c>
      <c r="AJ836">
        <v>2</v>
      </c>
      <c r="AK836" t="s">
        <v>170</v>
      </c>
      <c r="AL836" t="s">
        <v>77</v>
      </c>
      <c r="AM836">
        <f t="shared" si="65"/>
        <v>4</v>
      </c>
      <c r="AN836">
        <f t="shared" si="66"/>
        <v>10</v>
      </c>
      <c r="AO836" t="str">
        <f t="shared" si="67"/>
        <v/>
      </c>
      <c r="AP836" t="str">
        <f t="shared" si="68"/>
        <v/>
      </c>
      <c r="AQ836">
        <f t="shared" si="69"/>
        <v>2019</v>
      </c>
    </row>
    <row r="837" spans="1:43" x14ac:dyDescent="0.35">
      <c r="A837">
        <v>396</v>
      </c>
      <c r="B837">
        <v>49</v>
      </c>
      <c r="C837" t="s">
        <v>148</v>
      </c>
      <c r="D837" t="s">
        <v>151</v>
      </c>
      <c r="E837" t="s">
        <v>4</v>
      </c>
      <c r="F837" t="s">
        <v>37</v>
      </c>
      <c r="G837" t="s">
        <v>43</v>
      </c>
      <c r="H837" t="s">
        <v>81</v>
      </c>
      <c r="I837" t="s">
        <v>43</v>
      </c>
      <c r="J837" t="s">
        <v>173</v>
      </c>
      <c r="K837" t="s">
        <v>41</v>
      </c>
      <c r="L837" t="s">
        <v>147</v>
      </c>
      <c r="M837" t="s">
        <v>49</v>
      </c>
      <c r="N837" t="s">
        <v>95</v>
      </c>
      <c r="P837" t="s">
        <v>144</v>
      </c>
      <c r="Q837">
        <v>11</v>
      </c>
      <c r="R837">
        <v>9</v>
      </c>
      <c r="S837">
        <v>22</v>
      </c>
      <c r="T837">
        <v>1</v>
      </c>
      <c r="U837">
        <v>2</v>
      </c>
      <c r="V837">
        <v>10</v>
      </c>
      <c r="W837">
        <v>35</v>
      </c>
      <c r="X837">
        <v>636</v>
      </c>
      <c r="Y837">
        <v>25594</v>
      </c>
      <c r="Z837">
        <v>18665</v>
      </c>
      <c r="AA837">
        <v>4</v>
      </c>
      <c r="AB837" s="29">
        <v>44773</v>
      </c>
      <c r="AC837" s="29">
        <v>27070</v>
      </c>
      <c r="AD837" s="29">
        <v>43788</v>
      </c>
      <c r="AE837" s="29"/>
      <c r="AF837">
        <v>3</v>
      </c>
      <c r="AG837" t="s">
        <v>153</v>
      </c>
      <c r="AI837">
        <v>46</v>
      </c>
      <c r="AJ837">
        <v>1</v>
      </c>
      <c r="AK837" t="s">
        <v>170</v>
      </c>
      <c r="AL837" t="s">
        <v>77</v>
      </c>
      <c r="AM837">
        <f t="shared" si="65"/>
        <v>4</v>
      </c>
      <c r="AN837">
        <f t="shared" si="66"/>
        <v>11</v>
      </c>
      <c r="AO837" t="str">
        <f t="shared" si="67"/>
        <v/>
      </c>
      <c r="AP837" t="str">
        <f t="shared" si="68"/>
        <v/>
      </c>
      <c r="AQ837">
        <f t="shared" si="69"/>
        <v>2019</v>
      </c>
    </row>
    <row r="838" spans="1:43" x14ac:dyDescent="0.35">
      <c r="A838">
        <v>523</v>
      </c>
      <c r="B838">
        <v>34</v>
      </c>
      <c r="C838" t="s">
        <v>148</v>
      </c>
      <c r="D838" t="s">
        <v>164</v>
      </c>
      <c r="E838" t="s">
        <v>158</v>
      </c>
      <c r="F838" t="s">
        <v>37</v>
      </c>
      <c r="G838" t="s">
        <v>43</v>
      </c>
      <c r="H838" t="s">
        <v>81</v>
      </c>
      <c r="I838" t="s">
        <v>43</v>
      </c>
      <c r="J838" t="s">
        <v>159</v>
      </c>
      <c r="K838" t="s">
        <v>43</v>
      </c>
      <c r="L838" t="s">
        <v>147</v>
      </c>
      <c r="M838" t="s">
        <v>49</v>
      </c>
      <c r="N838" t="s">
        <v>160</v>
      </c>
      <c r="O838" t="s">
        <v>41</v>
      </c>
      <c r="P838" t="s">
        <v>148</v>
      </c>
      <c r="Q838">
        <v>15</v>
      </c>
      <c r="R838">
        <v>9</v>
      </c>
      <c r="S838">
        <v>6</v>
      </c>
      <c r="T838">
        <v>1</v>
      </c>
      <c r="U838">
        <v>2</v>
      </c>
      <c r="V838">
        <v>4</v>
      </c>
      <c r="W838">
        <v>72</v>
      </c>
      <c r="X838">
        <v>1381</v>
      </c>
      <c r="Y838">
        <v>12740</v>
      </c>
      <c r="Z838">
        <v>6538</v>
      </c>
      <c r="AA838">
        <v>3</v>
      </c>
      <c r="AB838" s="29">
        <v>44773</v>
      </c>
      <c r="AC838" s="29">
        <v>32492</v>
      </c>
      <c r="AD838" s="29">
        <v>43848</v>
      </c>
      <c r="AE838" s="29"/>
      <c r="AF838">
        <v>3</v>
      </c>
      <c r="AG838" t="s">
        <v>149</v>
      </c>
      <c r="AI838">
        <v>31</v>
      </c>
      <c r="AJ838">
        <v>1</v>
      </c>
      <c r="AK838" t="s">
        <v>170</v>
      </c>
      <c r="AL838" t="s">
        <v>77</v>
      </c>
      <c r="AM838">
        <f t="shared" si="65"/>
        <v>1</v>
      </c>
      <c r="AN838">
        <f t="shared" si="66"/>
        <v>1</v>
      </c>
      <c r="AO838" t="str">
        <f t="shared" si="67"/>
        <v/>
      </c>
      <c r="AP838" t="str">
        <f t="shared" si="68"/>
        <v/>
      </c>
      <c r="AQ838">
        <f t="shared" si="69"/>
        <v>2020</v>
      </c>
    </row>
    <row r="839" spans="1:43" x14ac:dyDescent="0.35">
      <c r="A839">
        <v>1929</v>
      </c>
      <c r="B839">
        <v>39</v>
      </c>
      <c r="C839" t="s">
        <v>148</v>
      </c>
      <c r="D839" t="s">
        <v>164</v>
      </c>
      <c r="E839" t="s">
        <v>158</v>
      </c>
      <c r="F839" t="s">
        <v>37</v>
      </c>
      <c r="G839" t="s">
        <v>41</v>
      </c>
      <c r="H839" t="s">
        <v>81</v>
      </c>
      <c r="I839" t="s">
        <v>41</v>
      </c>
      <c r="J839" t="s">
        <v>159</v>
      </c>
      <c r="K839" t="s">
        <v>43</v>
      </c>
      <c r="L839" t="s">
        <v>147</v>
      </c>
      <c r="M839" t="s">
        <v>49</v>
      </c>
      <c r="N839" t="s">
        <v>160</v>
      </c>
      <c r="O839" t="s">
        <v>41</v>
      </c>
      <c r="P839" t="s">
        <v>148</v>
      </c>
      <c r="Q839">
        <v>19</v>
      </c>
      <c r="R839">
        <v>6</v>
      </c>
      <c r="S839">
        <v>10</v>
      </c>
      <c r="T839">
        <v>1</v>
      </c>
      <c r="U839">
        <v>2</v>
      </c>
      <c r="V839">
        <v>21</v>
      </c>
      <c r="W839">
        <v>32</v>
      </c>
      <c r="X839">
        <v>1251</v>
      </c>
      <c r="Y839">
        <v>3987</v>
      </c>
      <c r="Z839">
        <v>5736</v>
      </c>
      <c r="AA839">
        <v>1</v>
      </c>
      <c r="AB839" s="29">
        <v>44773</v>
      </c>
      <c r="AC839" s="29">
        <v>30634</v>
      </c>
      <c r="AD839" s="29">
        <v>43848</v>
      </c>
      <c r="AE839" s="29"/>
      <c r="AF839">
        <v>3</v>
      </c>
      <c r="AG839" t="s">
        <v>149</v>
      </c>
      <c r="AI839">
        <v>36</v>
      </c>
      <c r="AJ839">
        <v>2</v>
      </c>
      <c r="AK839" t="s">
        <v>170</v>
      </c>
      <c r="AL839" t="s">
        <v>77</v>
      </c>
      <c r="AM839">
        <f t="shared" si="65"/>
        <v>1</v>
      </c>
      <c r="AN839">
        <f t="shared" si="66"/>
        <v>1</v>
      </c>
      <c r="AO839" t="str">
        <f t="shared" si="67"/>
        <v/>
      </c>
      <c r="AP839" t="str">
        <f t="shared" si="68"/>
        <v/>
      </c>
      <c r="AQ839">
        <f t="shared" si="69"/>
        <v>2020</v>
      </c>
    </row>
    <row r="840" spans="1:43" x14ac:dyDescent="0.35">
      <c r="A840">
        <v>1094</v>
      </c>
      <c r="B840">
        <v>27</v>
      </c>
      <c r="C840" t="s">
        <v>148</v>
      </c>
      <c r="D840" t="s">
        <v>164</v>
      </c>
      <c r="E840" t="s">
        <v>4</v>
      </c>
      <c r="F840" t="s">
        <v>34</v>
      </c>
      <c r="G840" t="s">
        <v>41</v>
      </c>
      <c r="H840" t="s">
        <v>82</v>
      </c>
      <c r="I840" t="s">
        <v>41</v>
      </c>
      <c r="J840" t="s">
        <v>155</v>
      </c>
      <c r="K840" t="s">
        <v>43</v>
      </c>
      <c r="L840" t="s">
        <v>147</v>
      </c>
      <c r="M840" t="s">
        <v>49</v>
      </c>
      <c r="N840" t="s">
        <v>160</v>
      </c>
      <c r="O840" t="s">
        <v>43</v>
      </c>
      <c r="P840" t="s">
        <v>148</v>
      </c>
      <c r="Q840">
        <v>19</v>
      </c>
      <c r="R840">
        <v>1</v>
      </c>
      <c r="S840">
        <v>3</v>
      </c>
      <c r="T840">
        <v>1</v>
      </c>
      <c r="U840">
        <v>2</v>
      </c>
      <c r="V840">
        <v>8</v>
      </c>
      <c r="W840">
        <v>87</v>
      </c>
      <c r="X840">
        <v>1277</v>
      </c>
      <c r="Y840">
        <v>5869</v>
      </c>
      <c r="Z840">
        <v>4621</v>
      </c>
      <c r="AA840">
        <v>4</v>
      </c>
      <c r="AB840" s="29">
        <v>44773</v>
      </c>
      <c r="AC840" s="29">
        <v>34964</v>
      </c>
      <c r="AD840" s="29">
        <v>43889</v>
      </c>
      <c r="AE840" s="29"/>
      <c r="AF840">
        <v>2</v>
      </c>
      <c r="AG840" t="s">
        <v>157</v>
      </c>
      <c r="AI840">
        <v>25</v>
      </c>
      <c r="AJ840">
        <v>1</v>
      </c>
      <c r="AK840" t="s">
        <v>170</v>
      </c>
      <c r="AL840" t="s">
        <v>77</v>
      </c>
      <c r="AM840">
        <f t="shared" si="65"/>
        <v>1</v>
      </c>
      <c r="AN840">
        <f t="shared" si="66"/>
        <v>2</v>
      </c>
      <c r="AO840" t="str">
        <f t="shared" si="67"/>
        <v/>
      </c>
      <c r="AP840" t="str">
        <f t="shared" si="68"/>
        <v/>
      </c>
      <c r="AQ840">
        <f t="shared" si="69"/>
        <v>2020</v>
      </c>
    </row>
    <row r="841" spans="1:43" x14ac:dyDescent="0.35">
      <c r="A841">
        <v>1662</v>
      </c>
      <c r="B841">
        <v>36</v>
      </c>
      <c r="C841" t="s">
        <v>148</v>
      </c>
      <c r="D841" t="s">
        <v>164</v>
      </c>
      <c r="E841" t="s">
        <v>4</v>
      </c>
      <c r="F841" t="s">
        <v>37</v>
      </c>
      <c r="G841" t="s">
        <v>44</v>
      </c>
      <c r="H841" t="s">
        <v>81</v>
      </c>
      <c r="I841" t="s">
        <v>42</v>
      </c>
      <c r="J841" t="s">
        <v>165</v>
      </c>
      <c r="K841" t="s">
        <v>43</v>
      </c>
      <c r="L841" t="s">
        <v>147</v>
      </c>
      <c r="M841" t="s">
        <v>49</v>
      </c>
      <c r="N841" t="s">
        <v>160</v>
      </c>
      <c r="P841" t="s">
        <v>148</v>
      </c>
      <c r="Q841">
        <v>15</v>
      </c>
      <c r="R841">
        <v>0</v>
      </c>
      <c r="S841">
        <v>4</v>
      </c>
      <c r="T841">
        <v>1</v>
      </c>
      <c r="U841">
        <v>2</v>
      </c>
      <c r="V841">
        <v>1</v>
      </c>
      <c r="W841">
        <v>33</v>
      </c>
      <c r="X841">
        <v>894</v>
      </c>
      <c r="Y841">
        <v>15411</v>
      </c>
      <c r="Z841">
        <v>4374</v>
      </c>
      <c r="AA841">
        <v>6</v>
      </c>
      <c r="AB841" s="29">
        <v>44773</v>
      </c>
      <c r="AC841" s="29">
        <v>31954</v>
      </c>
      <c r="AD841" s="29">
        <v>43895</v>
      </c>
      <c r="AE841" s="29"/>
      <c r="AF841">
        <v>2</v>
      </c>
      <c r="AG841" t="s">
        <v>149</v>
      </c>
      <c r="AI841">
        <v>34</v>
      </c>
      <c r="AJ841">
        <v>1</v>
      </c>
      <c r="AK841" t="s">
        <v>170</v>
      </c>
      <c r="AL841" t="s">
        <v>77</v>
      </c>
      <c r="AM841">
        <f t="shared" si="65"/>
        <v>1</v>
      </c>
      <c r="AN841">
        <f t="shared" si="66"/>
        <v>3</v>
      </c>
      <c r="AO841" t="str">
        <f t="shared" si="67"/>
        <v/>
      </c>
      <c r="AP841" t="str">
        <f t="shared" si="68"/>
        <v/>
      </c>
      <c r="AQ841">
        <f t="shared" si="69"/>
        <v>2020</v>
      </c>
    </row>
    <row r="842" spans="1:43" x14ac:dyDescent="0.35">
      <c r="A842">
        <v>88</v>
      </c>
      <c r="B842">
        <v>35</v>
      </c>
      <c r="C842" t="s">
        <v>148</v>
      </c>
      <c r="D842" t="s">
        <v>151</v>
      </c>
      <c r="E842" t="s">
        <v>4</v>
      </c>
      <c r="F842" t="s">
        <v>38</v>
      </c>
      <c r="G842" t="s">
        <v>42</v>
      </c>
      <c r="H842" t="s">
        <v>82</v>
      </c>
      <c r="I842" t="s">
        <v>43</v>
      </c>
      <c r="J842" t="s">
        <v>146</v>
      </c>
      <c r="K842" t="s">
        <v>41</v>
      </c>
      <c r="L842" t="s">
        <v>147</v>
      </c>
      <c r="M842" t="s">
        <v>48</v>
      </c>
      <c r="N842" t="s">
        <v>160</v>
      </c>
      <c r="O842" t="s">
        <v>41</v>
      </c>
      <c r="P842" t="s">
        <v>148</v>
      </c>
      <c r="Q842">
        <v>13</v>
      </c>
      <c r="R842">
        <v>4</v>
      </c>
      <c r="S842">
        <v>5</v>
      </c>
      <c r="T842">
        <v>1</v>
      </c>
      <c r="U842">
        <v>2</v>
      </c>
      <c r="V842">
        <v>1</v>
      </c>
      <c r="W842">
        <v>79</v>
      </c>
      <c r="X842">
        <v>664</v>
      </c>
      <c r="Y842">
        <v>5868</v>
      </c>
      <c r="Z842">
        <v>2194</v>
      </c>
      <c r="AA842">
        <v>2</v>
      </c>
      <c r="AB842" s="29">
        <v>44773</v>
      </c>
      <c r="AC842" s="29">
        <v>32092</v>
      </c>
      <c r="AD842" s="29">
        <v>43913</v>
      </c>
      <c r="AE842" s="29"/>
      <c r="AF842">
        <v>2</v>
      </c>
      <c r="AG842" t="s">
        <v>149</v>
      </c>
      <c r="AI842">
        <v>33</v>
      </c>
      <c r="AJ842">
        <v>2</v>
      </c>
      <c r="AK842" t="s">
        <v>170</v>
      </c>
      <c r="AL842" t="s">
        <v>77</v>
      </c>
      <c r="AM842">
        <f t="shared" si="65"/>
        <v>1</v>
      </c>
      <c r="AN842">
        <f t="shared" si="66"/>
        <v>3</v>
      </c>
      <c r="AO842" t="str">
        <f t="shared" si="67"/>
        <v/>
      </c>
      <c r="AP842" t="str">
        <f t="shared" si="68"/>
        <v/>
      </c>
      <c r="AQ842">
        <f t="shared" si="69"/>
        <v>2020</v>
      </c>
    </row>
    <row r="843" spans="1:43" x14ac:dyDescent="0.35">
      <c r="A843">
        <v>132</v>
      </c>
      <c r="B843">
        <v>44</v>
      </c>
      <c r="C843" t="s">
        <v>148</v>
      </c>
      <c r="D843" t="s">
        <v>164</v>
      </c>
      <c r="E843" t="s">
        <v>4</v>
      </c>
      <c r="F843" t="s">
        <v>38</v>
      </c>
      <c r="G843" t="s">
        <v>42</v>
      </c>
      <c r="H843" t="s">
        <v>82</v>
      </c>
      <c r="I843" t="s">
        <v>43</v>
      </c>
      <c r="J843" t="s">
        <v>155</v>
      </c>
      <c r="K843" t="s">
        <v>42</v>
      </c>
      <c r="L843" t="s">
        <v>147</v>
      </c>
      <c r="M843" t="s">
        <v>50</v>
      </c>
      <c r="N843" t="s">
        <v>160</v>
      </c>
      <c r="O843" t="s">
        <v>41</v>
      </c>
      <c r="P843" t="s">
        <v>148</v>
      </c>
      <c r="Q843">
        <v>12</v>
      </c>
      <c r="R843">
        <v>4</v>
      </c>
      <c r="S843">
        <v>17</v>
      </c>
      <c r="T843">
        <v>1</v>
      </c>
      <c r="U843">
        <v>2</v>
      </c>
      <c r="V843">
        <v>23</v>
      </c>
      <c r="W843">
        <v>67</v>
      </c>
      <c r="X843">
        <v>489</v>
      </c>
      <c r="Y843">
        <v>25043</v>
      </c>
      <c r="Z843">
        <v>2042</v>
      </c>
      <c r="AA843">
        <v>3</v>
      </c>
      <c r="AB843" s="29">
        <v>44773</v>
      </c>
      <c r="AC843" s="29">
        <v>28970</v>
      </c>
      <c r="AD843" s="29">
        <v>43972</v>
      </c>
      <c r="AE843" s="29"/>
      <c r="AF843">
        <v>2</v>
      </c>
      <c r="AG843" t="s">
        <v>153</v>
      </c>
      <c r="AI843">
        <v>42</v>
      </c>
      <c r="AJ843">
        <v>2</v>
      </c>
      <c r="AK843" t="s">
        <v>170</v>
      </c>
      <c r="AL843" t="s">
        <v>77</v>
      </c>
      <c r="AM843">
        <f t="shared" si="65"/>
        <v>2</v>
      </c>
      <c r="AN843">
        <f t="shared" si="66"/>
        <v>5</v>
      </c>
      <c r="AO843" t="str">
        <f t="shared" si="67"/>
        <v/>
      </c>
      <c r="AP843" t="str">
        <f t="shared" si="68"/>
        <v/>
      </c>
      <c r="AQ843">
        <f t="shared" si="69"/>
        <v>2020</v>
      </c>
    </row>
    <row r="844" spans="1:43" x14ac:dyDescent="0.35">
      <c r="A844">
        <v>1722</v>
      </c>
      <c r="B844">
        <v>41</v>
      </c>
      <c r="C844" t="s">
        <v>148</v>
      </c>
      <c r="D844" t="s">
        <v>164</v>
      </c>
      <c r="E844" t="s">
        <v>168</v>
      </c>
      <c r="F844" t="s">
        <v>38</v>
      </c>
      <c r="G844" t="s">
        <v>43</v>
      </c>
      <c r="H844" t="s">
        <v>82</v>
      </c>
      <c r="I844" t="s">
        <v>41</v>
      </c>
      <c r="J844" t="s">
        <v>168</v>
      </c>
      <c r="K844" t="s">
        <v>42</v>
      </c>
      <c r="L844" t="s">
        <v>147</v>
      </c>
      <c r="M844" t="s">
        <v>49</v>
      </c>
      <c r="N844" t="s">
        <v>160</v>
      </c>
      <c r="O844" t="s">
        <v>41</v>
      </c>
      <c r="P844" t="s">
        <v>148</v>
      </c>
      <c r="Q844">
        <v>19</v>
      </c>
      <c r="R844">
        <v>6</v>
      </c>
      <c r="S844">
        <v>10</v>
      </c>
      <c r="T844">
        <v>1</v>
      </c>
      <c r="U844">
        <v>2</v>
      </c>
      <c r="V844">
        <v>4</v>
      </c>
      <c r="W844">
        <v>60</v>
      </c>
      <c r="X844">
        <v>552</v>
      </c>
      <c r="Y844">
        <v>20794</v>
      </c>
      <c r="Z844">
        <v>6430</v>
      </c>
      <c r="AA844">
        <v>4</v>
      </c>
      <c r="AB844" s="29">
        <v>44773</v>
      </c>
      <c r="AC844" s="29">
        <v>30030</v>
      </c>
      <c r="AD844" s="29">
        <v>43978</v>
      </c>
      <c r="AE844" s="29"/>
      <c r="AF844">
        <v>2</v>
      </c>
      <c r="AG844" t="s">
        <v>153</v>
      </c>
      <c r="AI844">
        <v>39</v>
      </c>
      <c r="AJ844">
        <v>1</v>
      </c>
      <c r="AK844" t="s">
        <v>170</v>
      </c>
      <c r="AL844" t="s">
        <v>78</v>
      </c>
      <c r="AM844">
        <f t="shared" si="65"/>
        <v>2</v>
      </c>
      <c r="AN844">
        <f t="shared" si="66"/>
        <v>5</v>
      </c>
      <c r="AO844" t="str">
        <f t="shared" si="67"/>
        <v/>
      </c>
      <c r="AP844" t="str">
        <f t="shared" si="68"/>
        <v/>
      </c>
      <c r="AQ844">
        <f t="shared" si="69"/>
        <v>2020</v>
      </c>
    </row>
    <row r="845" spans="1:43" x14ac:dyDescent="0.35">
      <c r="A845">
        <v>1185</v>
      </c>
      <c r="B845">
        <v>35</v>
      </c>
      <c r="C845" t="s">
        <v>148</v>
      </c>
      <c r="D845" t="s">
        <v>151</v>
      </c>
      <c r="E845" t="s">
        <v>4</v>
      </c>
      <c r="F845" t="s">
        <v>37</v>
      </c>
      <c r="G845" t="s">
        <v>44</v>
      </c>
      <c r="H845" t="s">
        <v>82</v>
      </c>
      <c r="I845" t="s">
        <v>42</v>
      </c>
      <c r="J845" t="s">
        <v>155</v>
      </c>
      <c r="K845" t="s">
        <v>44</v>
      </c>
      <c r="L845" t="s">
        <v>147</v>
      </c>
      <c r="M845" t="s">
        <v>50</v>
      </c>
      <c r="N845" t="s">
        <v>160</v>
      </c>
      <c r="O845" t="s">
        <v>41</v>
      </c>
      <c r="P845" t="s">
        <v>148</v>
      </c>
      <c r="Q845">
        <v>13</v>
      </c>
      <c r="R845">
        <v>1</v>
      </c>
      <c r="S845">
        <v>2</v>
      </c>
      <c r="T845">
        <v>1</v>
      </c>
      <c r="U845">
        <v>1</v>
      </c>
      <c r="V845">
        <v>4</v>
      </c>
      <c r="W845">
        <v>47</v>
      </c>
      <c r="X845">
        <v>636</v>
      </c>
      <c r="Y845">
        <v>26537</v>
      </c>
      <c r="Z845">
        <v>2376</v>
      </c>
      <c r="AA845">
        <v>2</v>
      </c>
      <c r="AB845" s="29">
        <v>44773</v>
      </c>
      <c r="AC845" s="29">
        <v>32019</v>
      </c>
      <c r="AD845" s="29">
        <v>44240</v>
      </c>
      <c r="AE845" s="29"/>
      <c r="AF845">
        <v>1</v>
      </c>
      <c r="AG845" t="s">
        <v>149</v>
      </c>
      <c r="AI845">
        <v>34</v>
      </c>
      <c r="AJ845">
        <v>1</v>
      </c>
      <c r="AK845" t="s">
        <v>170</v>
      </c>
      <c r="AL845" t="s">
        <v>78</v>
      </c>
      <c r="AM845">
        <f t="shared" si="65"/>
        <v>1</v>
      </c>
      <c r="AN845">
        <f t="shared" si="66"/>
        <v>2</v>
      </c>
      <c r="AO845" t="str">
        <f t="shared" si="67"/>
        <v/>
      </c>
      <c r="AP845" t="str">
        <f t="shared" si="68"/>
        <v/>
      </c>
      <c r="AQ845">
        <f t="shared" si="69"/>
        <v>2021</v>
      </c>
    </row>
    <row r="846" spans="1:43" x14ac:dyDescent="0.35">
      <c r="A846">
        <v>1044</v>
      </c>
      <c r="B846">
        <v>33</v>
      </c>
      <c r="C846" t="s">
        <v>148</v>
      </c>
      <c r="D846" t="s">
        <v>164</v>
      </c>
      <c r="E846" t="s">
        <v>158</v>
      </c>
      <c r="F846" t="s">
        <v>35</v>
      </c>
      <c r="G846" t="s">
        <v>42</v>
      </c>
      <c r="H846" t="s">
        <v>81</v>
      </c>
      <c r="I846" t="s">
        <v>42</v>
      </c>
      <c r="J846" t="s">
        <v>166</v>
      </c>
      <c r="K846" t="s">
        <v>44</v>
      </c>
      <c r="L846" t="s">
        <v>147</v>
      </c>
      <c r="M846" t="s">
        <v>48</v>
      </c>
      <c r="N846" t="s">
        <v>95</v>
      </c>
      <c r="P846" t="s">
        <v>148</v>
      </c>
      <c r="Q846">
        <v>19</v>
      </c>
      <c r="R846">
        <v>0</v>
      </c>
      <c r="S846">
        <v>3</v>
      </c>
      <c r="T846">
        <v>1</v>
      </c>
      <c r="U846">
        <v>1</v>
      </c>
      <c r="V846">
        <v>8</v>
      </c>
      <c r="W846">
        <v>88</v>
      </c>
      <c r="X846">
        <v>1038</v>
      </c>
      <c r="Y846">
        <v>21437</v>
      </c>
      <c r="Z846">
        <v>2342</v>
      </c>
      <c r="AA846">
        <v>2</v>
      </c>
      <c r="AB846" s="29">
        <v>44773</v>
      </c>
      <c r="AC846" s="29">
        <v>33077</v>
      </c>
      <c r="AD846" s="29">
        <v>44243</v>
      </c>
      <c r="AE846" s="29"/>
      <c r="AF846">
        <v>1</v>
      </c>
      <c r="AG846" t="s">
        <v>149</v>
      </c>
      <c r="AI846">
        <v>32</v>
      </c>
      <c r="AJ846">
        <v>1</v>
      </c>
      <c r="AK846" t="s">
        <v>170</v>
      </c>
      <c r="AL846" t="s">
        <v>77</v>
      </c>
      <c r="AM846">
        <f t="shared" si="65"/>
        <v>1</v>
      </c>
      <c r="AN846">
        <f t="shared" si="66"/>
        <v>2</v>
      </c>
      <c r="AO846" t="str">
        <f t="shared" si="67"/>
        <v/>
      </c>
      <c r="AP846" t="str">
        <f t="shared" si="68"/>
        <v/>
      </c>
      <c r="AQ846">
        <f t="shared" si="69"/>
        <v>2021</v>
      </c>
    </row>
    <row r="847" spans="1:43" x14ac:dyDescent="0.35">
      <c r="A847">
        <v>1296</v>
      </c>
      <c r="B847">
        <v>28</v>
      </c>
      <c r="C847" t="s">
        <v>148</v>
      </c>
      <c r="D847" t="s">
        <v>151</v>
      </c>
      <c r="E847" t="s">
        <v>4</v>
      </c>
      <c r="F847" t="s">
        <v>38</v>
      </c>
      <c r="G847" t="s">
        <v>44</v>
      </c>
      <c r="H847" t="s">
        <v>82</v>
      </c>
      <c r="I847" t="s">
        <v>42</v>
      </c>
      <c r="J847" t="s">
        <v>155</v>
      </c>
      <c r="K847" t="s">
        <v>44</v>
      </c>
      <c r="L847" t="s">
        <v>147</v>
      </c>
      <c r="M847" t="s">
        <v>49</v>
      </c>
      <c r="N847" t="s">
        <v>160</v>
      </c>
      <c r="O847" t="s">
        <v>41</v>
      </c>
      <c r="P847" t="s">
        <v>144</v>
      </c>
      <c r="Q847">
        <v>12</v>
      </c>
      <c r="R847">
        <v>1</v>
      </c>
      <c r="S847">
        <v>2</v>
      </c>
      <c r="T847">
        <v>1</v>
      </c>
      <c r="U847">
        <v>1</v>
      </c>
      <c r="V847">
        <v>2</v>
      </c>
      <c r="W847">
        <v>52</v>
      </c>
      <c r="X847">
        <v>193</v>
      </c>
      <c r="Y847">
        <v>14222</v>
      </c>
      <c r="Z847">
        <v>3867</v>
      </c>
      <c r="AA847">
        <v>2</v>
      </c>
      <c r="AB847" s="29">
        <v>44773</v>
      </c>
      <c r="AC847" s="29">
        <v>34792</v>
      </c>
      <c r="AD847" s="29">
        <v>44290</v>
      </c>
      <c r="AE847" s="29"/>
      <c r="AF847">
        <v>1</v>
      </c>
      <c r="AG847" t="s">
        <v>157</v>
      </c>
      <c r="AI847">
        <v>27</v>
      </c>
      <c r="AJ847">
        <v>1</v>
      </c>
      <c r="AK847" t="s">
        <v>170</v>
      </c>
      <c r="AL847" t="s">
        <v>77</v>
      </c>
      <c r="AM847">
        <f t="shared" si="65"/>
        <v>2</v>
      </c>
      <c r="AN847">
        <f t="shared" si="66"/>
        <v>4</v>
      </c>
      <c r="AO847" t="str">
        <f t="shared" si="67"/>
        <v/>
      </c>
      <c r="AP847" t="str">
        <f t="shared" si="68"/>
        <v/>
      </c>
      <c r="AQ847">
        <f t="shared" si="69"/>
        <v>2021</v>
      </c>
    </row>
    <row r="848" spans="1:43" x14ac:dyDescent="0.35">
      <c r="A848">
        <v>591</v>
      </c>
      <c r="B848">
        <v>42</v>
      </c>
      <c r="C848" t="s">
        <v>148</v>
      </c>
      <c r="D848" t="s">
        <v>151</v>
      </c>
      <c r="E848" t="s">
        <v>4</v>
      </c>
      <c r="F848" t="s">
        <v>36</v>
      </c>
      <c r="G848" t="s">
        <v>42</v>
      </c>
      <c r="H848" t="s">
        <v>82</v>
      </c>
      <c r="I848" t="s">
        <v>43</v>
      </c>
      <c r="J848" t="s">
        <v>155</v>
      </c>
      <c r="K848" t="s">
        <v>43</v>
      </c>
      <c r="L848" t="s">
        <v>147</v>
      </c>
      <c r="M848" t="s">
        <v>49</v>
      </c>
      <c r="N848" t="s">
        <v>160</v>
      </c>
      <c r="O848" t="s">
        <v>41</v>
      </c>
      <c r="P848" t="s">
        <v>148</v>
      </c>
      <c r="Q848">
        <v>17</v>
      </c>
      <c r="R848">
        <v>4</v>
      </c>
      <c r="S848">
        <v>8</v>
      </c>
      <c r="T848">
        <v>1</v>
      </c>
      <c r="U848">
        <v>0</v>
      </c>
      <c r="V848">
        <v>5</v>
      </c>
      <c r="W848">
        <v>97</v>
      </c>
      <c r="X848">
        <v>1474</v>
      </c>
      <c r="Y848">
        <v>9260</v>
      </c>
      <c r="Z848">
        <v>2093</v>
      </c>
      <c r="AA848">
        <v>4</v>
      </c>
      <c r="AB848" s="29">
        <v>44773</v>
      </c>
      <c r="AC848" s="29">
        <v>29605</v>
      </c>
      <c r="AD848" s="29">
        <v>44304</v>
      </c>
      <c r="AE848" s="29"/>
      <c r="AF848">
        <v>1</v>
      </c>
      <c r="AG848" t="s">
        <v>153</v>
      </c>
      <c r="AI848">
        <v>41</v>
      </c>
      <c r="AJ848">
        <v>1</v>
      </c>
      <c r="AK848" t="s">
        <v>170</v>
      </c>
      <c r="AL848" t="s">
        <v>77</v>
      </c>
      <c r="AM848">
        <f t="shared" si="65"/>
        <v>2</v>
      </c>
      <c r="AN848">
        <f t="shared" si="66"/>
        <v>4</v>
      </c>
      <c r="AO848" t="str">
        <f t="shared" si="67"/>
        <v/>
      </c>
      <c r="AP848" t="str">
        <f t="shared" si="68"/>
        <v/>
      </c>
      <c r="AQ848">
        <f t="shared" si="69"/>
        <v>2021</v>
      </c>
    </row>
    <row r="849" spans="1:43" x14ac:dyDescent="0.35">
      <c r="A849">
        <v>875</v>
      </c>
      <c r="B849">
        <v>42</v>
      </c>
      <c r="C849" t="s">
        <v>148</v>
      </c>
      <c r="D849" t="s">
        <v>151</v>
      </c>
      <c r="E849" t="s">
        <v>4</v>
      </c>
      <c r="F849" t="s">
        <v>35</v>
      </c>
      <c r="G849" t="s">
        <v>42</v>
      </c>
      <c r="H849" t="s">
        <v>82</v>
      </c>
      <c r="I849" t="s">
        <v>43</v>
      </c>
      <c r="J849" t="s">
        <v>146</v>
      </c>
      <c r="K849" t="s">
        <v>44</v>
      </c>
      <c r="L849" t="s">
        <v>147</v>
      </c>
      <c r="M849" t="s">
        <v>49</v>
      </c>
      <c r="N849" t="s">
        <v>95</v>
      </c>
      <c r="P849" t="s">
        <v>144</v>
      </c>
      <c r="Q849">
        <v>14</v>
      </c>
      <c r="R849">
        <v>5</v>
      </c>
      <c r="S849">
        <v>8</v>
      </c>
      <c r="T849">
        <v>1</v>
      </c>
      <c r="U849">
        <v>1</v>
      </c>
      <c r="V849">
        <v>2</v>
      </c>
      <c r="W849">
        <v>35</v>
      </c>
      <c r="X849">
        <v>1271</v>
      </c>
      <c r="Y849">
        <v>9068</v>
      </c>
      <c r="Z849">
        <v>2515</v>
      </c>
      <c r="AA849">
        <v>2</v>
      </c>
      <c r="AB849" s="29">
        <v>44773</v>
      </c>
      <c r="AC849" s="29">
        <v>29774</v>
      </c>
      <c r="AD849" s="29">
        <v>44358</v>
      </c>
      <c r="AE849" s="29"/>
      <c r="AF849">
        <v>1</v>
      </c>
      <c r="AG849" t="s">
        <v>153</v>
      </c>
      <c r="AI849">
        <v>41</v>
      </c>
      <c r="AJ849">
        <v>1</v>
      </c>
      <c r="AK849" t="s">
        <v>170</v>
      </c>
      <c r="AL849" t="s">
        <v>77</v>
      </c>
      <c r="AM849">
        <f t="shared" si="65"/>
        <v>2</v>
      </c>
      <c r="AN849">
        <f t="shared" si="66"/>
        <v>6</v>
      </c>
      <c r="AO849" t="str">
        <f t="shared" si="67"/>
        <v/>
      </c>
      <c r="AP849" t="str">
        <f t="shared" si="68"/>
        <v/>
      </c>
      <c r="AQ849">
        <f t="shared" si="69"/>
        <v>2021</v>
      </c>
    </row>
    <row r="850" spans="1:43" x14ac:dyDescent="0.35">
      <c r="A850">
        <v>337</v>
      </c>
      <c r="B850">
        <v>31</v>
      </c>
      <c r="C850" t="s">
        <v>148</v>
      </c>
      <c r="D850" t="s">
        <v>151</v>
      </c>
      <c r="E850" t="s">
        <v>4</v>
      </c>
      <c r="F850" t="s">
        <v>37</v>
      </c>
      <c r="G850" t="s">
        <v>42</v>
      </c>
      <c r="H850" t="s">
        <v>82</v>
      </c>
      <c r="I850" t="s">
        <v>43</v>
      </c>
      <c r="J850" t="s">
        <v>173</v>
      </c>
      <c r="K850" t="s">
        <v>43</v>
      </c>
      <c r="L850" t="s">
        <v>147</v>
      </c>
      <c r="M850" t="s">
        <v>49</v>
      </c>
      <c r="N850" t="s">
        <v>96</v>
      </c>
      <c r="O850" t="s">
        <v>41</v>
      </c>
      <c r="P850" t="s">
        <v>148</v>
      </c>
      <c r="Q850">
        <v>12</v>
      </c>
      <c r="R850">
        <v>9</v>
      </c>
      <c r="S850">
        <v>9</v>
      </c>
      <c r="T850">
        <v>1</v>
      </c>
      <c r="U850">
        <v>1</v>
      </c>
      <c r="V850">
        <v>3</v>
      </c>
      <c r="W850">
        <v>73</v>
      </c>
      <c r="X850">
        <v>1327</v>
      </c>
      <c r="Y850">
        <v>13523</v>
      </c>
      <c r="Z850">
        <v>13675</v>
      </c>
      <c r="AA850">
        <v>3</v>
      </c>
      <c r="AB850" s="29">
        <v>44773</v>
      </c>
      <c r="AC850" s="29">
        <v>33773</v>
      </c>
      <c r="AD850" s="29">
        <v>44376</v>
      </c>
      <c r="AE850" s="29"/>
      <c r="AF850">
        <v>1</v>
      </c>
      <c r="AG850" t="s">
        <v>149</v>
      </c>
      <c r="AI850">
        <v>30</v>
      </c>
      <c r="AJ850">
        <v>1</v>
      </c>
      <c r="AK850" t="s">
        <v>170</v>
      </c>
      <c r="AL850" t="s">
        <v>78</v>
      </c>
      <c r="AM850">
        <f t="shared" si="65"/>
        <v>2</v>
      </c>
      <c r="AN850">
        <f t="shared" si="66"/>
        <v>6</v>
      </c>
      <c r="AO850" t="str">
        <f t="shared" si="67"/>
        <v/>
      </c>
      <c r="AP850" t="str">
        <f t="shared" si="68"/>
        <v/>
      </c>
      <c r="AQ850">
        <f t="shared" si="69"/>
        <v>2021</v>
      </c>
    </row>
    <row r="851" spans="1:43" x14ac:dyDescent="0.35">
      <c r="A851">
        <v>624</v>
      </c>
      <c r="B851">
        <v>46</v>
      </c>
      <c r="C851" t="s">
        <v>148</v>
      </c>
      <c r="D851" t="s">
        <v>151</v>
      </c>
      <c r="E851" t="s">
        <v>4</v>
      </c>
      <c r="F851" t="s">
        <v>35</v>
      </c>
      <c r="G851" t="s">
        <v>41</v>
      </c>
      <c r="H851" t="s">
        <v>81</v>
      </c>
      <c r="I851" t="s">
        <v>43</v>
      </c>
      <c r="J851" t="s">
        <v>161</v>
      </c>
      <c r="K851" t="s">
        <v>43</v>
      </c>
      <c r="L851" t="s">
        <v>147</v>
      </c>
      <c r="M851" t="s">
        <v>48</v>
      </c>
      <c r="N851" t="s">
        <v>160</v>
      </c>
      <c r="P851" t="s">
        <v>148</v>
      </c>
      <c r="Q851">
        <v>11</v>
      </c>
      <c r="R851">
        <v>5</v>
      </c>
      <c r="S851">
        <v>28</v>
      </c>
      <c r="T851">
        <v>1</v>
      </c>
      <c r="U851">
        <v>1</v>
      </c>
      <c r="V851">
        <v>18</v>
      </c>
      <c r="W851">
        <v>86</v>
      </c>
      <c r="X851">
        <v>1034</v>
      </c>
      <c r="Y851">
        <v>8984</v>
      </c>
      <c r="Z851">
        <v>10527</v>
      </c>
      <c r="AA851">
        <v>3</v>
      </c>
      <c r="AB851" s="29">
        <v>44773</v>
      </c>
      <c r="AC851" s="29">
        <v>28014</v>
      </c>
      <c r="AD851" s="29">
        <v>44398</v>
      </c>
      <c r="AE851" s="29"/>
      <c r="AF851">
        <v>1</v>
      </c>
      <c r="AG851" t="s">
        <v>153</v>
      </c>
      <c r="AI851">
        <v>45</v>
      </c>
      <c r="AJ851">
        <v>1</v>
      </c>
      <c r="AK851" t="s">
        <v>170</v>
      </c>
      <c r="AL851" t="s">
        <v>77</v>
      </c>
      <c r="AM851">
        <f t="shared" si="65"/>
        <v>3</v>
      </c>
      <c r="AN851">
        <f t="shared" si="66"/>
        <v>7</v>
      </c>
      <c r="AO851" t="str">
        <f t="shared" si="67"/>
        <v/>
      </c>
      <c r="AP851" t="str">
        <f t="shared" si="68"/>
        <v/>
      </c>
      <c r="AQ851">
        <f t="shared" si="69"/>
        <v>2021</v>
      </c>
    </row>
    <row r="852" spans="1:43" x14ac:dyDescent="0.35">
      <c r="A852">
        <v>131</v>
      </c>
      <c r="B852">
        <v>58</v>
      </c>
      <c r="C852" t="s">
        <v>148</v>
      </c>
      <c r="D852" t="s">
        <v>145</v>
      </c>
      <c r="E852" t="s">
        <v>158</v>
      </c>
      <c r="F852" t="s">
        <v>37</v>
      </c>
      <c r="G852" t="s">
        <v>44</v>
      </c>
      <c r="H852" t="s">
        <v>82</v>
      </c>
      <c r="I852" t="s">
        <v>43</v>
      </c>
      <c r="J852" t="s">
        <v>159</v>
      </c>
      <c r="K852" t="s">
        <v>43</v>
      </c>
      <c r="L852" t="s">
        <v>147</v>
      </c>
      <c r="M852" t="s">
        <v>48</v>
      </c>
      <c r="N852" t="s">
        <v>95</v>
      </c>
      <c r="P852" t="s">
        <v>148</v>
      </c>
      <c r="Q852">
        <v>13</v>
      </c>
      <c r="R852">
        <v>0</v>
      </c>
      <c r="S852">
        <v>38</v>
      </c>
      <c r="T852">
        <v>1</v>
      </c>
      <c r="U852">
        <v>8</v>
      </c>
      <c r="V852">
        <v>10</v>
      </c>
      <c r="W852">
        <v>37</v>
      </c>
      <c r="X852">
        <v>682</v>
      </c>
      <c r="Y852">
        <v>24409</v>
      </c>
      <c r="Z852">
        <v>13872</v>
      </c>
      <c r="AA852">
        <v>1</v>
      </c>
      <c r="AB852" s="29">
        <v>44773</v>
      </c>
      <c r="AC852" s="29">
        <v>23661</v>
      </c>
      <c r="AD852" s="29">
        <v>31333</v>
      </c>
      <c r="AE852" s="29"/>
      <c r="AF852">
        <v>37</v>
      </c>
      <c r="AG852" t="s">
        <v>167</v>
      </c>
      <c r="AI852">
        <v>21</v>
      </c>
      <c r="AJ852">
        <v>1</v>
      </c>
      <c r="AK852" t="s">
        <v>163</v>
      </c>
      <c r="AL852" t="s">
        <v>77</v>
      </c>
      <c r="AM852">
        <f t="shared" si="65"/>
        <v>4</v>
      </c>
      <c r="AN852">
        <f t="shared" si="66"/>
        <v>10</v>
      </c>
      <c r="AO852" t="str">
        <f t="shared" si="67"/>
        <v/>
      </c>
      <c r="AP852" t="str">
        <f t="shared" si="68"/>
        <v/>
      </c>
      <c r="AQ852">
        <f t="shared" si="69"/>
        <v>1985</v>
      </c>
    </row>
    <row r="853" spans="1:43" x14ac:dyDescent="0.35">
      <c r="A853">
        <v>558</v>
      </c>
      <c r="B853">
        <v>40</v>
      </c>
      <c r="C853" t="s">
        <v>148</v>
      </c>
      <c r="D853" t="s">
        <v>145</v>
      </c>
      <c r="E853" t="s">
        <v>158</v>
      </c>
      <c r="F853" t="s">
        <v>37</v>
      </c>
      <c r="G853" t="s">
        <v>43</v>
      </c>
      <c r="H853" t="s">
        <v>81</v>
      </c>
      <c r="I853" t="s">
        <v>43</v>
      </c>
      <c r="J853" t="s">
        <v>169</v>
      </c>
      <c r="K853" t="s">
        <v>43</v>
      </c>
      <c r="L853" t="s">
        <v>147</v>
      </c>
      <c r="M853" t="s">
        <v>49</v>
      </c>
      <c r="N853" t="s">
        <v>160</v>
      </c>
      <c r="P853" t="s">
        <v>148</v>
      </c>
      <c r="Q853">
        <v>14</v>
      </c>
      <c r="R853">
        <v>0</v>
      </c>
      <c r="S853">
        <v>21</v>
      </c>
      <c r="T853">
        <v>1</v>
      </c>
      <c r="U853">
        <v>12</v>
      </c>
      <c r="V853">
        <v>2</v>
      </c>
      <c r="W853">
        <v>79</v>
      </c>
      <c r="X853">
        <v>1398</v>
      </c>
      <c r="Y853">
        <v>13022</v>
      </c>
      <c r="Z853">
        <v>18041</v>
      </c>
      <c r="AA853">
        <v>2</v>
      </c>
      <c r="AB853" s="29">
        <v>44773</v>
      </c>
      <c r="AC853" s="29">
        <v>30524</v>
      </c>
      <c r="AD853" s="29">
        <v>37718</v>
      </c>
      <c r="AE853" s="29"/>
      <c r="AF853">
        <v>19</v>
      </c>
      <c r="AG853" t="s">
        <v>153</v>
      </c>
      <c r="AI853">
        <v>21</v>
      </c>
      <c r="AJ853">
        <v>1</v>
      </c>
      <c r="AK853" t="s">
        <v>163</v>
      </c>
      <c r="AL853" t="s">
        <v>77</v>
      </c>
      <c r="AM853">
        <f t="shared" si="65"/>
        <v>2</v>
      </c>
      <c r="AN853">
        <f t="shared" si="66"/>
        <v>4</v>
      </c>
      <c r="AO853" t="str">
        <f t="shared" si="67"/>
        <v/>
      </c>
      <c r="AP853" t="str">
        <f t="shared" si="68"/>
        <v/>
      </c>
      <c r="AQ853">
        <f t="shared" si="69"/>
        <v>2003</v>
      </c>
    </row>
    <row r="854" spans="1:43" x14ac:dyDescent="0.35">
      <c r="A854">
        <v>1179</v>
      </c>
      <c r="B854">
        <v>30</v>
      </c>
      <c r="C854" t="s">
        <v>148</v>
      </c>
      <c r="D854" t="s">
        <v>145</v>
      </c>
      <c r="E854" t="s">
        <v>158</v>
      </c>
      <c r="F854" t="s">
        <v>38</v>
      </c>
      <c r="G854" t="s">
        <v>43</v>
      </c>
      <c r="H854" t="s">
        <v>82</v>
      </c>
      <c r="I854" t="s">
        <v>42</v>
      </c>
      <c r="J854" t="s">
        <v>159</v>
      </c>
      <c r="K854" t="s">
        <v>43</v>
      </c>
      <c r="L854" t="s">
        <v>147</v>
      </c>
      <c r="M854" t="s">
        <v>49</v>
      </c>
      <c r="N854" t="s">
        <v>160</v>
      </c>
      <c r="O854" t="s">
        <v>41</v>
      </c>
      <c r="P854" t="s">
        <v>148</v>
      </c>
      <c r="Q854">
        <v>18</v>
      </c>
      <c r="R854">
        <v>1</v>
      </c>
      <c r="S854">
        <v>10</v>
      </c>
      <c r="T854">
        <v>1</v>
      </c>
      <c r="U854">
        <v>4</v>
      </c>
      <c r="V854">
        <v>10</v>
      </c>
      <c r="W854">
        <v>72</v>
      </c>
      <c r="X854">
        <v>852</v>
      </c>
      <c r="Y854">
        <v>2706</v>
      </c>
      <c r="Z854">
        <v>6578</v>
      </c>
      <c r="AA854">
        <v>3</v>
      </c>
      <c r="AB854" s="29">
        <v>44773</v>
      </c>
      <c r="AC854" s="29">
        <v>33850</v>
      </c>
      <c r="AD854" s="29">
        <v>41157</v>
      </c>
      <c r="AE854" s="29"/>
      <c r="AF854">
        <v>10</v>
      </c>
      <c r="AG854" t="s">
        <v>149</v>
      </c>
      <c r="AI854">
        <v>20</v>
      </c>
      <c r="AJ854">
        <v>1</v>
      </c>
      <c r="AK854" t="s">
        <v>154</v>
      </c>
      <c r="AL854" t="s">
        <v>77</v>
      </c>
      <c r="AM854">
        <f t="shared" si="65"/>
        <v>3</v>
      </c>
      <c r="AN854">
        <f t="shared" si="66"/>
        <v>9</v>
      </c>
      <c r="AO854" t="str">
        <f t="shared" si="67"/>
        <v/>
      </c>
      <c r="AP854" t="str">
        <f t="shared" si="68"/>
        <v/>
      </c>
      <c r="AQ854">
        <f t="shared" si="69"/>
        <v>2012</v>
      </c>
    </row>
    <row r="855" spans="1:43" x14ac:dyDescent="0.35">
      <c r="A855">
        <v>456</v>
      </c>
      <c r="B855">
        <v>30</v>
      </c>
      <c r="C855" t="s">
        <v>148</v>
      </c>
      <c r="D855" t="s">
        <v>145</v>
      </c>
      <c r="E855" t="s">
        <v>158</v>
      </c>
      <c r="F855" t="s">
        <v>38</v>
      </c>
      <c r="G855" t="s">
        <v>44</v>
      </c>
      <c r="H855" t="s">
        <v>81</v>
      </c>
      <c r="I855" t="s">
        <v>42</v>
      </c>
      <c r="J855" t="s">
        <v>159</v>
      </c>
      <c r="K855" t="s">
        <v>43</v>
      </c>
      <c r="L855" t="s">
        <v>147</v>
      </c>
      <c r="M855" t="s">
        <v>49</v>
      </c>
      <c r="N855" t="s">
        <v>96</v>
      </c>
      <c r="O855" t="s">
        <v>43</v>
      </c>
      <c r="P855" t="s">
        <v>148</v>
      </c>
      <c r="Q855">
        <v>13</v>
      </c>
      <c r="R855">
        <v>1</v>
      </c>
      <c r="S855">
        <v>10</v>
      </c>
      <c r="T855">
        <v>1</v>
      </c>
      <c r="U855">
        <v>2</v>
      </c>
      <c r="V855">
        <v>5</v>
      </c>
      <c r="W855">
        <v>30</v>
      </c>
      <c r="X855">
        <v>570</v>
      </c>
      <c r="Y855">
        <v>5431</v>
      </c>
      <c r="Z855">
        <v>6118</v>
      </c>
      <c r="AA855">
        <v>2</v>
      </c>
      <c r="AB855" s="29">
        <v>44773</v>
      </c>
      <c r="AC855" s="29">
        <v>34011</v>
      </c>
      <c r="AD855" s="29">
        <v>41266</v>
      </c>
      <c r="AE855" s="29"/>
      <c r="AF855">
        <v>10</v>
      </c>
      <c r="AG855" t="s">
        <v>149</v>
      </c>
      <c r="AI855">
        <v>20</v>
      </c>
      <c r="AJ855">
        <v>1</v>
      </c>
      <c r="AK855" t="s">
        <v>154</v>
      </c>
      <c r="AL855" t="s">
        <v>77</v>
      </c>
      <c r="AM855">
        <f t="shared" si="65"/>
        <v>4</v>
      </c>
      <c r="AN855">
        <f t="shared" si="66"/>
        <v>12</v>
      </c>
      <c r="AO855" t="str">
        <f t="shared" si="67"/>
        <v/>
      </c>
      <c r="AP855" t="str">
        <f t="shared" si="68"/>
        <v/>
      </c>
      <c r="AQ855">
        <f t="shared" si="69"/>
        <v>2012</v>
      </c>
    </row>
    <row r="856" spans="1:43" x14ac:dyDescent="0.35">
      <c r="A856">
        <v>1973</v>
      </c>
      <c r="B856">
        <v>55</v>
      </c>
      <c r="C856" t="s">
        <v>148</v>
      </c>
      <c r="D856" t="s">
        <v>145</v>
      </c>
      <c r="E856" t="s">
        <v>168</v>
      </c>
      <c r="F856" t="s">
        <v>37</v>
      </c>
      <c r="G856" t="s">
        <v>43</v>
      </c>
      <c r="H856" t="s">
        <v>82</v>
      </c>
      <c r="I856" t="s">
        <v>44</v>
      </c>
      <c r="J856" t="s">
        <v>169</v>
      </c>
      <c r="K856" t="s">
        <v>42</v>
      </c>
      <c r="L856" t="s">
        <v>147</v>
      </c>
      <c r="M856" t="s">
        <v>49</v>
      </c>
      <c r="N856" t="s">
        <v>160</v>
      </c>
      <c r="O856" t="s">
        <v>41</v>
      </c>
      <c r="P856" t="s">
        <v>144</v>
      </c>
      <c r="Q856">
        <v>18</v>
      </c>
      <c r="R856">
        <v>4</v>
      </c>
      <c r="S856">
        <v>35</v>
      </c>
      <c r="T856">
        <v>1</v>
      </c>
      <c r="U856">
        <v>4</v>
      </c>
      <c r="V856">
        <v>26</v>
      </c>
      <c r="W856">
        <v>71</v>
      </c>
      <c r="X856">
        <v>189</v>
      </c>
      <c r="Y856">
        <v>25811</v>
      </c>
      <c r="Z856">
        <v>19636</v>
      </c>
      <c r="AA856">
        <v>0</v>
      </c>
      <c r="AB856" s="29">
        <v>44773</v>
      </c>
      <c r="AC856" s="29">
        <v>25017</v>
      </c>
      <c r="AD856" s="29">
        <v>41382</v>
      </c>
      <c r="AE856" s="29"/>
      <c r="AF856">
        <v>9</v>
      </c>
      <c r="AG856" t="s">
        <v>167</v>
      </c>
      <c r="AI856">
        <v>46</v>
      </c>
      <c r="AJ856">
        <v>1</v>
      </c>
      <c r="AK856" t="s">
        <v>150</v>
      </c>
      <c r="AL856" t="s">
        <v>77</v>
      </c>
      <c r="AM856">
        <f t="shared" si="65"/>
        <v>2</v>
      </c>
      <c r="AN856">
        <f t="shared" si="66"/>
        <v>4</v>
      </c>
      <c r="AO856" t="str">
        <f t="shared" si="67"/>
        <v/>
      </c>
      <c r="AP856" t="str">
        <f t="shared" si="68"/>
        <v/>
      </c>
      <c r="AQ856">
        <f t="shared" si="69"/>
        <v>2013</v>
      </c>
    </row>
    <row r="857" spans="1:43" x14ac:dyDescent="0.35">
      <c r="A857">
        <v>2041</v>
      </c>
      <c r="B857">
        <v>38</v>
      </c>
      <c r="C857" t="s">
        <v>148</v>
      </c>
      <c r="D857" t="s">
        <v>145</v>
      </c>
      <c r="E857" t="s">
        <v>158</v>
      </c>
      <c r="F857" t="s">
        <v>36</v>
      </c>
      <c r="G857" t="s">
        <v>41</v>
      </c>
      <c r="H857" t="s">
        <v>81</v>
      </c>
      <c r="I857" t="s">
        <v>43</v>
      </c>
      <c r="J857" t="s">
        <v>159</v>
      </c>
      <c r="K857" t="s">
        <v>44</v>
      </c>
      <c r="L857" t="s">
        <v>147</v>
      </c>
      <c r="M857" t="s">
        <v>49</v>
      </c>
      <c r="N857" t="s">
        <v>160</v>
      </c>
      <c r="O857" t="s">
        <v>41</v>
      </c>
      <c r="P857" t="s">
        <v>148</v>
      </c>
      <c r="Q857">
        <v>11</v>
      </c>
      <c r="R857">
        <v>1</v>
      </c>
      <c r="S857">
        <v>10</v>
      </c>
      <c r="T857">
        <v>1</v>
      </c>
      <c r="U857">
        <v>9</v>
      </c>
      <c r="V857">
        <v>10</v>
      </c>
      <c r="W857">
        <v>100</v>
      </c>
      <c r="X857">
        <v>345</v>
      </c>
      <c r="Y857">
        <v>5982</v>
      </c>
      <c r="Z857">
        <v>5343</v>
      </c>
      <c r="AA857">
        <v>1</v>
      </c>
      <c r="AB857" s="29">
        <v>44773</v>
      </c>
      <c r="AC857" s="29">
        <v>31160</v>
      </c>
      <c r="AD857" s="29">
        <v>41386</v>
      </c>
      <c r="AE857" s="29"/>
      <c r="AF857">
        <v>9</v>
      </c>
      <c r="AG857" t="s">
        <v>149</v>
      </c>
      <c r="AI857">
        <v>29</v>
      </c>
      <c r="AJ857">
        <v>2</v>
      </c>
      <c r="AK857" t="s">
        <v>150</v>
      </c>
      <c r="AL857" t="s">
        <v>78</v>
      </c>
      <c r="AM857">
        <f t="shared" si="65"/>
        <v>2</v>
      </c>
      <c r="AN857">
        <f t="shared" si="66"/>
        <v>4</v>
      </c>
      <c r="AO857" t="str">
        <f t="shared" si="67"/>
        <v/>
      </c>
      <c r="AP857" t="str">
        <f t="shared" si="68"/>
        <v/>
      </c>
      <c r="AQ857">
        <f t="shared" si="69"/>
        <v>2013</v>
      </c>
    </row>
    <row r="858" spans="1:43" x14ac:dyDescent="0.35">
      <c r="A858">
        <v>1880</v>
      </c>
      <c r="B858">
        <v>36</v>
      </c>
      <c r="C858" t="s">
        <v>148</v>
      </c>
      <c r="D858" t="s">
        <v>145</v>
      </c>
      <c r="E858" t="s">
        <v>158</v>
      </c>
      <c r="F858" t="s">
        <v>37</v>
      </c>
      <c r="G858" t="s">
        <v>42</v>
      </c>
      <c r="H858" t="s">
        <v>81</v>
      </c>
      <c r="I858" t="s">
        <v>42</v>
      </c>
      <c r="J858" t="s">
        <v>159</v>
      </c>
      <c r="K858" t="s">
        <v>43</v>
      </c>
      <c r="L858" t="s">
        <v>147</v>
      </c>
      <c r="M858" t="s">
        <v>49</v>
      </c>
      <c r="N858" t="s">
        <v>160</v>
      </c>
      <c r="O858" t="s">
        <v>41</v>
      </c>
      <c r="P858" t="s">
        <v>144</v>
      </c>
      <c r="Q858">
        <v>13</v>
      </c>
      <c r="R858">
        <v>1</v>
      </c>
      <c r="S858">
        <v>10</v>
      </c>
      <c r="T858">
        <v>1</v>
      </c>
      <c r="U858">
        <v>7</v>
      </c>
      <c r="V858">
        <v>10</v>
      </c>
      <c r="W858">
        <v>63</v>
      </c>
      <c r="X858">
        <v>1266</v>
      </c>
      <c r="Y858">
        <v>6060</v>
      </c>
      <c r="Z858">
        <v>5673</v>
      </c>
      <c r="AA858">
        <v>4</v>
      </c>
      <c r="AB858" s="29">
        <v>44773</v>
      </c>
      <c r="AC858" s="29">
        <v>31964</v>
      </c>
      <c r="AD858" s="29">
        <v>41451</v>
      </c>
      <c r="AE858" s="29"/>
      <c r="AF858">
        <v>9</v>
      </c>
      <c r="AG858" t="s">
        <v>149</v>
      </c>
      <c r="AI858">
        <v>27</v>
      </c>
      <c r="AJ858">
        <v>2</v>
      </c>
      <c r="AK858" t="s">
        <v>150</v>
      </c>
      <c r="AL858" t="s">
        <v>77</v>
      </c>
      <c r="AM858">
        <f t="shared" si="65"/>
        <v>2</v>
      </c>
      <c r="AN858">
        <f t="shared" si="66"/>
        <v>6</v>
      </c>
      <c r="AO858" t="str">
        <f t="shared" si="67"/>
        <v/>
      </c>
      <c r="AP858" t="str">
        <f t="shared" si="68"/>
        <v/>
      </c>
      <c r="AQ858">
        <f t="shared" si="69"/>
        <v>2013</v>
      </c>
    </row>
    <row r="859" spans="1:43" x14ac:dyDescent="0.35">
      <c r="A859">
        <v>1045</v>
      </c>
      <c r="B859">
        <v>45</v>
      </c>
      <c r="C859" t="s">
        <v>148</v>
      </c>
      <c r="D859" t="s">
        <v>145</v>
      </c>
      <c r="E859" t="s">
        <v>158</v>
      </c>
      <c r="F859" t="s">
        <v>36</v>
      </c>
      <c r="G859" t="s">
        <v>44</v>
      </c>
      <c r="H859" t="s">
        <v>81</v>
      </c>
      <c r="I859" t="s">
        <v>43</v>
      </c>
      <c r="J859" t="s">
        <v>169</v>
      </c>
      <c r="K859" t="s">
        <v>44</v>
      </c>
      <c r="L859" t="s">
        <v>147</v>
      </c>
      <c r="M859" t="s">
        <v>50</v>
      </c>
      <c r="N859" t="s">
        <v>160</v>
      </c>
      <c r="O859" t="s">
        <v>41</v>
      </c>
      <c r="P859" t="s">
        <v>148</v>
      </c>
      <c r="Q859">
        <v>13</v>
      </c>
      <c r="R859">
        <v>3</v>
      </c>
      <c r="S859">
        <v>26</v>
      </c>
      <c r="T859">
        <v>1</v>
      </c>
      <c r="U859">
        <v>1</v>
      </c>
      <c r="V859">
        <v>11</v>
      </c>
      <c r="W859">
        <v>90</v>
      </c>
      <c r="X859">
        <v>1234</v>
      </c>
      <c r="Y859">
        <v>5404</v>
      </c>
      <c r="Z859">
        <v>17650</v>
      </c>
      <c r="AA859">
        <v>4</v>
      </c>
      <c r="AB859" s="29">
        <v>44773</v>
      </c>
      <c r="AC859" s="29">
        <v>28665</v>
      </c>
      <c r="AD859" s="29">
        <v>41531</v>
      </c>
      <c r="AE859" s="29"/>
      <c r="AF859">
        <v>9</v>
      </c>
      <c r="AG859" t="s">
        <v>153</v>
      </c>
      <c r="AI859">
        <v>36</v>
      </c>
      <c r="AJ859">
        <v>1</v>
      </c>
      <c r="AK859" t="s">
        <v>150</v>
      </c>
      <c r="AL859" t="s">
        <v>77</v>
      </c>
      <c r="AM859">
        <f t="shared" si="65"/>
        <v>3</v>
      </c>
      <c r="AN859">
        <f t="shared" si="66"/>
        <v>9</v>
      </c>
      <c r="AO859" t="str">
        <f t="shared" si="67"/>
        <v/>
      </c>
      <c r="AP859" t="str">
        <f t="shared" si="68"/>
        <v/>
      </c>
      <c r="AQ859">
        <f t="shared" si="69"/>
        <v>2013</v>
      </c>
    </row>
    <row r="860" spans="1:43" x14ac:dyDescent="0.35">
      <c r="A860">
        <v>1778</v>
      </c>
      <c r="B860">
        <v>43</v>
      </c>
      <c r="C860" t="s">
        <v>148</v>
      </c>
      <c r="D860" t="s">
        <v>145</v>
      </c>
      <c r="E860" t="s">
        <v>168</v>
      </c>
      <c r="F860" t="s">
        <v>38</v>
      </c>
      <c r="G860" t="s">
        <v>42</v>
      </c>
      <c r="H860" t="s">
        <v>82</v>
      </c>
      <c r="I860" t="s">
        <v>43</v>
      </c>
      <c r="J860" t="s">
        <v>168</v>
      </c>
      <c r="K860" t="s">
        <v>44</v>
      </c>
      <c r="L860" t="s">
        <v>147</v>
      </c>
      <c r="M860" t="s">
        <v>49</v>
      </c>
      <c r="N860" t="s">
        <v>95</v>
      </c>
      <c r="P860" t="s">
        <v>148</v>
      </c>
      <c r="Q860">
        <v>13</v>
      </c>
      <c r="R860">
        <v>0</v>
      </c>
      <c r="S860">
        <v>10</v>
      </c>
      <c r="T860">
        <v>1</v>
      </c>
      <c r="U860">
        <v>8</v>
      </c>
      <c r="V860">
        <v>2</v>
      </c>
      <c r="W860">
        <v>97</v>
      </c>
      <c r="X860">
        <v>244</v>
      </c>
      <c r="Y860">
        <v>5033</v>
      </c>
      <c r="Z860">
        <v>3539</v>
      </c>
      <c r="AA860">
        <v>5</v>
      </c>
      <c r="AB860" s="29">
        <v>44773</v>
      </c>
      <c r="AC860" s="29">
        <v>29190</v>
      </c>
      <c r="AD860" s="29">
        <v>41621</v>
      </c>
      <c r="AE860" s="29"/>
      <c r="AF860">
        <v>9</v>
      </c>
      <c r="AG860" t="s">
        <v>153</v>
      </c>
      <c r="AI860">
        <v>34</v>
      </c>
      <c r="AJ860">
        <v>1</v>
      </c>
      <c r="AK860" t="s">
        <v>150</v>
      </c>
      <c r="AL860" t="s">
        <v>77</v>
      </c>
      <c r="AM860">
        <f t="shared" si="65"/>
        <v>4</v>
      </c>
      <c r="AN860">
        <f t="shared" si="66"/>
        <v>12</v>
      </c>
      <c r="AO860" t="str">
        <f t="shared" si="67"/>
        <v/>
      </c>
      <c r="AP860" t="str">
        <f t="shared" si="68"/>
        <v/>
      </c>
      <c r="AQ860">
        <f t="shared" si="69"/>
        <v>2013</v>
      </c>
    </row>
    <row r="861" spans="1:43" x14ac:dyDescent="0.35">
      <c r="A861">
        <v>2040</v>
      </c>
      <c r="B861">
        <v>35</v>
      </c>
      <c r="C861" t="s">
        <v>148</v>
      </c>
      <c r="D861" t="s">
        <v>145</v>
      </c>
      <c r="E861" t="s">
        <v>168</v>
      </c>
      <c r="F861" t="s">
        <v>37</v>
      </c>
      <c r="G861" t="s">
        <v>43</v>
      </c>
      <c r="H861" t="s">
        <v>81</v>
      </c>
      <c r="I861" t="s">
        <v>43</v>
      </c>
      <c r="J861" t="s">
        <v>168</v>
      </c>
      <c r="K861" t="s">
        <v>44</v>
      </c>
      <c r="L861" t="s">
        <v>147</v>
      </c>
      <c r="M861" t="s">
        <v>49</v>
      </c>
      <c r="N861" t="s">
        <v>95</v>
      </c>
      <c r="P861" t="s">
        <v>144</v>
      </c>
      <c r="Q861">
        <v>16</v>
      </c>
      <c r="R861">
        <v>1</v>
      </c>
      <c r="S861">
        <v>9</v>
      </c>
      <c r="T861">
        <v>1</v>
      </c>
      <c r="U861">
        <v>7</v>
      </c>
      <c r="V861">
        <v>26</v>
      </c>
      <c r="W861">
        <v>31</v>
      </c>
      <c r="X861">
        <v>1146</v>
      </c>
      <c r="Y861">
        <v>16642</v>
      </c>
      <c r="Z861">
        <v>8837</v>
      </c>
      <c r="AA861">
        <v>2</v>
      </c>
      <c r="AB861" s="29">
        <v>44773</v>
      </c>
      <c r="AC861" s="29">
        <v>32020</v>
      </c>
      <c r="AD861" s="29">
        <v>41662</v>
      </c>
      <c r="AE861" s="29"/>
      <c r="AF861">
        <v>9</v>
      </c>
      <c r="AG861" t="s">
        <v>149</v>
      </c>
      <c r="AI861">
        <v>26</v>
      </c>
      <c r="AJ861">
        <v>1</v>
      </c>
      <c r="AK861" t="s">
        <v>150</v>
      </c>
      <c r="AL861" t="s">
        <v>77</v>
      </c>
      <c r="AM861">
        <f t="shared" si="65"/>
        <v>1</v>
      </c>
      <c r="AN861">
        <f t="shared" si="66"/>
        <v>1</v>
      </c>
      <c r="AO861" t="str">
        <f t="shared" si="67"/>
        <v/>
      </c>
      <c r="AP861" t="str">
        <f t="shared" si="68"/>
        <v/>
      </c>
      <c r="AQ861">
        <f t="shared" si="69"/>
        <v>2014</v>
      </c>
    </row>
    <row r="862" spans="1:43" x14ac:dyDescent="0.35">
      <c r="A862">
        <v>1951</v>
      </c>
      <c r="B862">
        <v>34</v>
      </c>
      <c r="C862" t="s">
        <v>148</v>
      </c>
      <c r="D862" t="s">
        <v>145</v>
      </c>
      <c r="E862" t="s">
        <v>158</v>
      </c>
      <c r="F862" t="s">
        <v>37</v>
      </c>
      <c r="G862" t="s">
        <v>44</v>
      </c>
      <c r="H862" t="s">
        <v>82</v>
      </c>
      <c r="I862" t="s">
        <v>43</v>
      </c>
      <c r="J862" t="s">
        <v>159</v>
      </c>
      <c r="K862" t="s">
        <v>43</v>
      </c>
      <c r="L862" t="s">
        <v>147</v>
      </c>
      <c r="M862" t="s">
        <v>48</v>
      </c>
      <c r="N862" t="s">
        <v>96</v>
      </c>
      <c r="O862" t="s">
        <v>41</v>
      </c>
      <c r="P862" t="s">
        <v>148</v>
      </c>
      <c r="Q862">
        <v>18</v>
      </c>
      <c r="R862">
        <v>1</v>
      </c>
      <c r="S862">
        <v>9</v>
      </c>
      <c r="T862">
        <v>1</v>
      </c>
      <c r="U862">
        <v>1</v>
      </c>
      <c r="V862">
        <v>13</v>
      </c>
      <c r="W862">
        <v>39</v>
      </c>
      <c r="X862">
        <v>1239</v>
      </c>
      <c r="Y862">
        <v>22914</v>
      </c>
      <c r="Z862">
        <v>8628</v>
      </c>
      <c r="AA862">
        <v>2</v>
      </c>
      <c r="AB862" s="29">
        <v>44773</v>
      </c>
      <c r="AC862" s="29">
        <v>32609</v>
      </c>
      <c r="AD862" s="29">
        <v>41954</v>
      </c>
      <c r="AE862" s="29"/>
      <c r="AF862">
        <v>8</v>
      </c>
      <c r="AG862" t="s">
        <v>149</v>
      </c>
      <c r="AI862">
        <v>26</v>
      </c>
      <c r="AJ862">
        <v>2</v>
      </c>
      <c r="AK862" t="s">
        <v>150</v>
      </c>
      <c r="AL862" t="s">
        <v>77</v>
      </c>
      <c r="AM862">
        <f t="shared" si="65"/>
        <v>4</v>
      </c>
      <c r="AN862">
        <f t="shared" si="66"/>
        <v>11</v>
      </c>
      <c r="AO862" t="str">
        <f t="shared" si="67"/>
        <v/>
      </c>
      <c r="AP862" t="str">
        <f t="shared" si="68"/>
        <v/>
      </c>
      <c r="AQ862">
        <f t="shared" si="69"/>
        <v>2014</v>
      </c>
    </row>
    <row r="863" spans="1:43" x14ac:dyDescent="0.35">
      <c r="A863">
        <v>728</v>
      </c>
      <c r="B863">
        <v>47</v>
      </c>
      <c r="C863" t="s">
        <v>148</v>
      </c>
      <c r="D863" t="s">
        <v>145</v>
      </c>
      <c r="E863" t="s">
        <v>158</v>
      </c>
      <c r="F863" t="s">
        <v>37</v>
      </c>
      <c r="G863" t="s">
        <v>44</v>
      </c>
      <c r="H863" t="s">
        <v>82</v>
      </c>
      <c r="I863" t="s">
        <v>43</v>
      </c>
      <c r="J863" t="s">
        <v>159</v>
      </c>
      <c r="K863" t="s">
        <v>41</v>
      </c>
      <c r="L863" t="s">
        <v>147</v>
      </c>
      <c r="M863" t="s">
        <v>49</v>
      </c>
      <c r="N863" t="s">
        <v>95</v>
      </c>
      <c r="P863" t="s">
        <v>148</v>
      </c>
      <c r="Q863">
        <v>12</v>
      </c>
      <c r="R863">
        <v>2</v>
      </c>
      <c r="S863">
        <v>20</v>
      </c>
      <c r="T863">
        <v>1</v>
      </c>
      <c r="U863">
        <v>7</v>
      </c>
      <c r="V863">
        <v>14</v>
      </c>
      <c r="W863">
        <v>42</v>
      </c>
      <c r="X863">
        <v>703</v>
      </c>
      <c r="Y863">
        <v>11825</v>
      </c>
      <c r="Z863">
        <v>4960</v>
      </c>
      <c r="AA863">
        <v>2</v>
      </c>
      <c r="AB863" s="29">
        <v>44773</v>
      </c>
      <c r="AC863" s="29">
        <v>27677</v>
      </c>
      <c r="AD863" s="29">
        <v>42221</v>
      </c>
      <c r="AE863" s="29"/>
      <c r="AF863">
        <v>7</v>
      </c>
      <c r="AG863" t="s">
        <v>153</v>
      </c>
      <c r="AI863">
        <v>40</v>
      </c>
      <c r="AJ863">
        <v>1</v>
      </c>
      <c r="AK863" t="s">
        <v>150</v>
      </c>
      <c r="AL863" t="s">
        <v>77</v>
      </c>
      <c r="AM863">
        <f t="shared" si="65"/>
        <v>3</v>
      </c>
      <c r="AN863">
        <f t="shared" si="66"/>
        <v>8</v>
      </c>
      <c r="AO863" t="str">
        <f t="shared" si="67"/>
        <v/>
      </c>
      <c r="AP863" t="str">
        <f t="shared" si="68"/>
        <v/>
      </c>
      <c r="AQ863">
        <f t="shared" si="69"/>
        <v>2015</v>
      </c>
    </row>
    <row r="864" spans="1:43" x14ac:dyDescent="0.35">
      <c r="A864">
        <v>1754</v>
      </c>
      <c r="B864">
        <v>30</v>
      </c>
      <c r="C864" t="s">
        <v>148</v>
      </c>
      <c r="D864" t="s">
        <v>145</v>
      </c>
      <c r="E864" t="s">
        <v>158</v>
      </c>
      <c r="F864" t="s">
        <v>36</v>
      </c>
      <c r="G864" t="s">
        <v>43</v>
      </c>
      <c r="H864" t="s">
        <v>82</v>
      </c>
      <c r="I864" t="s">
        <v>42</v>
      </c>
      <c r="J864" t="s">
        <v>159</v>
      </c>
      <c r="K864" t="s">
        <v>41</v>
      </c>
      <c r="L864" t="s">
        <v>147</v>
      </c>
      <c r="M864" t="s">
        <v>49</v>
      </c>
      <c r="N864" t="s">
        <v>96</v>
      </c>
      <c r="O864" t="s">
        <v>41</v>
      </c>
      <c r="P864" t="s">
        <v>148</v>
      </c>
      <c r="Q864">
        <v>11</v>
      </c>
      <c r="R864">
        <v>2</v>
      </c>
      <c r="S864">
        <v>12</v>
      </c>
      <c r="T864">
        <v>1</v>
      </c>
      <c r="U864">
        <v>7</v>
      </c>
      <c r="V864">
        <v>15</v>
      </c>
      <c r="W864">
        <v>94</v>
      </c>
      <c r="X864">
        <v>979</v>
      </c>
      <c r="Y864">
        <v>3088</v>
      </c>
      <c r="Z864">
        <v>7140</v>
      </c>
      <c r="AA864">
        <v>2</v>
      </c>
      <c r="AB864" s="29">
        <v>44773</v>
      </c>
      <c r="AC864" s="29">
        <v>34097</v>
      </c>
      <c r="AD864" s="29">
        <v>42292</v>
      </c>
      <c r="AE864" s="29"/>
      <c r="AF864">
        <v>7</v>
      </c>
      <c r="AG864" t="s">
        <v>149</v>
      </c>
      <c r="AI864">
        <v>23</v>
      </c>
      <c r="AJ864">
        <v>1</v>
      </c>
      <c r="AK864" t="s">
        <v>150</v>
      </c>
      <c r="AL864" t="s">
        <v>77</v>
      </c>
      <c r="AM864">
        <f t="shared" si="65"/>
        <v>4</v>
      </c>
      <c r="AN864">
        <f t="shared" si="66"/>
        <v>10</v>
      </c>
      <c r="AO864" t="str">
        <f t="shared" si="67"/>
        <v/>
      </c>
      <c r="AP864" t="str">
        <f t="shared" si="68"/>
        <v/>
      </c>
      <c r="AQ864">
        <f t="shared" si="69"/>
        <v>2015</v>
      </c>
    </row>
    <row r="865" spans="1:43" x14ac:dyDescent="0.35">
      <c r="A865">
        <v>463</v>
      </c>
      <c r="B865">
        <v>29</v>
      </c>
      <c r="C865" t="s">
        <v>148</v>
      </c>
      <c r="D865" t="s">
        <v>145</v>
      </c>
      <c r="E865" t="s">
        <v>158</v>
      </c>
      <c r="F865" t="s">
        <v>35</v>
      </c>
      <c r="G865" t="s">
        <v>44</v>
      </c>
      <c r="H865" t="s">
        <v>81</v>
      </c>
      <c r="I865" t="s">
        <v>42</v>
      </c>
      <c r="J865" t="s">
        <v>159</v>
      </c>
      <c r="K865" t="s">
        <v>42</v>
      </c>
      <c r="L865" t="s">
        <v>147</v>
      </c>
      <c r="M865" t="s">
        <v>49</v>
      </c>
      <c r="N865" t="s">
        <v>96</v>
      </c>
      <c r="O865" t="s">
        <v>156</v>
      </c>
      <c r="P865" t="s">
        <v>144</v>
      </c>
      <c r="Q865">
        <v>14</v>
      </c>
      <c r="R865">
        <v>1</v>
      </c>
      <c r="S865">
        <v>7</v>
      </c>
      <c r="T865">
        <v>1</v>
      </c>
      <c r="U865">
        <v>7</v>
      </c>
      <c r="V865">
        <v>10</v>
      </c>
      <c r="W865">
        <v>39</v>
      </c>
      <c r="X865">
        <v>144</v>
      </c>
      <c r="Y865">
        <v>11866</v>
      </c>
      <c r="Z865">
        <v>8268</v>
      </c>
      <c r="AA865">
        <v>2</v>
      </c>
      <c r="AB865" s="29">
        <v>44773</v>
      </c>
      <c r="AC865" s="29">
        <v>34196</v>
      </c>
      <c r="AD865" s="29">
        <v>42351</v>
      </c>
      <c r="AE865" s="29"/>
      <c r="AF865">
        <v>7</v>
      </c>
      <c r="AG865" t="s">
        <v>157</v>
      </c>
      <c r="AI865">
        <v>22</v>
      </c>
      <c r="AJ865">
        <v>1</v>
      </c>
      <c r="AK865" t="s">
        <v>150</v>
      </c>
      <c r="AL865" t="s">
        <v>78</v>
      </c>
      <c r="AM865">
        <f t="shared" si="65"/>
        <v>4</v>
      </c>
      <c r="AN865">
        <f t="shared" si="66"/>
        <v>12</v>
      </c>
      <c r="AO865" t="str">
        <f t="shared" si="67"/>
        <v/>
      </c>
      <c r="AP865" t="str">
        <f t="shared" si="68"/>
        <v/>
      </c>
      <c r="AQ865">
        <f t="shared" si="69"/>
        <v>2015</v>
      </c>
    </row>
    <row r="866" spans="1:43" x14ac:dyDescent="0.35">
      <c r="A866">
        <v>1218</v>
      </c>
      <c r="B866">
        <v>35</v>
      </c>
      <c r="C866" t="s">
        <v>148</v>
      </c>
      <c r="D866" t="s">
        <v>145</v>
      </c>
      <c r="E866" t="s">
        <v>158</v>
      </c>
      <c r="F866" t="s">
        <v>37</v>
      </c>
      <c r="G866" t="s">
        <v>43</v>
      </c>
      <c r="H866" t="s">
        <v>82</v>
      </c>
      <c r="I866" t="s">
        <v>43</v>
      </c>
      <c r="J866" t="s">
        <v>159</v>
      </c>
      <c r="K866" t="s">
        <v>41</v>
      </c>
      <c r="L866" t="s">
        <v>147</v>
      </c>
      <c r="M866" t="s">
        <v>49</v>
      </c>
      <c r="N866" t="s">
        <v>160</v>
      </c>
      <c r="O866" t="s">
        <v>43</v>
      </c>
      <c r="P866" t="s">
        <v>144</v>
      </c>
      <c r="Q866">
        <v>15</v>
      </c>
      <c r="R866">
        <v>3</v>
      </c>
      <c r="S866">
        <v>15</v>
      </c>
      <c r="T866">
        <v>1</v>
      </c>
      <c r="U866">
        <v>3</v>
      </c>
      <c r="V866">
        <v>17</v>
      </c>
      <c r="W866">
        <v>94</v>
      </c>
      <c r="X866">
        <v>1361</v>
      </c>
      <c r="Y866">
        <v>21026</v>
      </c>
      <c r="Z866">
        <v>8966</v>
      </c>
      <c r="AA866">
        <v>2</v>
      </c>
      <c r="AB866" s="29">
        <v>44773</v>
      </c>
      <c r="AC866" s="29">
        <v>32198</v>
      </c>
      <c r="AD866" s="29">
        <v>42520</v>
      </c>
      <c r="AE866" s="29"/>
      <c r="AF866">
        <v>6</v>
      </c>
      <c r="AG866" t="s">
        <v>149</v>
      </c>
      <c r="AI866">
        <v>29</v>
      </c>
      <c r="AJ866">
        <v>1</v>
      </c>
      <c r="AK866" t="s">
        <v>150</v>
      </c>
      <c r="AL866" t="s">
        <v>77</v>
      </c>
      <c r="AM866">
        <f t="shared" si="65"/>
        <v>2</v>
      </c>
      <c r="AN866">
        <f t="shared" si="66"/>
        <v>5</v>
      </c>
      <c r="AO866" t="str">
        <f t="shared" si="67"/>
        <v/>
      </c>
      <c r="AP866" t="str">
        <f t="shared" si="68"/>
        <v/>
      </c>
      <c r="AQ866">
        <f t="shared" si="69"/>
        <v>2016</v>
      </c>
    </row>
    <row r="867" spans="1:43" x14ac:dyDescent="0.35">
      <c r="A867">
        <v>438</v>
      </c>
      <c r="B867">
        <v>31</v>
      </c>
      <c r="C867" t="s">
        <v>148</v>
      </c>
      <c r="D867" t="s">
        <v>145</v>
      </c>
      <c r="E867" t="s">
        <v>158</v>
      </c>
      <c r="F867" t="s">
        <v>38</v>
      </c>
      <c r="G867" t="s">
        <v>44</v>
      </c>
      <c r="H867" t="s">
        <v>82</v>
      </c>
      <c r="I867" t="s">
        <v>43</v>
      </c>
      <c r="J867" t="s">
        <v>159</v>
      </c>
      <c r="K867" t="s">
        <v>44</v>
      </c>
      <c r="L867" t="s">
        <v>147</v>
      </c>
      <c r="M867" t="s">
        <v>49</v>
      </c>
      <c r="N867" t="s">
        <v>96</v>
      </c>
      <c r="O867" t="s">
        <v>43</v>
      </c>
      <c r="P867" t="s">
        <v>148</v>
      </c>
      <c r="Q867">
        <v>12</v>
      </c>
      <c r="R867">
        <v>4</v>
      </c>
      <c r="S867">
        <v>13</v>
      </c>
      <c r="T867">
        <v>1</v>
      </c>
      <c r="U867">
        <v>4</v>
      </c>
      <c r="V867">
        <v>7</v>
      </c>
      <c r="W867">
        <v>73</v>
      </c>
      <c r="X867">
        <v>691</v>
      </c>
      <c r="Y867">
        <v>7143</v>
      </c>
      <c r="Z867">
        <v>7547</v>
      </c>
      <c r="AA867">
        <v>3</v>
      </c>
      <c r="AB867" s="29">
        <v>44773</v>
      </c>
      <c r="AC867" s="29">
        <v>33744</v>
      </c>
      <c r="AD867" s="29">
        <v>42557</v>
      </c>
      <c r="AE867" s="29"/>
      <c r="AF867">
        <v>6</v>
      </c>
      <c r="AG867" t="s">
        <v>149</v>
      </c>
      <c r="AI867">
        <v>25</v>
      </c>
      <c r="AJ867">
        <v>1</v>
      </c>
      <c r="AK867" t="s">
        <v>150</v>
      </c>
      <c r="AL867" t="s">
        <v>77</v>
      </c>
      <c r="AM867">
        <f t="shared" si="65"/>
        <v>3</v>
      </c>
      <c r="AN867">
        <f t="shared" si="66"/>
        <v>7</v>
      </c>
      <c r="AO867" t="str">
        <f t="shared" si="67"/>
        <v/>
      </c>
      <c r="AP867" t="str">
        <f t="shared" si="68"/>
        <v/>
      </c>
      <c r="AQ867">
        <f t="shared" si="69"/>
        <v>2016</v>
      </c>
    </row>
    <row r="868" spans="1:43" x14ac:dyDescent="0.35">
      <c r="A868">
        <v>1171</v>
      </c>
      <c r="B868">
        <v>42</v>
      </c>
      <c r="C868" t="s">
        <v>148</v>
      </c>
      <c r="D868" t="s">
        <v>145</v>
      </c>
      <c r="E868" t="s">
        <v>158</v>
      </c>
      <c r="F868" t="s">
        <v>37</v>
      </c>
      <c r="G868" t="s">
        <v>42</v>
      </c>
      <c r="H868" t="s">
        <v>82</v>
      </c>
      <c r="I868" t="s">
        <v>43</v>
      </c>
      <c r="J868" t="s">
        <v>159</v>
      </c>
      <c r="K868" t="s">
        <v>41</v>
      </c>
      <c r="L868" t="s">
        <v>147</v>
      </c>
      <c r="M868" t="s">
        <v>50</v>
      </c>
      <c r="N868" t="s">
        <v>95</v>
      </c>
      <c r="P868" t="s">
        <v>148</v>
      </c>
      <c r="Q868">
        <v>13</v>
      </c>
      <c r="R868">
        <v>7</v>
      </c>
      <c r="S868">
        <v>9</v>
      </c>
      <c r="T868">
        <v>1</v>
      </c>
      <c r="U868">
        <v>5</v>
      </c>
      <c r="V868">
        <v>4</v>
      </c>
      <c r="W868">
        <v>45</v>
      </c>
      <c r="X868">
        <v>647</v>
      </c>
      <c r="Y868">
        <v>2253</v>
      </c>
      <c r="Z868">
        <v>5155</v>
      </c>
      <c r="AA868">
        <v>3</v>
      </c>
      <c r="AB868" s="29">
        <v>44773</v>
      </c>
      <c r="AC868" s="29">
        <v>29448</v>
      </c>
      <c r="AD868" s="29">
        <v>42645</v>
      </c>
      <c r="AE868" s="29"/>
      <c r="AF868">
        <v>6</v>
      </c>
      <c r="AG868" t="s">
        <v>153</v>
      </c>
      <c r="AI868">
        <v>36</v>
      </c>
      <c r="AJ868">
        <v>1</v>
      </c>
      <c r="AK868" t="s">
        <v>150</v>
      </c>
      <c r="AL868" t="s">
        <v>77</v>
      </c>
      <c r="AM868">
        <f t="shared" si="65"/>
        <v>4</v>
      </c>
      <c r="AN868">
        <f t="shared" si="66"/>
        <v>10</v>
      </c>
      <c r="AO868" t="str">
        <f t="shared" si="67"/>
        <v/>
      </c>
      <c r="AP868" t="str">
        <f t="shared" si="68"/>
        <v/>
      </c>
      <c r="AQ868">
        <f t="shared" si="69"/>
        <v>2016</v>
      </c>
    </row>
    <row r="869" spans="1:43" x14ac:dyDescent="0.35">
      <c r="A869">
        <v>690</v>
      </c>
      <c r="B869">
        <v>29</v>
      </c>
      <c r="C869" t="s">
        <v>148</v>
      </c>
      <c r="D869" t="s">
        <v>145</v>
      </c>
      <c r="E869" t="s">
        <v>158</v>
      </c>
      <c r="F869" t="s">
        <v>36</v>
      </c>
      <c r="G869" t="s">
        <v>42</v>
      </c>
      <c r="H869" t="s">
        <v>81</v>
      </c>
      <c r="I869" t="s">
        <v>43</v>
      </c>
      <c r="J869" t="s">
        <v>159</v>
      </c>
      <c r="K869" t="s">
        <v>43</v>
      </c>
      <c r="L869" t="s">
        <v>147</v>
      </c>
      <c r="M869" t="s">
        <v>48</v>
      </c>
      <c r="N869" t="s">
        <v>160</v>
      </c>
      <c r="O869" t="s">
        <v>41</v>
      </c>
      <c r="P869" t="s">
        <v>148</v>
      </c>
      <c r="Q869">
        <v>14</v>
      </c>
      <c r="R869">
        <v>1</v>
      </c>
      <c r="S869">
        <v>6</v>
      </c>
      <c r="T869">
        <v>1</v>
      </c>
      <c r="U869">
        <v>2</v>
      </c>
      <c r="V869">
        <v>3</v>
      </c>
      <c r="W869">
        <v>62</v>
      </c>
      <c r="X869">
        <v>1176</v>
      </c>
      <c r="Y869">
        <v>3487</v>
      </c>
      <c r="Z869">
        <v>5561</v>
      </c>
      <c r="AA869">
        <v>5</v>
      </c>
      <c r="AB869" s="29">
        <v>44773</v>
      </c>
      <c r="AC869" s="29">
        <v>34367</v>
      </c>
      <c r="AD869" s="29">
        <v>42896</v>
      </c>
      <c r="AE869" s="29"/>
      <c r="AF869">
        <v>5</v>
      </c>
      <c r="AG869" t="s">
        <v>157</v>
      </c>
      <c r="AI869">
        <v>24</v>
      </c>
      <c r="AJ869">
        <v>1</v>
      </c>
      <c r="AK869" t="s">
        <v>162</v>
      </c>
      <c r="AL869" t="s">
        <v>77</v>
      </c>
      <c r="AM869">
        <f t="shared" si="65"/>
        <v>2</v>
      </c>
      <c r="AN869">
        <f t="shared" si="66"/>
        <v>6</v>
      </c>
      <c r="AO869" t="str">
        <f t="shared" si="67"/>
        <v/>
      </c>
      <c r="AP869" t="str">
        <f t="shared" si="68"/>
        <v/>
      </c>
      <c r="AQ869">
        <f t="shared" si="69"/>
        <v>2017</v>
      </c>
    </row>
    <row r="870" spans="1:43" x14ac:dyDescent="0.35">
      <c r="A870">
        <v>1239</v>
      </c>
      <c r="B870">
        <v>40</v>
      </c>
      <c r="C870" t="s">
        <v>148</v>
      </c>
      <c r="D870" t="s">
        <v>145</v>
      </c>
      <c r="E870" t="s">
        <v>158</v>
      </c>
      <c r="F870" t="s">
        <v>38</v>
      </c>
      <c r="G870" t="s">
        <v>42</v>
      </c>
      <c r="H870" t="s">
        <v>81</v>
      </c>
      <c r="I870" t="s">
        <v>42</v>
      </c>
      <c r="J870" t="s">
        <v>159</v>
      </c>
      <c r="K870" t="s">
        <v>42</v>
      </c>
      <c r="L870" t="s">
        <v>147</v>
      </c>
      <c r="M870" t="s">
        <v>50</v>
      </c>
      <c r="N870" t="s">
        <v>96</v>
      </c>
      <c r="O870" t="s">
        <v>41</v>
      </c>
      <c r="P870" t="s">
        <v>148</v>
      </c>
      <c r="Q870">
        <v>12</v>
      </c>
      <c r="R870">
        <v>7</v>
      </c>
      <c r="S870">
        <v>7</v>
      </c>
      <c r="T870">
        <v>1</v>
      </c>
      <c r="U870">
        <v>3</v>
      </c>
      <c r="V870">
        <v>10</v>
      </c>
      <c r="W870">
        <v>84</v>
      </c>
      <c r="X870">
        <v>107</v>
      </c>
      <c r="Y870">
        <v>11591</v>
      </c>
      <c r="Z870">
        <v>6852</v>
      </c>
      <c r="AA870">
        <v>2</v>
      </c>
      <c r="AB870" s="29">
        <v>44773</v>
      </c>
      <c r="AC870" s="29">
        <v>30323</v>
      </c>
      <c r="AD870" s="29">
        <v>42943</v>
      </c>
      <c r="AE870" s="29"/>
      <c r="AF870">
        <v>5</v>
      </c>
      <c r="AG870" t="s">
        <v>153</v>
      </c>
      <c r="AI870">
        <v>35</v>
      </c>
      <c r="AJ870">
        <v>1</v>
      </c>
      <c r="AK870" t="s">
        <v>162</v>
      </c>
      <c r="AL870" t="s">
        <v>77</v>
      </c>
      <c r="AM870">
        <f t="shared" si="65"/>
        <v>3</v>
      </c>
      <c r="AN870">
        <f t="shared" si="66"/>
        <v>7</v>
      </c>
      <c r="AO870" t="str">
        <f t="shared" si="67"/>
        <v/>
      </c>
      <c r="AP870" t="str">
        <f t="shared" si="68"/>
        <v/>
      </c>
      <c r="AQ870">
        <f t="shared" si="69"/>
        <v>2017</v>
      </c>
    </row>
    <row r="871" spans="1:43" x14ac:dyDescent="0.35">
      <c r="A871">
        <v>1882</v>
      </c>
      <c r="B871">
        <v>34</v>
      </c>
      <c r="C871" t="s">
        <v>148</v>
      </c>
      <c r="D871" t="s">
        <v>145</v>
      </c>
      <c r="E871" t="s">
        <v>158</v>
      </c>
      <c r="F871" t="s">
        <v>38</v>
      </c>
      <c r="G871" t="s">
        <v>43</v>
      </c>
      <c r="H871" t="s">
        <v>82</v>
      </c>
      <c r="I871" t="s">
        <v>43</v>
      </c>
      <c r="J871" t="s">
        <v>159</v>
      </c>
      <c r="K871" t="s">
        <v>44</v>
      </c>
      <c r="L871" t="s">
        <v>147</v>
      </c>
      <c r="M871" t="s">
        <v>49</v>
      </c>
      <c r="N871" t="s">
        <v>160</v>
      </c>
      <c r="O871" t="s">
        <v>43</v>
      </c>
      <c r="P871" t="s">
        <v>144</v>
      </c>
      <c r="Q871">
        <v>13</v>
      </c>
      <c r="R871">
        <v>2</v>
      </c>
      <c r="S871">
        <v>9</v>
      </c>
      <c r="T871">
        <v>1</v>
      </c>
      <c r="U871">
        <v>0</v>
      </c>
      <c r="V871">
        <v>4</v>
      </c>
      <c r="W871">
        <v>64</v>
      </c>
      <c r="X871">
        <v>1480</v>
      </c>
      <c r="Y871">
        <v>24444</v>
      </c>
      <c r="Z871">
        <v>9713</v>
      </c>
      <c r="AA871">
        <v>3</v>
      </c>
      <c r="AB871" s="29">
        <v>44773</v>
      </c>
      <c r="AC871" s="29">
        <v>32432</v>
      </c>
      <c r="AD871" s="29">
        <v>42946</v>
      </c>
      <c r="AE871" s="29"/>
      <c r="AF871">
        <v>5</v>
      </c>
      <c r="AG871" t="s">
        <v>149</v>
      </c>
      <c r="AI871">
        <v>29</v>
      </c>
      <c r="AJ871">
        <v>2</v>
      </c>
      <c r="AK871" t="s">
        <v>162</v>
      </c>
      <c r="AL871" t="s">
        <v>78</v>
      </c>
      <c r="AM871">
        <f t="shared" si="65"/>
        <v>3</v>
      </c>
      <c r="AN871">
        <f t="shared" si="66"/>
        <v>7</v>
      </c>
      <c r="AO871" t="str">
        <f t="shared" si="67"/>
        <v/>
      </c>
      <c r="AP871" t="str">
        <f t="shared" si="68"/>
        <v/>
      </c>
      <c r="AQ871">
        <f t="shared" si="69"/>
        <v>2017</v>
      </c>
    </row>
    <row r="872" spans="1:43" x14ac:dyDescent="0.35">
      <c r="A872">
        <v>1207</v>
      </c>
      <c r="B872">
        <v>33</v>
      </c>
      <c r="C872" t="s">
        <v>148</v>
      </c>
      <c r="D872" t="s">
        <v>145</v>
      </c>
      <c r="E872" t="s">
        <v>168</v>
      </c>
      <c r="F872" t="s">
        <v>38</v>
      </c>
      <c r="G872" t="s">
        <v>42</v>
      </c>
      <c r="H872" t="s">
        <v>82</v>
      </c>
      <c r="I872" t="s">
        <v>43</v>
      </c>
      <c r="J872" t="s">
        <v>168</v>
      </c>
      <c r="K872" t="s">
        <v>43</v>
      </c>
      <c r="L872" t="s">
        <v>147</v>
      </c>
      <c r="M872" t="s">
        <v>49</v>
      </c>
      <c r="N872" t="s">
        <v>160</v>
      </c>
      <c r="O872" t="s">
        <v>41</v>
      </c>
      <c r="P872" t="s">
        <v>148</v>
      </c>
      <c r="Q872">
        <v>13</v>
      </c>
      <c r="R872">
        <v>1</v>
      </c>
      <c r="S872">
        <v>5</v>
      </c>
      <c r="T872">
        <v>1</v>
      </c>
      <c r="U872">
        <v>4</v>
      </c>
      <c r="V872">
        <v>2</v>
      </c>
      <c r="W872">
        <v>99</v>
      </c>
      <c r="X872">
        <v>147</v>
      </c>
      <c r="Y872">
        <v>8429</v>
      </c>
      <c r="Z872">
        <v>3600</v>
      </c>
      <c r="AA872">
        <v>2</v>
      </c>
      <c r="AB872" s="29">
        <v>44773</v>
      </c>
      <c r="AC872" s="29">
        <v>32913</v>
      </c>
      <c r="AD872" s="29">
        <v>42970</v>
      </c>
      <c r="AE872" s="29"/>
      <c r="AF872">
        <v>5</v>
      </c>
      <c r="AG872" t="s">
        <v>149</v>
      </c>
      <c r="AI872">
        <v>28</v>
      </c>
      <c r="AJ872">
        <v>2</v>
      </c>
      <c r="AK872" t="s">
        <v>162</v>
      </c>
      <c r="AL872" t="s">
        <v>77</v>
      </c>
      <c r="AM872">
        <f t="shared" si="65"/>
        <v>3</v>
      </c>
      <c r="AN872">
        <f t="shared" si="66"/>
        <v>8</v>
      </c>
      <c r="AO872" t="str">
        <f t="shared" si="67"/>
        <v/>
      </c>
      <c r="AP872" t="str">
        <f t="shared" si="68"/>
        <v/>
      </c>
      <c r="AQ872">
        <f t="shared" si="69"/>
        <v>2017</v>
      </c>
    </row>
    <row r="873" spans="1:43" x14ac:dyDescent="0.35">
      <c r="A873">
        <v>527</v>
      </c>
      <c r="B873">
        <v>25</v>
      </c>
      <c r="C873" t="s">
        <v>148</v>
      </c>
      <c r="D873" t="s">
        <v>145</v>
      </c>
      <c r="E873" t="s">
        <v>158</v>
      </c>
      <c r="F873" t="s">
        <v>36</v>
      </c>
      <c r="G873" t="s">
        <v>42</v>
      </c>
      <c r="H873" t="s">
        <v>81</v>
      </c>
      <c r="I873" t="s">
        <v>42</v>
      </c>
      <c r="J873" t="s">
        <v>159</v>
      </c>
      <c r="K873" t="s">
        <v>44</v>
      </c>
      <c r="L873" t="s">
        <v>147</v>
      </c>
      <c r="M873" t="s">
        <v>49</v>
      </c>
      <c r="N873" t="s">
        <v>95</v>
      </c>
      <c r="P873" t="s">
        <v>144</v>
      </c>
      <c r="Q873">
        <v>11</v>
      </c>
      <c r="R873">
        <v>1</v>
      </c>
      <c r="S873">
        <v>5</v>
      </c>
      <c r="T873">
        <v>1</v>
      </c>
      <c r="U873">
        <v>3</v>
      </c>
      <c r="V873">
        <v>4</v>
      </c>
      <c r="W873">
        <v>99</v>
      </c>
      <c r="X873">
        <v>891</v>
      </c>
      <c r="Y873">
        <v>12090</v>
      </c>
      <c r="Z873">
        <v>4487</v>
      </c>
      <c r="AA873">
        <v>3</v>
      </c>
      <c r="AB873" s="29">
        <v>44773</v>
      </c>
      <c r="AC873" s="29">
        <v>35963</v>
      </c>
      <c r="AD873" s="29">
        <v>43036</v>
      </c>
      <c r="AE873" s="29"/>
      <c r="AF873">
        <v>5</v>
      </c>
      <c r="AG873" t="s">
        <v>157</v>
      </c>
      <c r="AI873">
        <v>20</v>
      </c>
      <c r="AJ873">
        <v>1</v>
      </c>
      <c r="AK873" t="s">
        <v>162</v>
      </c>
      <c r="AL873" t="s">
        <v>77</v>
      </c>
      <c r="AM873">
        <f t="shared" si="65"/>
        <v>4</v>
      </c>
      <c r="AN873">
        <f t="shared" si="66"/>
        <v>10</v>
      </c>
      <c r="AO873" t="str">
        <f t="shared" si="67"/>
        <v/>
      </c>
      <c r="AP873" t="str">
        <f t="shared" si="68"/>
        <v/>
      </c>
      <c r="AQ873">
        <f t="shared" si="69"/>
        <v>2017</v>
      </c>
    </row>
    <row r="874" spans="1:43" x14ac:dyDescent="0.35">
      <c r="A874">
        <v>516</v>
      </c>
      <c r="B874">
        <v>40</v>
      </c>
      <c r="C874" t="s">
        <v>148</v>
      </c>
      <c r="D874" t="s">
        <v>145</v>
      </c>
      <c r="E874" t="s">
        <v>158</v>
      </c>
      <c r="F874" t="s">
        <v>36</v>
      </c>
      <c r="G874" t="s">
        <v>44</v>
      </c>
      <c r="H874" t="s">
        <v>81</v>
      </c>
      <c r="I874" t="s">
        <v>43</v>
      </c>
      <c r="J874" t="s">
        <v>159</v>
      </c>
      <c r="K874" t="s">
        <v>42</v>
      </c>
      <c r="L874" t="s">
        <v>147</v>
      </c>
      <c r="M874" t="s">
        <v>49</v>
      </c>
      <c r="N874" t="s">
        <v>96</v>
      </c>
      <c r="O874" t="s">
        <v>156</v>
      </c>
      <c r="P874" t="s">
        <v>148</v>
      </c>
      <c r="Q874">
        <v>12</v>
      </c>
      <c r="R874">
        <v>7</v>
      </c>
      <c r="S874">
        <v>8</v>
      </c>
      <c r="T874">
        <v>1</v>
      </c>
      <c r="U874">
        <v>3</v>
      </c>
      <c r="V874">
        <v>2</v>
      </c>
      <c r="W874">
        <v>46</v>
      </c>
      <c r="X874">
        <v>759</v>
      </c>
      <c r="Y874">
        <v>22553</v>
      </c>
      <c r="Z874">
        <v>5715</v>
      </c>
      <c r="AA874">
        <v>5</v>
      </c>
      <c r="AB874" s="29">
        <v>44773</v>
      </c>
      <c r="AC874" s="29">
        <v>30169</v>
      </c>
      <c r="AD874" s="29">
        <v>43057</v>
      </c>
      <c r="AE874" s="29"/>
      <c r="AF874">
        <v>5</v>
      </c>
      <c r="AG874" t="s">
        <v>153</v>
      </c>
      <c r="AI874">
        <v>35</v>
      </c>
      <c r="AJ874">
        <v>1</v>
      </c>
      <c r="AK874" t="s">
        <v>162</v>
      </c>
      <c r="AL874" t="s">
        <v>77</v>
      </c>
      <c r="AM874">
        <f t="shared" si="65"/>
        <v>4</v>
      </c>
      <c r="AN874">
        <f t="shared" si="66"/>
        <v>11</v>
      </c>
      <c r="AO874" t="str">
        <f t="shared" si="67"/>
        <v/>
      </c>
      <c r="AP874" t="str">
        <f t="shared" si="68"/>
        <v/>
      </c>
      <c r="AQ874">
        <f t="shared" si="69"/>
        <v>2017</v>
      </c>
    </row>
    <row r="875" spans="1:43" x14ac:dyDescent="0.35">
      <c r="A875">
        <v>1836</v>
      </c>
      <c r="B875">
        <v>26</v>
      </c>
      <c r="C875" t="s">
        <v>148</v>
      </c>
      <c r="D875" t="s">
        <v>145</v>
      </c>
      <c r="E875" t="s">
        <v>158</v>
      </c>
      <c r="F875" t="s">
        <v>38</v>
      </c>
      <c r="G875" t="s">
        <v>43</v>
      </c>
      <c r="H875" t="s">
        <v>82</v>
      </c>
      <c r="I875" t="s">
        <v>43</v>
      </c>
      <c r="J875" t="s">
        <v>159</v>
      </c>
      <c r="K875" t="s">
        <v>44</v>
      </c>
      <c r="L875" t="s">
        <v>147</v>
      </c>
      <c r="M875" t="s">
        <v>49</v>
      </c>
      <c r="N875" t="s">
        <v>95</v>
      </c>
      <c r="P875" t="s">
        <v>148</v>
      </c>
      <c r="Q875">
        <v>13</v>
      </c>
      <c r="R875">
        <v>1</v>
      </c>
      <c r="S875">
        <v>5</v>
      </c>
      <c r="T875">
        <v>1</v>
      </c>
      <c r="U875">
        <v>2</v>
      </c>
      <c r="V875">
        <v>10</v>
      </c>
      <c r="W875">
        <v>46</v>
      </c>
      <c r="X875">
        <v>572</v>
      </c>
      <c r="Y875">
        <v>9125</v>
      </c>
      <c r="Z875">
        <v>4684</v>
      </c>
      <c r="AA875">
        <v>4</v>
      </c>
      <c r="AB875" s="29">
        <v>44773</v>
      </c>
      <c r="AC875" s="29">
        <v>35625</v>
      </c>
      <c r="AD875" s="29">
        <v>43060</v>
      </c>
      <c r="AE875" s="29"/>
      <c r="AF875">
        <v>5</v>
      </c>
      <c r="AG875" t="s">
        <v>157</v>
      </c>
      <c r="AI875">
        <v>21</v>
      </c>
      <c r="AJ875">
        <v>2</v>
      </c>
      <c r="AK875" t="s">
        <v>162</v>
      </c>
      <c r="AL875" t="s">
        <v>77</v>
      </c>
      <c r="AM875">
        <f t="shared" si="65"/>
        <v>4</v>
      </c>
      <c r="AN875">
        <f t="shared" si="66"/>
        <v>11</v>
      </c>
      <c r="AO875" t="str">
        <f t="shared" si="67"/>
        <v/>
      </c>
      <c r="AP875" t="str">
        <f t="shared" si="68"/>
        <v/>
      </c>
      <c r="AQ875">
        <f t="shared" si="69"/>
        <v>2017</v>
      </c>
    </row>
    <row r="876" spans="1:43" x14ac:dyDescent="0.35">
      <c r="A876">
        <v>152</v>
      </c>
      <c r="B876">
        <v>37</v>
      </c>
      <c r="C876" t="s">
        <v>148</v>
      </c>
      <c r="D876" t="s">
        <v>145</v>
      </c>
      <c r="E876" t="s">
        <v>158</v>
      </c>
      <c r="F876" t="s">
        <v>38</v>
      </c>
      <c r="G876" t="s">
        <v>43</v>
      </c>
      <c r="H876" t="s">
        <v>82</v>
      </c>
      <c r="I876" t="s">
        <v>43</v>
      </c>
      <c r="J876" t="s">
        <v>159</v>
      </c>
      <c r="K876" t="s">
        <v>44</v>
      </c>
      <c r="L876" t="s">
        <v>147</v>
      </c>
      <c r="M876" t="s">
        <v>49</v>
      </c>
      <c r="N876" t="s">
        <v>95</v>
      </c>
      <c r="P876" t="s">
        <v>148</v>
      </c>
      <c r="Q876">
        <v>12</v>
      </c>
      <c r="R876">
        <v>2</v>
      </c>
      <c r="S876">
        <v>12</v>
      </c>
      <c r="T876">
        <v>1</v>
      </c>
      <c r="U876">
        <v>3</v>
      </c>
      <c r="V876">
        <v>3</v>
      </c>
      <c r="W876">
        <v>87</v>
      </c>
      <c r="X876">
        <v>1189</v>
      </c>
      <c r="Y876">
        <v>14506</v>
      </c>
      <c r="Z876">
        <v>7428</v>
      </c>
      <c r="AA876">
        <v>3</v>
      </c>
      <c r="AB876" s="29">
        <v>44773</v>
      </c>
      <c r="AC876" s="29">
        <v>31473</v>
      </c>
      <c r="AD876" s="29">
        <v>43098</v>
      </c>
      <c r="AE876" s="29"/>
      <c r="AF876">
        <v>5</v>
      </c>
      <c r="AG876" t="s">
        <v>149</v>
      </c>
      <c r="AI876">
        <v>32</v>
      </c>
      <c r="AJ876">
        <v>2</v>
      </c>
      <c r="AK876" t="s">
        <v>162</v>
      </c>
      <c r="AL876" t="s">
        <v>77</v>
      </c>
      <c r="AM876">
        <f t="shared" si="65"/>
        <v>4</v>
      </c>
      <c r="AN876">
        <f t="shared" si="66"/>
        <v>12</v>
      </c>
      <c r="AO876" t="str">
        <f t="shared" si="67"/>
        <v/>
      </c>
      <c r="AP876" t="str">
        <f t="shared" si="68"/>
        <v/>
      </c>
      <c r="AQ876">
        <f t="shared" si="69"/>
        <v>2017</v>
      </c>
    </row>
    <row r="877" spans="1:43" x14ac:dyDescent="0.35">
      <c r="A877">
        <v>1650</v>
      </c>
      <c r="B877">
        <v>29</v>
      </c>
      <c r="C877" t="s">
        <v>148</v>
      </c>
      <c r="D877" t="s">
        <v>145</v>
      </c>
      <c r="E877" t="s">
        <v>158</v>
      </c>
      <c r="F877" t="s">
        <v>38</v>
      </c>
      <c r="G877" t="s">
        <v>43</v>
      </c>
      <c r="H877" t="s">
        <v>82</v>
      </c>
      <c r="I877" t="s">
        <v>42</v>
      </c>
      <c r="J877" t="s">
        <v>159</v>
      </c>
      <c r="K877" t="s">
        <v>43</v>
      </c>
      <c r="L877" t="s">
        <v>147</v>
      </c>
      <c r="M877" t="s">
        <v>49</v>
      </c>
      <c r="N877" t="s">
        <v>95</v>
      </c>
      <c r="P877" t="s">
        <v>148</v>
      </c>
      <c r="Q877">
        <v>11</v>
      </c>
      <c r="R877">
        <v>9</v>
      </c>
      <c r="S877">
        <v>8</v>
      </c>
      <c r="T877">
        <v>1</v>
      </c>
      <c r="U877">
        <v>4</v>
      </c>
      <c r="V877">
        <v>10</v>
      </c>
      <c r="W877">
        <v>42</v>
      </c>
      <c r="X877">
        <v>469</v>
      </c>
      <c r="Y877">
        <v>23413</v>
      </c>
      <c r="Z877">
        <v>5869</v>
      </c>
      <c r="AA877">
        <v>2</v>
      </c>
      <c r="AB877" s="29">
        <v>44773</v>
      </c>
      <c r="AC877" s="29">
        <v>34460</v>
      </c>
      <c r="AD877" s="29">
        <v>43101</v>
      </c>
      <c r="AE877" s="29"/>
      <c r="AF877">
        <v>5</v>
      </c>
      <c r="AG877" t="s">
        <v>157</v>
      </c>
      <c r="AI877">
        <v>24</v>
      </c>
      <c r="AJ877">
        <v>1</v>
      </c>
      <c r="AK877" t="s">
        <v>162</v>
      </c>
      <c r="AL877" t="s">
        <v>77</v>
      </c>
      <c r="AM877">
        <f t="shared" si="65"/>
        <v>1</v>
      </c>
      <c r="AN877">
        <f t="shared" si="66"/>
        <v>1</v>
      </c>
      <c r="AO877" t="str">
        <f t="shared" si="67"/>
        <v/>
      </c>
      <c r="AP877" t="str">
        <f t="shared" si="68"/>
        <v/>
      </c>
      <c r="AQ877">
        <f t="shared" si="69"/>
        <v>2018</v>
      </c>
    </row>
    <row r="878" spans="1:43" x14ac:dyDescent="0.35">
      <c r="A878">
        <v>975</v>
      </c>
      <c r="B878">
        <v>35</v>
      </c>
      <c r="C878" t="s">
        <v>148</v>
      </c>
      <c r="D878" t="s">
        <v>145</v>
      </c>
      <c r="E878" t="s">
        <v>158</v>
      </c>
      <c r="F878" t="s">
        <v>38</v>
      </c>
      <c r="G878" t="s">
        <v>43</v>
      </c>
      <c r="H878" t="s">
        <v>81</v>
      </c>
      <c r="I878" t="s">
        <v>43</v>
      </c>
      <c r="J878" t="s">
        <v>159</v>
      </c>
      <c r="K878" t="s">
        <v>43</v>
      </c>
      <c r="L878" t="s">
        <v>147</v>
      </c>
      <c r="M878" t="s">
        <v>49</v>
      </c>
      <c r="N878" t="s">
        <v>160</v>
      </c>
      <c r="P878" t="s">
        <v>148</v>
      </c>
      <c r="Q878">
        <v>16</v>
      </c>
      <c r="R878">
        <v>1</v>
      </c>
      <c r="S878">
        <v>5</v>
      </c>
      <c r="T878">
        <v>1</v>
      </c>
      <c r="U878">
        <v>0</v>
      </c>
      <c r="V878">
        <v>18</v>
      </c>
      <c r="W878">
        <v>86</v>
      </c>
      <c r="X878">
        <v>1219</v>
      </c>
      <c r="Y878">
        <v>6179</v>
      </c>
      <c r="Z878">
        <v>4601</v>
      </c>
      <c r="AA878">
        <v>3</v>
      </c>
      <c r="AB878" s="29">
        <v>44773</v>
      </c>
      <c r="AC878" s="29">
        <v>32171</v>
      </c>
      <c r="AD878" s="29">
        <v>43106</v>
      </c>
      <c r="AE878" s="29"/>
      <c r="AF878">
        <v>5</v>
      </c>
      <c r="AG878" t="s">
        <v>149</v>
      </c>
      <c r="AI878">
        <v>30</v>
      </c>
      <c r="AJ878">
        <v>2</v>
      </c>
      <c r="AK878" t="s">
        <v>162</v>
      </c>
      <c r="AL878" t="s">
        <v>78</v>
      </c>
      <c r="AM878">
        <f t="shared" si="65"/>
        <v>1</v>
      </c>
      <c r="AN878">
        <f t="shared" si="66"/>
        <v>1</v>
      </c>
      <c r="AO878" t="str">
        <f t="shared" si="67"/>
        <v/>
      </c>
      <c r="AP878" t="str">
        <f t="shared" si="68"/>
        <v/>
      </c>
      <c r="AQ878">
        <f t="shared" si="69"/>
        <v>2018</v>
      </c>
    </row>
    <row r="879" spans="1:43" x14ac:dyDescent="0.35">
      <c r="A879">
        <v>1625</v>
      </c>
      <c r="B879">
        <v>47</v>
      </c>
      <c r="C879" t="s">
        <v>148</v>
      </c>
      <c r="D879" t="s">
        <v>145</v>
      </c>
      <c r="E879" t="s">
        <v>168</v>
      </c>
      <c r="F879" t="s">
        <v>37</v>
      </c>
      <c r="G879" t="s">
        <v>44</v>
      </c>
      <c r="H879" t="s">
        <v>81</v>
      </c>
      <c r="I879" t="s">
        <v>43</v>
      </c>
      <c r="J879" t="s">
        <v>169</v>
      </c>
      <c r="K879" t="s">
        <v>43</v>
      </c>
      <c r="L879" t="s">
        <v>147</v>
      </c>
      <c r="M879" t="s">
        <v>49</v>
      </c>
      <c r="N879" t="s">
        <v>160</v>
      </c>
      <c r="O879" t="s">
        <v>41</v>
      </c>
      <c r="P879" t="s">
        <v>148</v>
      </c>
      <c r="Q879">
        <v>11</v>
      </c>
      <c r="R879">
        <v>3</v>
      </c>
      <c r="S879">
        <v>27</v>
      </c>
      <c r="T879">
        <v>1</v>
      </c>
      <c r="U879">
        <v>0</v>
      </c>
      <c r="V879">
        <v>26</v>
      </c>
      <c r="W879">
        <v>98</v>
      </c>
      <c r="X879">
        <v>1176</v>
      </c>
      <c r="Y879">
        <v>5220</v>
      </c>
      <c r="Z879">
        <v>19658</v>
      </c>
      <c r="AA879">
        <v>2</v>
      </c>
      <c r="AB879" s="29">
        <v>44773</v>
      </c>
      <c r="AC879" s="29">
        <v>27616</v>
      </c>
      <c r="AD879" s="29">
        <v>43113</v>
      </c>
      <c r="AE879" s="29"/>
      <c r="AF879">
        <v>5</v>
      </c>
      <c r="AG879" t="s">
        <v>153</v>
      </c>
      <c r="AI879">
        <v>42</v>
      </c>
      <c r="AJ879">
        <v>2</v>
      </c>
      <c r="AK879" t="s">
        <v>162</v>
      </c>
      <c r="AL879" t="s">
        <v>78</v>
      </c>
      <c r="AM879">
        <f t="shared" si="65"/>
        <v>1</v>
      </c>
      <c r="AN879">
        <f t="shared" si="66"/>
        <v>1</v>
      </c>
      <c r="AO879" t="str">
        <f t="shared" si="67"/>
        <v/>
      </c>
      <c r="AP879" t="str">
        <f t="shared" si="68"/>
        <v/>
      </c>
      <c r="AQ879">
        <f t="shared" si="69"/>
        <v>2018</v>
      </c>
    </row>
    <row r="880" spans="1:43" x14ac:dyDescent="0.35">
      <c r="A880">
        <v>677</v>
      </c>
      <c r="B880">
        <v>33</v>
      </c>
      <c r="C880" t="s">
        <v>148</v>
      </c>
      <c r="D880" t="s">
        <v>145</v>
      </c>
      <c r="E880" t="s">
        <v>158</v>
      </c>
      <c r="F880" t="s">
        <v>37</v>
      </c>
      <c r="G880" t="s">
        <v>43</v>
      </c>
      <c r="H880" t="s">
        <v>82</v>
      </c>
      <c r="I880" t="s">
        <v>43</v>
      </c>
      <c r="J880" t="s">
        <v>159</v>
      </c>
      <c r="K880" t="s">
        <v>43</v>
      </c>
      <c r="L880" t="s">
        <v>147</v>
      </c>
      <c r="M880" t="s">
        <v>49</v>
      </c>
      <c r="N880" t="s">
        <v>96</v>
      </c>
      <c r="P880" t="s">
        <v>148</v>
      </c>
      <c r="Q880">
        <v>12</v>
      </c>
      <c r="R880">
        <v>0</v>
      </c>
      <c r="S880">
        <v>6</v>
      </c>
      <c r="T880">
        <v>1</v>
      </c>
      <c r="U880">
        <v>2</v>
      </c>
      <c r="V880">
        <v>8</v>
      </c>
      <c r="W880">
        <v>39</v>
      </c>
      <c r="X880">
        <v>1216</v>
      </c>
      <c r="Y880">
        <v>20431</v>
      </c>
      <c r="Z880">
        <v>7104</v>
      </c>
      <c r="AA880">
        <v>3</v>
      </c>
      <c r="AB880" s="29">
        <v>44773</v>
      </c>
      <c r="AC880" s="29">
        <v>33054</v>
      </c>
      <c r="AD880" s="29">
        <v>43135</v>
      </c>
      <c r="AE880" s="29"/>
      <c r="AF880">
        <v>4</v>
      </c>
      <c r="AG880" t="s">
        <v>149</v>
      </c>
      <c r="AI880">
        <v>29</v>
      </c>
      <c r="AJ880">
        <v>2</v>
      </c>
      <c r="AK880" t="s">
        <v>162</v>
      </c>
      <c r="AL880" t="s">
        <v>77</v>
      </c>
      <c r="AM880">
        <f t="shared" si="65"/>
        <v>1</v>
      </c>
      <c r="AN880">
        <f t="shared" si="66"/>
        <v>2</v>
      </c>
      <c r="AO880" t="str">
        <f t="shared" si="67"/>
        <v/>
      </c>
      <c r="AP880" t="str">
        <f t="shared" si="68"/>
        <v/>
      </c>
      <c r="AQ880">
        <f t="shared" si="69"/>
        <v>2018</v>
      </c>
    </row>
    <row r="881" spans="1:43" x14ac:dyDescent="0.35">
      <c r="A881">
        <v>1503</v>
      </c>
      <c r="B881">
        <v>47</v>
      </c>
      <c r="C881" t="s">
        <v>148</v>
      </c>
      <c r="D881" t="s">
        <v>145</v>
      </c>
      <c r="E881" t="s">
        <v>158</v>
      </c>
      <c r="F881" t="s">
        <v>38</v>
      </c>
      <c r="G881" t="s">
        <v>43</v>
      </c>
      <c r="H881" t="s">
        <v>81</v>
      </c>
      <c r="I881" t="s">
        <v>43</v>
      </c>
      <c r="J881" t="s">
        <v>159</v>
      </c>
      <c r="K881" t="s">
        <v>43</v>
      </c>
      <c r="L881" t="s">
        <v>147</v>
      </c>
      <c r="M881" t="s">
        <v>48</v>
      </c>
      <c r="N881" t="s">
        <v>160</v>
      </c>
      <c r="O881" t="s">
        <v>41</v>
      </c>
      <c r="P881" t="s">
        <v>144</v>
      </c>
      <c r="Q881">
        <v>17</v>
      </c>
      <c r="R881">
        <v>3</v>
      </c>
      <c r="S881">
        <v>11</v>
      </c>
      <c r="T881">
        <v>1</v>
      </c>
      <c r="U881">
        <v>2</v>
      </c>
      <c r="V881">
        <v>14</v>
      </c>
      <c r="W881">
        <v>78</v>
      </c>
      <c r="X881">
        <v>571</v>
      </c>
      <c r="Y881">
        <v>24200</v>
      </c>
      <c r="Z881">
        <v>4591</v>
      </c>
      <c r="AA881">
        <v>4</v>
      </c>
      <c r="AB881" s="29">
        <v>44773</v>
      </c>
      <c r="AC881" s="29">
        <v>27716</v>
      </c>
      <c r="AD881" s="29">
        <v>43165</v>
      </c>
      <c r="AE881" s="29"/>
      <c r="AF881">
        <v>4</v>
      </c>
      <c r="AG881" t="s">
        <v>153</v>
      </c>
      <c r="AI881">
        <v>43</v>
      </c>
      <c r="AJ881">
        <v>2</v>
      </c>
      <c r="AK881" t="s">
        <v>162</v>
      </c>
      <c r="AL881" t="s">
        <v>77</v>
      </c>
      <c r="AM881">
        <f t="shared" si="65"/>
        <v>1</v>
      </c>
      <c r="AN881">
        <f t="shared" si="66"/>
        <v>3</v>
      </c>
      <c r="AO881" t="str">
        <f t="shared" si="67"/>
        <v/>
      </c>
      <c r="AP881" t="str">
        <f t="shared" si="68"/>
        <v/>
      </c>
      <c r="AQ881">
        <f t="shared" si="69"/>
        <v>2018</v>
      </c>
    </row>
    <row r="882" spans="1:43" x14ac:dyDescent="0.35">
      <c r="A882">
        <v>1164</v>
      </c>
      <c r="B882">
        <v>35</v>
      </c>
      <c r="C882" t="s">
        <v>148</v>
      </c>
      <c r="D882" t="s">
        <v>145</v>
      </c>
      <c r="E882" t="s">
        <v>168</v>
      </c>
      <c r="F882" t="s">
        <v>37</v>
      </c>
      <c r="G882" t="s">
        <v>43</v>
      </c>
      <c r="H882" t="s">
        <v>82</v>
      </c>
      <c r="I882" t="s">
        <v>43</v>
      </c>
      <c r="J882" t="s">
        <v>168</v>
      </c>
      <c r="K882" t="s">
        <v>43</v>
      </c>
      <c r="L882" t="s">
        <v>147</v>
      </c>
      <c r="M882" t="s">
        <v>47</v>
      </c>
      <c r="N882" t="s">
        <v>95</v>
      </c>
      <c r="P882" t="s">
        <v>148</v>
      </c>
      <c r="Q882">
        <v>17</v>
      </c>
      <c r="R882">
        <v>1</v>
      </c>
      <c r="S882">
        <v>6</v>
      </c>
      <c r="T882">
        <v>1</v>
      </c>
      <c r="U882">
        <v>4</v>
      </c>
      <c r="V882">
        <v>8</v>
      </c>
      <c r="W882">
        <v>100</v>
      </c>
      <c r="X882">
        <v>528</v>
      </c>
      <c r="Y882">
        <v>7108</v>
      </c>
      <c r="Z882">
        <v>4323</v>
      </c>
      <c r="AA882">
        <v>2</v>
      </c>
      <c r="AB882" s="29">
        <v>44773</v>
      </c>
      <c r="AC882" s="29">
        <v>31993</v>
      </c>
      <c r="AD882" s="29">
        <v>43186</v>
      </c>
      <c r="AE882" s="29"/>
      <c r="AF882">
        <v>4</v>
      </c>
      <c r="AG882" t="s">
        <v>149</v>
      </c>
      <c r="AI882">
        <v>31</v>
      </c>
      <c r="AJ882">
        <v>1</v>
      </c>
      <c r="AK882" t="s">
        <v>162</v>
      </c>
      <c r="AL882" t="s">
        <v>77</v>
      </c>
      <c r="AM882">
        <f t="shared" si="65"/>
        <v>1</v>
      </c>
      <c r="AN882">
        <f t="shared" si="66"/>
        <v>3</v>
      </c>
      <c r="AO882" t="str">
        <f t="shared" si="67"/>
        <v/>
      </c>
      <c r="AP882" t="str">
        <f t="shared" si="68"/>
        <v/>
      </c>
      <c r="AQ882">
        <f t="shared" si="69"/>
        <v>2018</v>
      </c>
    </row>
    <row r="883" spans="1:43" x14ac:dyDescent="0.35">
      <c r="A883">
        <v>1912</v>
      </c>
      <c r="B883">
        <v>31</v>
      </c>
      <c r="C883" t="s">
        <v>148</v>
      </c>
      <c r="D883" t="s">
        <v>145</v>
      </c>
      <c r="E883" t="s">
        <v>158</v>
      </c>
      <c r="F883" t="s">
        <v>36</v>
      </c>
      <c r="G883" t="s">
        <v>43</v>
      </c>
      <c r="H883" t="s">
        <v>81</v>
      </c>
      <c r="I883" t="s">
        <v>43</v>
      </c>
      <c r="J883" t="s">
        <v>159</v>
      </c>
      <c r="K883" t="s">
        <v>44</v>
      </c>
      <c r="L883" t="s">
        <v>147</v>
      </c>
      <c r="M883" t="s">
        <v>49</v>
      </c>
      <c r="N883" t="s">
        <v>96</v>
      </c>
      <c r="O883" t="s">
        <v>41</v>
      </c>
      <c r="P883" t="s">
        <v>144</v>
      </c>
      <c r="Q883">
        <v>11</v>
      </c>
      <c r="R883">
        <v>2</v>
      </c>
      <c r="S883">
        <v>8</v>
      </c>
      <c r="T883">
        <v>1</v>
      </c>
      <c r="U883">
        <v>4</v>
      </c>
      <c r="V883">
        <v>10</v>
      </c>
      <c r="W883">
        <v>86</v>
      </c>
      <c r="X883">
        <v>1079</v>
      </c>
      <c r="Y883">
        <v>20115</v>
      </c>
      <c r="Z883">
        <v>6583</v>
      </c>
      <c r="AA883">
        <v>2</v>
      </c>
      <c r="AB883" s="29">
        <v>44773</v>
      </c>
      <c r="AC883" s="29">
        <v>33616</v>
      </c>
      <c r="AD883" s="29">
        <v>43238</v>
      </c>
      <c r="AE883" s="29"/>
      <c r="AF883">
        <v>4</v>
      </c>
      <c r="AG883" t="s">
        <v>149</v>
      </c>
      <c r="AI883">
        <v>27</v>
      </c>
      <c r="AJ883">
        <v>1</v>
      </c>
      <c r="AK883" t="s">
        <v>162</v>
      </c>
      <c r="AL883" t="s">
        <v>77</v>
      </c>
      <c r="AM883">
        <f t="shared" si="65"/>
        <v>2</v>
      </c>
      <c r="AN883">
        <f t="shared" si="66"/>
        <v>5</v>
      </c>
      <c r="AO883" t="str">
        <f t="shared" si="67"/>
        <v/>
      </c>
      <c r="AP883" t="str">
        <f t="shared" si="68"/>
        <v/>
      </c>
      <c r="AQ883">
        <f t="shared" si="69"/>
        <v>2018</v>
      </c>
    </row>
    <row r="884" spans="1:43" x14ac:dyDescent="0.35">
      <c r="A884">
        <v>1390</v>
      </c>
      <c r="B884">
        <v>39</v>
      </c>
      <c r="C884" t="s">
        <v>148</v>
      </c>
      <c r="D884" t="s">
        <v>145</v>
      </c>
      <c r="E884" t="s">
        <v>158</v>
      </c>
      <c r="F884" t="s">
        <v>37</v>
      </c>
      <c r="G884" t="s">
        <v>41</v>
      </c>
      <c r="H884" t="s">
        <v>82</v>
      </c>
      <c r="I884" t="s">
        <v>42</v>
      </c>
      <c r="J884" t="s">
        <v>159</v>
      </c>
      <c r="K884" t="s">
        <v>44</v>
      </c>
      <c r="L884" t="s">
        <v>147</v>
      </c>
      <c r="M884" t="s">
        <v>50</v>
      </c>
      <c r="N884" t="s">
        <v>160</v>
      </c>
      <c r="O884" t="s">
        <v>156</v>
      </c>
      <c r="P884" t="s">
        <v>144</v>
      </c>
      <c r="Q884">
        <v>12</v>
      </c>
      <c r="R884">
        <v>3</v>
      </c>
      <c r="S884">
        <v>8</v>
      </c>
      <c r="T884">
        <v>1</v>
      </c>
      <c r="U884">
        <v>4</v>
      </c>
      <c r="V884">
        <v>21</v>
      </c>
      <c r="W884">
        <v>44</v>
      </c>
      <c r="X884">
        <v>1498</v>
      </c>
      <c r="Y884">
        <v>3567</v>
      </c>
      <c r="Z884">
        <v>6120</v>
      </c>
      <c r="AA884">
        <v>2</v>
      </c>
      <c r="AB884" s="29">
        <v>44773</v>
      </c>
      <c r="AC884" s="29">
        <v>30762</v>
      </c>
      <c r="AD884" s="29">
        <v>43277</v>
      </c>
      <c r="AE884" s="29"/>
      <c r="AF884">
        <v>4</v>
      </c>
      <c r="AG884" t="s">
        <v>149</v>
      </c>
      <c r="AI884">
        <v>35</v>
      </c>
      <c r="AJ884">
        <v>1</v>
      </c>
      <c r="AK884" t="s">
        <v>162</v>
      </c>
      <c r="AL884" t="s">
        <v>77</v>
      </c>
      <c r="AM884">
        <f t="shared" si="65"/>
        <v>2</v>
      </c>
      <c r="AN884">
        <f t="shared" si="66"/>
        <v>6</v>
      </c>
      <c r="AO884" t="str">
        <f t="shared" si="67"/>
        <v/>
      </c>
      <c r="AP884" t="str">
        <f t="shared" si="68"/>
        <v/>
      </c>
      <c r="AQ884">
        <f t="shared" si="69"/>
        <v>2018</v>
      </c>
    </row>
    <row r="885" spans="1:43" x14ac:dyDescent="0.35">
      <c r="A885">
        <v>1908</v>
      </c>
      <c r="B885">
        <v>36</v>
      </c>
      <c r="C885" t="s">
        <v>148</v>
      </c>
      <c r="D885" t="s">
        <v>145</v>
      </c>
      <c r="E885" t="s">
        <v>158</v>
      </c>
      <c r="F885" t="s">
        <v>36</v>
      </c>
      <c r="G885" t="s">
        <v>43</v>
      </c>
      <c r="H885" t="s">
        <v>82</v>
      </c>
      <c r="I885" t="s">
        <v>42</v>
      </c>
      <c r="J885" t="s">
        <v>159</v>
      </c>
      <c r="K885" t="s">
        <v>42</v>
      </c>
      <c r="L885" t="s">
        <v>147</v>
      </c>
      <c r="M885" t="s">
        <v>47</v>
      </c>
      <c r="N885" t="s">
        <v>160</v>
      </c>
      <c r="O885" t="s">
        <v>156</v>
      </c>
      <c r="P885" t="s">
        <v>148</v>
      </c>
      <c r="Q885">
        <v>16</v>
      </c>
      <c r="R885">
        <v>2</v>
      </c>
      <c r="S885">
        <v>12</v>
      </c>
      <c r="T885">
        <v>1</v>
      </c>
      <c r="U885">
        <v>3</v>
      </c>
      <c r="V885">
        <v>17</v>
      </c>
      <c r="W885">
        <v>33</v>
      </c>
      <c r="X885">
        <v>335</v>
      </c>
      <c r="Y885">
        <v>16822</v>
      </c>
      <c r="Z885">
        <v>5507</v>
      </c>
      <c r="AA885">
        <v>1</v>
      </c>
      <c r="AB885" s="29">
        <v>44773</v>
      </c>
      <c r="AC885" s="29">
        <v>31748</v>
      </c>
      <c r="AD885" s="29">
        <v>43545</v>
      </c>
      <c r="AE885" s="29"/>
      <c r="AF885">
        <v>3</v>
      </c>
      <c r="AG885" t="s">
        <v>149</v>
      </c>
      <c r="AI885">
        <v>33</v>
      </c>
      <c r="AJ885">
        <v>2</v>
      </c>
      <c r="AK885" t="s">
        <v>170</v>
      </c>
      <c r="AL885" t="s">
        <v>78</v>
      </c>
      <c r="AM885">
        <f t="shared" si="65"/>
        <v>1</v>
      </c>
      <c r="AN885">
        <f t="shared" si="66"/>
        <v>3</v>
      </c>
      <c r="AO885" t="str">
        <f t="shared" si="67"/>
        <v/>
      </c>
      <c r="AP885" t="str">
        <f t="shared" si="68"/>
        <v/>
      </c>
      <c r="AQ885">
        <f t="shared" si="69"/>
        <v>2019</v>
      </c>
    </row>
    <row r="886" spans="1:43" x14ac:dyDescent="0.35">
      <c r="A886">
        <v>1568</v>
      </c>
      <c r="B886">
        <v>30</v>
      </c>
      <c r="C886" t="s">
        <v>148</v>
      </c>
      <c r="D886" t="s">
        <v>145</v>
      </c>
      <c r="E886" t="s">
        <v>158</v>
      </c>
      <c r="F886" t="s">
        <v>37</v>
      </c>
      <c r="G886" t="s">
        <v>43</v>
      </c>
      <c r="H886" t="s">
        <v>82</v>
      </c>
      <c r="I886" t="s">
        <v>43</v>
      </c>
      <c r="J886" t="s">
        <v>159</v>
      </c>
      <c r="K886" t="s">
        <v>42</v>
      </c>
      <c r="L886" t="s">
        <v>147</v>
      </c>
      <c r="M886" t="s">
        <v>49</v>
      </c>
      <c r="N886" t="s">
        <v>160</v>
      </c>
      <c r="O886" t="s">
        <v>41</v>
      </c>
      <c r="P886" t="s">
        <v>148</v>
      </c>
      <c r="Q886">
        <v>12</v>
      </c>
      <c r="R886">
        <v>3</v>
      </c>
      <c r="S886">
        <v>9</v>
      </c>
      <c r="T886">
        <v>1</v>
      </c>
      <c r="U886">
        <v>3</v>
      </c>
      <c r="V886">
        <v>29</v>
      </c>
      <c r="W886">
        <v>33</v>
      </c>
      <c r="X886">
        <v>1288</v>
      </c>
      <c r="Y886">
        <v>17799</v>
      </c>
      <c r="Z886">
        <v>9250</v>
      </c>
      <c r="AA886">
        <v>3</v>
      </c>
      <c r="AB886" s="29">
        <v>44773</v>
      </c>
      <c r="AC886" s="29">
        <v>34158</v>
      </c>
      <c r="AD886" s="29">
        <v>43550</v>
      </c>
      <c r="AE886" s="29"/>
      <c r="AF886">
        <v>3</v>
      </c>
      <c r="AG886" t="s">
        <v>149</v>
      </c>
      <c r="AI886">
        <v>27</v>
      </c>
      <c r="AJ886">
        <v>1</v>
      </c>
      <c r="AK886" t="s">
        <v>170</v>
      </c>
      <c r="AL886" t="s">
        <v>78</v>
      </c>
      <c r="AM886">
        <f t="shared" si="65"/>
        <v>1</v>
      </c>
      <c r="AN886">
        <f t="shared" si="66"/>
        <v>3</v>
      </c>
      <c r="AO886" t="str">
        <f t="shared" si="67"/>
        <v/>
      </c>
      <c r="AP886" t="str">
        <f t="shared" si="68"/>
        <v/>
      </c>
      <c r="AQ886">
        <f t="shared" si="69"/>
        <v>2019</v>
      </c>
    </row>
    <row r="887" spans="1:43" x14ac:dyDescent="0.35">
      <c r="A887">
        <v>1240</v>
      </c>
      <c r="B887">
        <v>25</v>
      </c>
      <c r="C887" t="s">
        <v>148</v>
      </c>
      <c r="D887" t="s">
        <v>145</v>
      </c>
      <c r="E887" t="s">
        <v>158</v>
      </c>
      <c r="F887" t="s">
        <v>37</v>
      </c>
      <c r="G887" t="s">
        <v>43</v>
      </c>
      <c r="H887" t="s">
        <v>82</v>
      </c>
      <c r="I887" t="s">
        <v>43</v>
      </c>
      <c r="J887" t="s">
        <v>159</v>
      </c>
      <c r="K887" t="s">
        <v>44</v>
      </c>
      <c r="L887" t="s">
        <v>147</v>
      </c>
      <c r="M887" t="s">
        <v>49</v>
      </c>
      <c r="N887" t="s">
        <v>95</v>
      </c>
      <c r="P887" t="s">
        <v>148</v>
      </c>
      <c r="Q887">
        <v>14</v>
      </c>
      <c r="R887">
        <v>0</v>
      </c>
      <c r="S887">
        <v>5</v>
      </c>
      <c r="T887">
        <v>1</v>
      </c>
      <c r="U887">
        <v>1</v>
      </c>
      <c r="V887">
        <v>10</v>
      </c>
      <c r="W887">
        <v>57</v>
      </c>
      <c r="X887">
        <v>1356</v>
      </c>
      <c r="Y887">
        <v>20623</v>
      </c>
      <c r="Z887">
        <v>4950</v>
      </c>
      <c r="AA887">
        <v>4</v>
      </c>
      <c r="AB887" s="29">
        <v>44773</v>
      </c>
      <c r="AC887" s="29">
        <v>35711</v>
      </c>
      <c r="AD887" s="29">
        <v>43563</v>
      </c>
      <c r="AE887" s="29"/>
      <c r="AF887">
        <v>3</v>
      </c>
      <c r="AG887" t="s">
        <v>157</v>
      </c>
      <c r="AI887">
        <v>22</v>
      </c>
      <c r="AJ887">
        <v>1</v>
      </c>
      <c r="AK887" t="s">
        <v>170</v>
      </c>
      <c r="AL887" t="s">
        <v>77</v>
      </c>
      <c r="AM887">
        <f t="shared" si="65"/>
        <v>2</v>
      </c>
      <c r="AN887">
        <f t="shared" si="66"/>
        <v>4</v>
      </c>
      <c r="AO887" t="str">
        <f t="shared" si="67"/>
        <v/>
      </c>
      <c r="AP887" t="str">
        <f t="shared" si="68"/>
        <v/>
      </c>
      <c r="AQ887">
        <f t="shared" si="69"/>
        <v>2019</v>
      </c>
    </row>
    <row r="888" spans="1:43" x14ac:dyDescent="0.35">
      <c r="A888">
        <v>330</v>
      </c>
      <c r="B888">
        <v>32</v>
      </c>
      <c r="C888" t="s">
        <v>148</v>
      </c>
      <c r="D888" t="s">
        <v>145</v>
      </c>
      <c r="E888" t="s">
        <v>158</v>
      </c>
      <c r="F888" t="s">
        <v>36</v>
      </c>
      <c r="G888" t="s">
        <v>43</v>
      </c>
      <c r="H888" t="s">
        <v>81</v>
      </c>
      <c r="I888" t="s">
        <v>43</v>
      </c>
      <c r="J888" t="s">
        <v>166</v>
      </c>
      <c r="K888" t="s">
        <v>42</v>
      </c>
      <c r="L888" t="s">
        <v>147</v>
      </c>
      <c r="M888" t="s">
        <v>49</v>
      </c>
      <c r="N888" t="s">
        <v>160</v>
      </c>
      <c r="O888" t="s">
        <v>41</v>
      </c>
      <c r="P888" t="s">
        <v>148</v>
      </c>
      <c r="Q888">
        <v>11</v>
      </c>
      <c r="R888">
        <v>2</v>
      </c>
      <c r="S888">
        <v>6</v>
      </c>
      <c r="T888">
        <v>1</v>
      </c>
      <c r="U888">
        <v>2</v>
      </c>
      <c r="V888">
        <v>4</v>
      </c>
      <c r="W888">
        <v>56</v>
      </c>
      <c r="X888">
        <v>1401</v>
      </c>
      <c r="Y888">
        <v>20990</v>
      </c>
      <c r="Z888">
        <v>3931</v>
      </c>
      <c r="AA888">
        <v>5</v>
      </c>
      <c r="AB888" s="29">
        <v>44773</v>
      </c>
      <c r="AC888" s="29">
        <v>33368</v>
      </c>
      <c r="AD888" s="29">
        <v>43611</v>
      </c>
      <c r="AE888" s="29"/>
      <c r="AF888">
        <v>3</v>
      </c>
      <c r="AG888" t="s">
        <v>149</v>
      </c>
      <c r="AI888">
        <v>29</v>
      </c>
      <c r="AJ888">
        <v>1</v>
      </c>
      <c r="AK888" t="s">
        <v>170</v>
      </c>
      <c r="AL888" t="s">
        <v>77</v>
      </c>
      <c r="AM888">
        <f t="shared" si="65"/>
        <v>2</v>
      </c>
      <c r="AN888">
        <f t="shared" si="66"/>
        <v>5</v>
      </c>
      <c r="AO888" t="str">
        <f t="shared" si="67"/>
        <v/>
      </c>
      <c r="AP888" t="str">
        <f t="shared" si="68"/>
        <v/>
      </c>
      <c r="AQ888">
        <f t="shared" si="69"/>
        <v>2019</v>
      </c>
    </row>
    <row r="889" spans="1:43" x14ac:dyDescent="0.35">
      <c r="A889">
        <v>470</v>
      </c>
      <c r="B889">
        <v>42</v>
      </c>
      <c r="C889" t="s">
        <v>148</v>
      </c>
      <c r="D889" t="s">
        <v>145</v>
      </c>
      <c r="E889" t="s">
        <v>168</v>
      </c>
      <c r="F889" t="s">
        <v>35</v>
      </c>
      <c r="G889" t="s">
        <v>43</v>
      </c>
      <c r="H889" t="s">
        <v>82</v>
      </c>
      <c r="I889" t="s">
        <v>43</v>
      </c>
      <c r="J889" t="s">
        <v>168</v>
      </c>
      <c r="K889" t="s">
        <v>43</v>
      </c>
      <c r="L889" t="s">
        <v>147</v>
      </c>
      <c r="M889" t="s">
        <v>49</v>
      </c>
      <c r="N889" t="s">
        <v>96</v>
      </c>
      <c r="O889" t="s">
        <v>41</v>
      </c>
      <c r="P889" t="s">
        <v>144</v>
      </c>
      <c r="Q889">
        <v>11</v>
      </c>
      <c r="R889">
        <v>0</v>
      </c>
      <c r="S889">
        <v>4</v>
      </c>
      <c r="T889">
        <v>1</v>
      </c>
      <c r="U889">
        <v>0</v>
      </c>
      <c r="V889">
        <v>2</v>
      </c>
      <c r="W889">
        <v>52</v>
      </c>
      <c r="X889">
        <v>544</v>
      </c>
      <c r="Y889">
        <v>24017</v>
      </c>
      <c r="Z889">
        <v>2696</v>
      </c>
      <c r="AA889">
        <v>5</v>
      </c>
      <c r="AB889" s="29">
        <v>44773</v>
      </c>
      <c r="AC889" s="29">
        <v>29696</v>
      </c>
      <c r="AD889" s="29">
        <v>43749</v>
      </c>
      <c r="AE889" s="29"/>
      <c r="AF889">
        <v>3</v>
      </c>
      <c r="AG889" t="s">
        <v>153</v>
      </c>
      <c r="AI889">
        <v>39</v>
      </c>
      <c r="AJ889">
        <v>1</v>
      </c>
      <c r="AK889" t="s">
        <v>170</v>
      </c>
      <c r="AL889" t="s">
        <v>77</v>
      </c>
      <c r="AM889">
        <f t="shared" si="65"/>
        <v>4</v>
      </c>
      <c r="AN889">
        <f t="shared" si="66"/>
        <v>10</v>
      </c>
      <c r="AO889" t="str">
        <f t="shared" si="67"/>
        <v/>
      </c>
      <c r="AP889" t="str">
        <f t="shared" si="68"/>
        <v/>
      </c>
      <c r="AQ889">
        <f t="shared" si="69"/>
        <v>2019</v>
      </c>
    </row>
    <row r="890" spans="1:43" x14ac:dyDescent="0.35">
      <c r="A890">
        <v>580</v>
      </c>
      <c r="B890">
        <v>46</v>
      </c>
      <c r="C890" t="s">
        <v>148</v>
      </c>
      <c r="D890" t="s">
        <v>145</v>
      </c>
      <c r="E890" t="s">
        <v>158</v>
      </c>
      <c r="F890" t="s">
        <v>38</v>
      </c>
      <c r="G890" t="s">
        <v>43</v>
      </c>
      <c r="H890" t="s">
        <v>81</v>
      </c>
      <c r="I890" t="s">
        <v>42</v>
      </c>
      <c r="J890" t="s">
        <v>159</v>
      </c>
      <c r="K890" t="s">
        <v>44</v>
      </c>
      <c r="L890" t="s">
        <v>147</v>
      </c>
      <c r="M890" t="s">
        <v>49</v>
      </c>
      <c r="N890" t="s">
        <v>160</v>
      </c>
      <c r="O890" t="s">
        <v>41</v>
      </c>
      <c r="P890" t="s">
        <v>144</v>
      </c>
      <c r="Q890">
        <v>19</v>
      </c>
      <c r="R890">
        <v>2</v>
      </c>
      <c r="S890">
        <v>15</v>
      </c>
      <c r="T890">
        <v>1</v>
      </c>
      <c r="U890">
        <v>2</v>
      </c>
      <c r="V890">
        <v>10</v>
      </c>
      <c r="W890">
        <v>94</v>
      </c>
      <c r="X890">
        <v>1125</v>
      </c>
      <c r="Y890">
        <v>11563</v>
      </c>
      <c r="Z890">
        <v>9071</v>
      </c>
      <c r="AA890">
        <v>3</v>
      </c>
      <c r="AB890" s="29">
        <v>44773</v>
      </c>
      <c r="AC890" s="29">
        <v>28036</v>
      </c>
      <c r="AD890" s="29">
        <v>43759</v>
      </c>
      <c r="AE890" s="29"/>
      <c r="AF890">
        <v>3</v>
      </c>
      <c r="AG890" t="s">
        <v>153</v>
      </c>
      <c r="AI890">
        <v>43</v>
      </c>
      <c r="AJ890">
        <v>1</v>
      </c>
      <c r="AK890" t="s">
        <v>170</v>
      </c>
      <c r="AL890" t="s">
        <v>78</v>
      </c>
      <c r="AM890">
        <f t="shared" si="65"/>
        <v>4</v>
      </c>
      <c r="AN890">
        <f t="shared" si="66"/>
        <v>10</v>
      </c>
      <c r="AO890" t="str">
        <f t="shared" si="67"/>
        <v/>
      </c>
      <c r="AP890" t="str">
        <f t="shared" si="68"/>
        <v/>
      </c>
      <c r="AQ890">
        <f t="shared" si="69"/>
        <v>2019</v>
      </c>
    </row>
    <row r="891" spans="1:43" x14ac:dyDescent="0.35">
      <c r="A891">
        <v>1583</v>
      </c>
      <c r="B891">
        <v>38</v>
      </c>
      <c r="C891" t="s">
        <v>148</v>
      </c>
      <c r="D891" t="s">
        <v>145</v>
      </c>
      <c r="E891" t="s">
        <v>158</v>
      </c>
      <c r="F891" t="s">
        <v>38</v>
      </c>
      <c r="G891" t="s">
        <v>42</v>
      </c>
      <c r="H891" t="s">
        <v>81</v>
      </c>
      <c r="I891" t="s">
        <v>43</v>
      </c>
      <c r="J891" t="s">
        <v>159</v>
      </c>
      <c r="K891" t="s">
        <v>42</v>
      </c>
      <c r="L891" t="s">
        <v>147</v>
      </c>
      <c r="M891" t="s">
        <v>50</v>
      </c>
      <c r="N891" t="s">
        <v>95</v>
      </c>
      <c r="P891" t="s">
        <v>148</v>
      </c>
      <c r="Q891">
        <v>12</v>
      </c>
      <c r="R891">
        <v>2</v>
      </c>
      <c r="S891">
        <v>8</v>
      </c>
      <c r="T891">
        <v>1</v>
      </c>
      <c r="U891">
        <v>2</v>
      </c>
      <c r="V891">
        <v>16</v>
      </c>
      <c r="W891">
        <v>90</v>
      </c>
      <c r="X891">
        <v>437</v>
      </c>
      <c r="Y891">
        <v>16379</v>
      </c>
      <c r="Z891">
        <v>4198</v>
      </c>
      <c r="AA891">
        <v>5</v>
      </c>
      <c r="AB891" s="29">
        <v>44773</v>
      </c>
      <c r="AC891" s="29">
        <v>31005</v>
      </c>
      <c r="AD891" s="29">
        <v>43826</v>
      </c>
      <c r="AE891" s="29"/>
      <c r="AF891">
        <v>3</v>
      </c>
      <c r="AG891" t="s">
        <v>149</v>
      </c>
      <c r="AI891">
        <v>35</v>
      </c>
      <c r="AJ891">
        <v>1</v>
      </c>
      <c r="AK891" t="s">
        <v>170</v>
      </c>
      <c r="AL891" t="s">
        <v>78</v>
      </c>
      <c r="AM891">
        <f t="shared" si="65"/>
        <v>4</v>
      </c>
      <c r="AN891">
        <f t="shared" si="66"/>
        <v>12</v>
      </c>
      <c r="AO891" t="str">
        <f t="shared" si="67"/>
        <v/>
      </c>
      <c r="AP891" t="str">
        <f t="shared" si="68"/>
        <v/>
      </c>
      <c r="AQ891">
        <f t="shared" si="69"/>
        <v>2019</v>
      </c>
    </row>
    <row r="892" spans="1:43" x14ac:dyDescent="0.35">
      <c r="A892">
        <v>669</v>
      </c>
      <c r="B892">
        <v>21</v>
      </c>
      <c r="C892" t="s">
        <v>148</v>
      </c>
      <c r="D892" t="s">
        <v>145</v>
      </c>
      <c r="E892" t="s">
        <v>158</v>
      </c>
      <c r="F892" t="s">
        <v>35</v>
      </c>
      <c r="G892" t="s">
        <v>43</v>
      </c>
      <c r="H892" t="s">
        <v>82</v>
      </c>
      <c r="I892" t="s">
        <v>43</v>
      </c>
      <c r="J892" t="s">
        <v>166</v>
      </c>
      <c r="K892" t="s">
        <v>43</v>
      </c>
      <c r="L892" t="s">
        <v>147</v>
      </c>
      <c r="M892" t="s">
        <v>49</v>
      </c>
      <c r="N892" t="s">
        <v>95</v>
      </c>
      <c r="P892" t="s">
        <v>148</v>
      </c>
      <c r="Q892">
        <v>11</v>
      </c>
      <c r="R892">
        <v>1</v>
      </c>
      <c r="S892">
        <v>3</v>
      </c>
      <c r="T892">
        <v>1</v>
      </c>
      <c r="U892">
        <v>2</v>
      </c>
      <c r="V892">
        <v>22</v>
      </c>
      <c r="W892">
        <v>49</v>
      </c>
      <c r="X892">
        <v>1343</v>
      </c>
      <c r="Y892">
        <v>24444</v>
      </c>
      <c r="Z892">
        <v>3447</v>
      </c>
      <c r="AA892">
        <v>2</v>
      </c>
      <c r="AB892" s="29">
        <v>44773</v>
      </c>
      <c r="AC892" s="29">
        <v>37133</v>
      </c>
      <c r="AD892" s="29">
        <v>43845</v>
      </c>
      <c r="AE892" s="29"/>
      <c r="AF892">
        <v>3</v>
      </c>
      <c r="AG892" t="s">
        <v>157</v>
      </c>
      <c r="AI892">
        <v>18</v>
      </c>
      <c r="AJ892">
        <v>1</v>
      </c>
      <c r="AK892" t="s">
        <v>170</v>
      </c>
      <c r="AL892" t="s">
        <v>77</v>
      </c>
      <c r="AM892">
        <f t="shared" si="65"/>
        <v>1</v>
      </c>
      <c r="AN892">
        <f t="shared" si="66"/>
        <v>1</v>
      </c>
      <c r="AO892" t="str">
        <f t="shared" si="67"/>
        <v/>
      </c>
      <c r="AP892" t="str">
        <f t="shared" si="68"/>
        <v/>
      </c>
      <c r="AQ892">
        <f t="shared" si="69"/>
        <v>2020</v>
      </c>
    </row>
    <row r="893" spans="1:43" x14ac:dyDescent="0.35">
      <c r="A893">
        <v>1396</v>
      </c>
      <c r="B893">
        <v>32</v>
      </c>
      <c r="C893" t="s">
        <v>148</v>
      </c>
      <c r="D893" t="s">
        <v>145</v>
      </c>
      <c r="E893" t="s">
        <v>158</v>
      </c>
      <c r="F893" t="s">
        <v>35</v>
      </c>
      <c r="G893" t="s">
        <v>43</v>
      </c>
      <c r="H893" t="s">
        <v>82</v>
      </c>
      <c r="I893" t="s">
        <v>43</v>
      </c>
      <c r="J893" t="s">
        <v>159</v>
      </c>
      <c r="K893" t="s">
        <v>42</v>
      </c>
      <c r="L893" t="s">
        <v>147</v>
      </c>
      <c r="M893" t="s">
        <v>48</v>
      </c>
      <c r="N893" t="s">
        <v>160</v>
      </c>
      <c r="O893" t="s">
        <v>43</v>
      </c>
      <c r="P893" t="s">
        <v>144</v>
      </c>
      <c r="Q893">
        <v>13</v>
      </c>
      <c r="R893">
        <v>0</v>
      </c>
      <c r="S893">
        <v>4</v>
      </c>
      <c r="T893">
        <v>1</v>
      </c>
      <c r="U893">
        <v>2</v>
      </c>
      <c r="V893">
        <v>2</v>
      </c>
      <c r="W893">
        <v>36</v>
      </c>
      <c r="X893">
        <v>499</v>
      </c>
      <c r="Y893">
        <v>20497</v>
      </c>
      <c r="Z893">
        <v>4078</v>
      </c>
      <c r="AA893">
        <v>3</v>
      </c>
      <c r="AB893" s="29">
        <v>44773</v>
      </c>
      <c r="AC893" s="29">
        <v>33348</v>
      </c>
      <c r="AD893" s="29">
        <v>43870</v>
      </c>
      <c r="AE893" s="29"/>
      <c r="AF893">
        <v>2</v>
      </c>
      <c r="AG893" t="s">
        <v>149</v>
      </c>
      <c r="AI893">
        <v>30</v>
      </c>
      <c r="AJ893">
        <v>1</v>
      </c>
      <c r="AK893" t="s">
        <v>170</v>
      </c>
      <c r="AL893" t="s">
        <v>77</v>
      </c>
      <c r="AM893">
        <f t="shared" si="65"/>
        <v>1</v>
      </c>
      <c r="AN893">
        <f t="shared" si="66"/>
        <v>2</v>
      </c>
      <c r="AO893" t="str">
        <f t="shared" si="67"/>
        <v/>
      </c>
      <c r="AP893" t="str">
        <f t="shared" si="68"/>
        <v/>
      </c>
      <c r="AQ893">
        <f t="shared" si="69"/>
        <v>2020</v>
      </c>
    </row>
    <row r="894" spans="1:43" x14ac:dyDescent="0.35">
      <c r="A894">
        <v>925</v>
      </c>
      <c r="B894">
        <v>47</v>
      </c>
      <c r="C894" t="s">
        <v>148</v>
      </c>
      <c r="D894" t="s">
        <v>145</v>
      </c>
      <c r="E894" t="s">
        <v>158</v>
      </c>
      <c r="F894" t="s">
        <v>37</v>
      </c>
      <c r="G894" t="s">
        <v>44</v>
      </c>
      <c r="H894" t="s">
        <v>81</v>
      </c>
      <c r="I894" t="s">
        <v>42</v>
      </c>
      <c r="J894" t="s">
        <v>166</v>
      </c>
      <c r="K894" t="s">
        <v>44</v>
      </c>
      <c r="L894" t="s">
        <v>147</v>
      </c>
      <c r="M894" t="s">
        <v>48</v>
      </c>
      <c r="N894" t="s">
        <v>95</v>
      </c>
      <c r="P894" t="s">
        <v>144</v>
      </c>
      <c r="Q894">
        <v>18</v>
      </c>
      <c r="R894">
        <v>1</v>
      </c>
      <c r="S894">
        <v>3</v>
      </c>
      <c r="T894">
        <v>1</v>
      </c>
      <c r="U894">
        <v>2</v>
      </c>
      <c r="V894">
        <v>2</v>
      </c>
      <c r="W894">
        <v>65</v>
      </c>
      <c r="X894">
        <v>1454</v>
      </c>
      <c r="Y894">
        <v>13137</v>
      </c>
      <c r="Z894">
        <v>3294</v>
      </c>
      <c r="AA894">
        <v>3</v>
      </c>
      <c r="AB894" s="29">
        <v>44773</v>
      </c>
      <c r="AC894" s="29">
        <v>27969</v>
      </c>
      <c r="AD894" s="29">
        <v>43874</v>
      </c>
      <c r="AE894" s="29"/>
      <c r="AF894">
        <v>2</v>
      </c>
      <c r="AG894" t="s">
        <v>153</v>
      </c>
      <c r="AI894">
        <v>45</v>
      </c>
      <c r="AJ894">
        <v>2</v>
      </c>
      <c r="AK894" t="s">
        <v>170</v>
      </c>
      <c r="AL894" t="s">
        <v>77</v>
      </c>
      <c r="AM894">
        <f t="shared" si="65"/>
        <v>1</v>
      </c>
      <c r="AN894">
        <f t="shared" si="66"/>
        <v>2</v>
      </c>
      <c r="AO894" t="str">
        <f t="shared" si="67"/>
        <v/>
      </c>
      <c r="AP894" t="str">
        <f t="shared" si="68"/>
        <v/>
      </c>
      <c r="AQ894">
        <f t="shared" si="69"/>
        <v>2020</v>
      </c>
    </row>
    <row r="895" spans="1:43" x14ac:dyDescent="0.35">
      <c r="A895">
        <v>1399</v>
      </c>
      <c r="B895">
        <v>25</v>
      </c>
      <c r="C895" t="s">
        <v>148</v>
      </c>
      <c r="D895" t="s">
        <v>145</v>
      </c>
      <c r="E895" t="s">
        <v>158</v>
      </c>
      <c r="F895" t="s">
        <v>35</v>
      </c>
      <c r="G895" t="s">
        <v>41</v>
      </c>
      <c r="H895" t="s">
        <v>82</v>
      </c>
      <c r="I895" t="s">
        <v>44</v>
      </c>
      <c r="J895" t="s">
        <v>159</v>
      </c>
      <c r="K895" t="s">
        <v>43</v>
      </c>
      <c r="L895" t="s">
        <v>147</v>
      </c>
      <c r="M895" t="s">
        <v>48</v>
      </c>
      <c r="N895" t="s">
        <v>160</v>
      </c>
      <c r="P895" t="s">
        <v>148</v>
      </c>
      <c r="Q895">
        <v>11</v>
      </c>
      <c r="R895">
        <v>2</v>
      </c>
      <c r="S895">
        <v>6</v>
      </c>
      <c r="T895">
        <v>1</v>
      </c>
      <c r="U895">
        <v>2</v>
      </c>
      <c r="V895">
        <v>18</v>
      </c>
      <c r="W895">
        <v>93</v>
      </c>
      <c r="X895">
        <v>1372</v>
      </c>
      <c r="Y895">
        <v>12477</v>
      </c>
      <c r="Z895">
        <v>6232</v>
      </c>
      <c r="AA895">
        <v>3</v>
      </c>
      <c r="AB895" s="29">
        <v>44773</v>
      </c>
      <c r="AC895" s="29">
        <v>35819</v>
      </c>
      <c r="AD895" s="29">
        <v>43896</v>
      </c>
      <c r="AE895" s="29"/>
      <c r="AF895">
        <v>2</v>
      </c>
      <c r="AG895" t="s">
        <v>157</v>
      </c>
      <c r="AI895">
        <v>23</v>
      </c>
      <c r="AJ895">
        <v>2</v>
      </c>
      <c r="AK895" t="s">
        <v>170</v>
      </c>
      <c r="AL895" t="s">
        <v>77</v>
      </c>
      <c r="AM895">
        <f t="shared" si="65"/>
        <v>1</v>
      </c>
      <c r="AN895">
        <f t="shared" si="66"/>
        <v>3</v>
      </c>
      <c r="AO895" t="str">
        <f t="shared" si="67"/>
        <v/>
      </c>
      <c r="AP895" t="str">
        <f t="shared" si="68"/>
        <v/>
      </c>
      <c r="AQ895">
        <f t="shared" si="69"/>
        <v>2020</v>
      </c>
    </row>
    <row r="896" spans="1:43" x14ac:dyDescent="0.35">
      <c r="A896">
        <v>1676</v>
      </c>
      <c r="B896">
        <v>47</v>
      </c>
      <c r="C896" t="s">
        <v>148</v>
      </c>
      <c r="D896" t="s">
        <v>145</v>
      </c>
      <c r="E896" t="s">
        <v>158</v>
      </c>
      <c r="F896" t="s">
        <v>37</v>
      </c>
      <c r="G896" t="s">
        <v>42</v>
      </c>
      <c r="H896" t="s">
        <v>81</v>
      </c>
      <c r="I896" t="s">
        <v>44</v>
      </c>
      <c r="J896" t="s">
        <v>169</v>
      </c>
      <c r="K896" t="s">
        <v>42</v>
      </c>
      <c r="L896" t="s">
        <v>147</v>
      </c>
      <c r="M896" t="s">
        <v>49</v>
      </c>
      <c r="N896" t="s">
        <v>96</v>
      </c>
      <c r="O896" t="s">
        <v>43</v>
      </c>
      <c r="P896" t="s">
        <v>148</v>
      </c>
      <c r="Q896">
        <v>14</v>
      </c>
      <c r="R896">
        <v>6</v>
      </c>
      <c r="S896">
        <v>29</v>
      </c>
      <c r="T896">
        <v>1</v>
      </c>
      <c r="U896">
        <v>2</v>
      </c>
      <c r="V896">
        <v>2</v>
      </c>
      <c r="W896">
        <v>47</v>
      </c>
      <c r="X896">
        <v>1225</v>
      </c>
      <c r="Y896">
        <v>21086</v>
      </c>
      <c r="Z896">
        <v>15972</v>
      </c>
      <c r="AA896">
        <v>2</v>
      </c>
      <c r="AB896" s="29">
        <v>44773</v>
      </c>
      <c r="AC896" s="29">
        <v>27651</v>
      </c>
      <c r="AD896" s="29">
        <v>43914</v>
      </c>
      <c r="AE896" s="29"/>
      <c r="AF896">
        <v>2</v>
      </c>
      <c r="AG896" t="s">
        <v>153</v>
      </c>
      <c r="AI896">
        <v>45</v>
      </c>
      <c r="AJ896">
        <v>2</v>
      </c>
      <c r="AK896" t="s">
        <v>170</v>
      </c>
      <c r="AL896" t="s">
        <v>78</v>
      </c>
      <c r="AM896">
        <f t="shared" si="65"/>
        <v>1</v>
      </c>
      <c r="AN896">
        <f t="shared" si="66"/>
        <v>3</v>
      </c>
      <c r="AO896" t="str">
        <f t="shared" si="67"/>
        <v/>
      </c>
      <c r="AP896" t="str">
        <f t="shared" si="68"/>
        <v/>
      </c>
      <c r="AQ896">
        <f t="shared" si="69"/>
        <v>2020</v>
      </c>
    </row>
    <row r="897" spans="1:43" x14ac:dyDescent="0.35">
      <c r="A897">
        <v>808</v>
      </c>
      <c r="B897">
        <v>34</v>
      </c>
      <c r="C897" t="s">
        <v>148</v>
      </c>
      <c r="D897" t="s">
        <v>145</v>
      </c>
      <c r="E897" t="s">
        <v>158</v>
      </c>
      <c r="F897" t="s">
        <v>36</v>
      </c>
      <c r="G897" t="s">
        <v>43</v>
      </c>
      <c r="H897" t="s">
        <v>81</v>
      </c>
      <c r="I897" t="s">
        <v>43</v>
      </c>
      <c r="J897" t="s">
        <v>159</v>
      </c>
      <c r="K897" t="s">
        <v>41</v>
      </c>
      <c r="L897" t="s">
        <v>147</v>
      </c>
      <c r="M897" t="s">
        <v>49</v>
      </c>
      <c r="N897" t="s">
        <v>160</v>
      </c>
      <c r="O897" t="s">
        <v>41</v>
      </c>
      <c r="P897" t="s">
        <v>148</v>
      </c>
      <c r="Q897">
        <v>17</v>
      </c>
      <c r="R897">
        <v>5</v>
      </c>
      <c r="S897">
        <v>6</v>
      </c>
      <c r="T897">
        <v>1</v>
      </c>
      <c r="U897">
        <v>2</v>
      </c>
      <c r="V897">
        <v>8</v>
      </c>
      <c r="W897">
        <v>93</v>
      </c>
      <c r="X897">
        <v>1111</v>
      </c>
      <c r="Y897">
        <v>13305</v>
      </c>
      <c r="Z897">
        <v>6500</v>
      </c>
      <c r="AA897">
        <v>1</v>
      </c>
      <c r="AB897" s="29">
        <v>44773</v>
      </c>
      <c r="AC897" s="29">
        <v>32440</v>
      </c>
      <c r="AD897" s="29">
        <v>43919</v>
      </c>
      <c r="AE897" s="29"/>
      <c r="AF897">
        <v>2</v>
      </c>
      <c r="AG897" t="s">
        <v>149</v>
      </c>
      <c r="AI897">
        <v>32</v>
      </c>
      <c r="AJ897">
        <v>1</v>
      </c>
      <c r="AK897" t="s">
        <v>170</v>
      </c>
      <c r="AL897" t="s">
        <v>77</v>
      </c>
      <c r="AM897">
        <f t="shared" si="65"/>
        <v>1</v>
      </c>
      <c r="AN897">
        <f t="shared" si="66"/>
        <v>3</v>
      </c>
      <c r="AO897" t="str">
        <f t="shared" si="67"/>
        <v/>
      </c>
      <c r="AP897" t="str">
        <f t="shared" si="68"/>
        <v/>
      </c>
      <c r="AQ897">
        <f t="shared" si="69"/>
        <v>2020</v>
      </c>
    </row>
    <row r="898" spans="1:43" x14ac:dyDescent="0.35">
      <c r="A898">
        <v>656</v>
      </c>
      <c r="B898">
        <v>37</v>
      </c>
      <c r="C898" t="s">
        <v>148</v>
      </c>
      <c r="D898" t="s">
        <v>145</v>
      </c>
      <c r="E898" t="s">
        <v>158</v>
      </c>
      <c r="F898" t="s">
        <v>38</v>
      </c>
      <c r="G898" t="s">
        <v>44</v>
      </c>
      <c r="H898" t="s">
        <v>82</v>
      </c>
      <c r="I898" t="s">
        <v>43</v>
      </c>
      <c r="J898" t="s">
        <v>159</v>
      </c>
      <c r="K898" t="s">
        <v>43</v>
      </c>
      <c r="L898" t="s">
        <v>147</v>
      </c>
      <c r="M898" t="s">
        <v>48</v>
      </c>
      <c r="N898" t="s">
        <v>160</v>
      </c>
      <c r="O898" t="s">
        <v>41</v>
      </c>
      <c r="P898" t="s">
        <v>144</v>
      </c>
      <c r="Q898">
        <v>11</v>
      </c>
      <c r="R898">
        <v>4</v>
      </c>
      <c r="S898">
        <v>17</v>
      </c>
      <c r="T898">
        <v>1</v>
      </c>
      <c r="U898">
        <v>0</v>
      </c>
      <c r="V898">
        <v>2</v>
      </c>
      <c r="W898">
        <v>75</v>
      </c>
      <c r="X898">
        <v>558</v>
      </c>
      <c r="Y898">
        <v>3010</v>
      </c>
      <c r="Z898">
        <v>9602</v>
      </c>
      <c r="AA898">
        <v>3</v>
      </c>
      <c r="AB898" s="29">
        <v>44773</v>
      </c>
      <c r="AC898" s="29">
        <v>31402</v>
      </c>
      <c r="AD898" s="29">
        <v>43997</v>
      </c>
      <c r="AE898" s="29"/>
      <c r="AF898">
        <v>2</v>
      </c>
      <c r="AG898" t="s">
        <v>149</v>
      </c>
      <c r="AI898">
        <v>35</v>
      </c>
      <c r="AJ898">
        <v>1</v>
      </c>
      <c r="AK898" t="s">
        <v>170</v>
      </c>
      <c r="AL898" t="s">
        <v>77</v>
      </c>
      <c r="AM898">
        <f t="shared" ref="AM898:AM961" si="70">ROUNDUP(MONTH(AD898)/3,0)</f>
        <v>2</v>
      </c>
      <c r="AN898">
        <f t="shared" ref="AN898:AN961" si="71">MONTH(AD898)</f>
        <v>6</v>
      </c>
      <c r="AO898" t="str">
        <f t="shared" ref="AO898:AO961" si="72">IF(C898="Yes",ROUNDUP(MONTH(AE898)/3,0),"")</f>
        <v/>
      </c>
      <c r="AP898" t="str">
        <f t="shared" ref="AP898:AP961" si="73">IF(C898="Yes",MONTH(AE898),"")</f>
        <v/>
      </c>
      <c r="AQ898">
        <f t="shared" ref="AQ898:AQ961" si="74">YEAR(AD898)</f>
        <v>2020</v>
      </c>
    </row>
    <row r="899" spans="1:43" x14ac:dyDescent="0.35">
      <c r="A899">
        <v>585</v>
      </c>
      <c r="B899">
        <v>30</v>
      </c>
      <c r="C899" t="s">
        <v>148</v>
      </c>
      <c r="D899" t="s">
        <v>145</v>
      </c>
      <c r="E899" t="s">
        <v>158</v>
      </c>
      <c r="F899" t="s">
        <v>35</v>
      </c>
      <c r="G899" t="s">
        <v>44</v>
      </c>
      <c r="H899" t="s">
        <v>82</v>
      </c>
      <c r="I899" t="s">
        <v>43</v>
      </c>
      <c r="J899" t="s">
        <v>166</v>
      </c>
      <c r="K899" t="s">
        <v>42</v>
      </c>
      <c r="L899" t="s">
        <v>147</v>
      </c>
      <c r="M899" t="s">
        <v>49</v>
      </c>
      <c r="N899" t="s">
        <v>95</v>
      </c>
      <c r="P899" t="s">
        <v>148</v>
      </c>
      <c r="Q899">
        <v>14</v>
      </c>
      <c r="R899">
        <v>0</v>
      </c>
      <c r="S899">
        <v>4</v>
      </c>
      <c r="T899">
        <v>1</v>
      </c>
      <c r="U899">
        <v>2</v>
      </c>
      <c r="V899">
        <v>7</v>
      </c>
      <c r="W899">
        <v>57</v>
      </c>
      <c r="X899">
        <v>413</v>
      </c>
      <c r="Y899">
        <v>18398</v>
      </c>
      <c r="Z899">
        <v>2983</v>
      </c>
      <c r="AA899">
        <v>3</v>
      </c>
      <c r="AB899" s="29">
        <v>44773</v>
      </c>
      <c r="AC899" s="29">
        <v>33934</v>
      </c>
      <c r="AD899" s="29">
        <v>44013</v>
      </c>
      <c r="AE899" s="29"/>
      <c r="AF899">
        <v>2</v>
      </c>
      <c r="AG899" t="s">
        <v>149</v>
      </c>
      <c r="AI899">
        <v>28</v>
      </c>
      <c r="AJ899">
        <v>2</v>
      </c>
      <c r="AK899" t="s">
        <v>170</v>
      </c>
      <c r="AL899" t="s">
        <v>77</v>
      </c>
      <c r="AM899">
        <f t="shared" si="70"/>
        <v>3</v>
      </c>
      <c r="AN899">
        <f t="shared" si="71"/>
        <v>7</v>
      </c>
      <c r="AO899" t="str">
        <f t="shared" si="72"/>
        <v/>
      </c>
      <c r="AP899" t="str">
        <f t="shared" si="73"/>
        <v/>
      </c>
      <c r="AQ899">
        <f t="shared" si="74"/>
        <v>2020</v>
      </c>
    </row>
    <row r="900" spans="1:43" x14ac:dyDescent="0.35">
      <c r="A900">
        <v>893</v>
      </c>
      <c r="B900">
        <v>38</v>
      </c>
      <c r="C900" t="s">
        <v>148</v>
      </c>
      <c r="D900" t="s">
        <v>145</v>
      </c>
      <c r="E900" t="s">
        <v>158</v>
      </c>
      <c r="F900" t="s">
        <v>38</v>
      </c>
      <c r="G900" t="s">
        <v>42</v>
      </c>
      <c r="H900" t="s">
        <v>82</v>
      </c>
      <c r="I900" t="s">
        <v>42</v>
      </c>
      <c r="J900" t="s">
        <v>166</v>
      </c>
      <c r="K900" t="s">
        <v>42</v>
      </c>
      <c r="L900" t="s">
        <v>147</v>
      </c>
      <c r="M900" t="s">
        <v>49</v>
      </c>
      <c r="N900" t="s">
        <v>160</v>
      </c>
      <c r="O900" t="s">
        <v>41</v>
      </c>
      <c r="P900" t="s">
        <v>148</v>
      </c>
      <c r="Q900">
        <v>19</v>
      </c>
      <c r="R900">
        <v>0</v>
      </c>
      <c r="S900">
        <v>3</v>
      </c>
      <c r="T900">
        <v>1</v>
      </c>
      <c r="U900">
        <v>2</v>
      </c>
      <c r="V900">
        <v>9</v>
      </c>
      <c r="W900">
        <v>98</v>
      </c>
      <c r="X900">
        <v>395</v>
      </c>
      <c r="Y900">
        <v>12102</v>
      </c>
      <c r="Z900">
        <v>2899</v>
      </c>
      <c r="AA900">
        <v>3</v>
      </c>
      <c r="AB900" s="29">
        <v>44773</v>
      </c>
      <c r="AC900" s="29">
        <v>30905</v>
      </c>
      <c r="AD900" s="29">
        <v>44073</v>
      </c>
      <c r="AE900" s="29"/>
      <c r="AF900">
        <v>2</v>
      </c>
      <c r="AG900" t="s">
        <v>149</v>
      </c>
      <c r="AI900">
        <v>36</v>
      </c>
      <c r="AJ900">
        <v>2</v>
      </c>
      <c r="AK900" t="s">
        <v>170</v>
      </c>
      <c r="AL900" t="s">
        <v>77</v>
      </c>
      <c r="AM900">
        <f t="shared" si="70"/>
        <v>3</v>
      </c>
      <c r="AN900">
        <f t="shared" si="71"/>
        <v>8</v>
      </c>
      <c r="AO900" t="str">
        <f t="shared" si="72"/>
        <v/>
      </c>
      <c r="AP900" t="str">
        <f t="shared" si="73"/>
        <v/>
      </c>
      <c r="AQ900">
        <f t="shared" si="74"/>
        <v>2020</v>
      </c>
    </row>
    <row r="901" spans="1:43" x14ac:dyDescent="0.35">
      <c r="A901">
        <v>1987</v>
      </c>
      <c r="B901">
        <v>25</v>
      </c>
      <c r="C901" t="s">
        <v>148</v>
      </c>
      <c r="D901" t="s">
        <v>145</v>
      </c>
      <c r="E901" t="s">
        <v>168</v>
      </c>
      <c r="F901" t="s">
        <v>38</v>
      </c>
      <c r="G901" t="s">
        <v>43</v>
      </c>
      <c r="H901" t="s">
        <v>81</v>
      </c>
      <c r="I901" t="s">
        <v>43</v>
      </c>
      <c r="J901" t="s">
        <v>168</v>
      </c>
      <c r="K901" t="s">
        <v>42</v>
      </c>
      <c r="L901" t="s">
        <v>147</v>
      </c>
      <c r="M901" t="s">
        <v>49</v>
      </c>
      <c r="N901" t="s">
        <v>160</v>
      </c>
      <c r="P901" t="s">
        <v>148</v>
      </c>
      <c r="Q901">
        <v>14</v>
      </c>
      <c r="R901">
        <v>4</v>
      </c>
      <c r="S901">
        <v>6</v>
      </c>
      <c r="T901">
        <v>1</v>
      </c>
      <c r="U901">
        <v>2</v>
      </c>
      <c r="V901">
        <v>2</v>
      </c>
      <c r="W901">
        <v>82</v>
      </c>
      <c r="X901">
        <v>309</v>
      </c>
      <c r="Y901">
        <v>19655</v>
      </c>
      <c r="Z901">
        <v>2187</v>
      </c>
      <c r="AA901">
        <v>3</v>
      </c>
      <c r="AB901" s="29">
        <v>44773</v>
      </c>
      <c r="AC901" s="29">
        <v>35938</v>
      </c>
      <c r="AD901" s="29">
        <v>44134</v>
      </c>
      <c r="AE901" s="29"/>
      <c r="AF901">
        <v>2</v>
      </c>
      <c r="AG901" t="s">
        <v>157</v>
      </c>
      <c r="AI901">
        <v>23</v>
      </c>
      <c r="AJ901">
        <v>1</v>
      </c>
      <c r="AK901" t="s">
        <v>170</v>
      </c>
      <c r="AL901" t="s">
        <v>77</v>
      </c>
      <c r="AM901">
        <f t="shared" si="70"/>
        <v>4</v>
      </c>
      <c r="AN901">
        <f t="shared" si="71"/>
        <v>10</v>
      </c>
      <c r="AO901" t="str">
        <f t="shared" si="72"/>
        <v/>
      </c>
      <c r="AP901" t="str">
        <f t="shared" si="73"/>
        <v/>
      </c>
      <c r="AQ901">
        <f t="shared" si="74"/>
        <v>2020</v>
      </c>
    </row>
    <row r="902" spans="1:43" x14ac:dyDescent="0.35">
      <c r="A902">
        <v>2021</v>
      </c>
      <c r="B902">
        <v>21</v>
      </c>
      <c r="C902" t="s">
        <v>148</v>
      </c>
      <c r="D902" t="s">
        <v>145</v>
      </c>
      <c r="E902" t="s">
        <v>158</v>
      </c>
      <c r="F902" t="s">
        <v>35</v>
      </c>
      <c r="G902" t="s">
        <v>43</v>
      </c>
      <c r="H902" t="s">
        <v>82</v>
      </c>
      <c r="I902" t="s">
        <v>43</v>
      </c>
      <c r="J902" t="s">
        <v>166</v>
      </c>
      <c r="K902" t="s">
        <v>41</v>
      </c>
      <c r="L902" t="s">
        <v>147</v>
      </c>
      <c r="M902" t="s">
        <v>49</v>
      </c>
      <c r="N902" t="s">
        <v>95</v>
      </c>
      <c r="P902" t="s">
        <v>144</v>
      </c>
      <c r="Q902">
        <v>11</v>
      </c>
      <c r="R902">
        <v>1</v>
      </c>
      <c r="S902">
        <v>2</v>
      </c>
      <c r="T902">
        <v>1</v>
      </c>
      <c r="U902">
        <v>2</v>
      </c>
      <c r="V902">
        <v>5</v>
      </c>
      <c r="W902">
        <v>58</v>
      </c>
      <c r="X902">
        <v>501</v>
      </c>
      <c r="Y902">
        <v>25479</v>
      </c>
      <c r="Z902">
        <v>2380</v>
      </c>
      <c r="AA902">
        <v>6</v>
      </c>
      <c r="AB902" s="29">
        <v>44773</v>
      </c>
      <c r="AC902" s="29">
        <v>37165</v>
      </c>
      <c r="AD902" s="29">
        <v>44211</v>
      </c>
      <c r="AE902" s="29"/>
      <c r="AF902">
        <v>2</v>
      </c>
      <c r="AG902" t="s">
        <v>157</v>
      </c>
      <c r="AI902">
        <v>19</v>
      </c>
      <c r="AJ902">
        <v>1</v>
      </c>
      <c r="AK902" t="s">
        <v>170</v>
      </c>
      <c r="AL902" t="s">
        <v>78</v>
      </c>
      <c r="AM902">
        <f t="shared" si="70"/>
        <v>1</v>
      </c>
      <c r="AN902">
        <f t="shared" si="71"/>
        <v>1</v>
      </c>
      <c r="AO902" t="str">
        <f t="shared" si="72"/>
        <v/>
      </c>
      <c r="AP902" t="str">
        <f t="shared" si="73"/>
        <v/>
      </c>
      <c r="AQ902">
        <f t="shared" si="74"/>
        <v>2021</v>
      </c>
    </row>
    <row r="903" spans="1:43" x14ac:dyDescent="0.35">
      <c r="A903">
        <v>1996</v>
      </c>
      <c r="B903">
        <v>31</v>
      </c>
      <c r="C903" t="s">
        <v>148</v>
      </c>
      <c r="D903" t="s">
        <v>145</v>
      </c>
      <c r="E903" t="s">
        <v>158</v>
      </c>
      <c r="F903" t="s">
        <v>36</v>
      </c>
      <c r="G903" t="s">
        <v>41</v>
      </c>
      <c r="H903" t="s">
        <v>82</v>
      </c>
      <c r="I903" t="s">
        <v>43</v>
      </c>
      <c r="J903" t="s">
        <v>166</v>
      </c>
      <c r="K903" t="s">
        <v>43</v>
      </c>
      <c r="L903" t="s">
        <v>147</v>
      </c>
      <c r="M903" t="s">
        <v>49</v>
      </c>
      <c r="N903" t="s">
        <v>160</v>
      </c>
      <c r="O903" t="s">
        <v>41</v>
      </c>
      <c r="P903" t="s">
        <v>148</v>
      </c>
      <c r="Q903">
        <v>19</v>
      </c>
      <c r="R903">
        <v>0</v>
      </c>
      <c r="S903">
        <v>3</v>
      </c>
      <c r="T903">
        <v>1</v>
      </c>
      <c r="U903">
        <v>2</v>
      </c>
      <c r="V903">
        <v>2</v>
      </c>
      <c r="W903">
        <v>54</v>
      </c>
      <c r="X903">
        <v>1154</v>
      </c>
      <c r="Y903">
        <v>6393</v>
      </c>
      <c r="Z903">
        <v>3067</v>
      </c>
      <c r="AA903">
        <v>1</v>
      </c>
      <c r="AB903" s="29">
        <v>44773</v>
      </c>
      <c r="AC903" s="29">
        <v>33453</v>
      </c>
      <c r="AD903" s="29">
        <v>44220</v>
      </c>
      <c r="AE903" s="29"/>
      <c r="AF903">
        <v>2</v>
      </c>
      <c r="AG903" t="s">
        <v>149</v>
      </c>
      <c r="AI903">
        <v>29</v>
      </c>
      <c r="AJ903">
        <v>1</v>
      </c>
      <c r="AK903" t="s">
        <v>170</v>
      </c>
      <c r="AL903" t="s">
        <v>77</v>
      </c>
      <c r="AM903">
        <f t="shared" si="70"/>
        <v>1</v>
      </c>
      <c r="AN903">
        <f t="shared" si="71"/>
        <v>1</v>
      </c>
      <c r="AO903" t="str">
        <f t="shared" si="72"/>
        <v/>
      </c>
      <c r="AP903" t="str">
        <f t="shared" si="73"/>
        <v/>
      </c>
      <c r="AQ903">
        <f t="shared" si="74"/>
        <v>2021</v>
      </c>
    </row>
    <row r="904" spans="1:43" x14ac:dyDescent="0.35">
      <c r="A904">
        <v>321</v>
      </c>
      <c r="B904">
        <v>59</v>
      </c>
      <c r="C904" t="s">
        <v>148</v>
      </c>
      <c r="D904" t="s">
        <v>145</v>
      </c>
      <c r="E904" t="s">
        <v>168</v>
      </c>
      <c r="F904" t="s">
        <v>36</v>
      </c>
      <c r="G904" t="s">
        <v>42</v>
      </c>
      <c r="H904" t="s">
        <v>82</v>
      </c>
      <c r="I904" t="s">
        <v>43</v>
      </c>
      <c r="J904" t="s">
        <v>168</v>
      </c>
      <c r="K904" t="s">
        <v>43</v>
      </c>
      <c r="L904" t="s">
        <v>147</v>
      </c>
      <c r="M904" t="s">
        <v>48</v>
      </c>
      <c r="N904" t="s">
        <v>160</v>
      </c>
      <c r="P904" t="s">
        <v>148</v>
      </c>
      <c r="Q904">
        <v>17</v>
      </c>
      <c r="R904">
        <v>8</v>
      </c>
      <c r="S904">
        <v>7</v>
      </c>
      <c r="T904">
        <v>1</v>
      </c>
      <c r="U904">
        <v>1</v>
      </c>
      <c r="V904">
        <v>6</v>
      </c>
      <c r="W904">
        <v>52</v>
      </c>
      <c r="X904">
        <v>818</v>
      </c>
      <c r="Y904">
        <v>25657</v>
      </c>
      <c r="Z904">
        <v>2267</v>
      </c>
      <c r="AA904">
        <v>2</v>
      </c>
      <c r="AB904" s="29">
        <v>44773</v>
      </c>
      <c r="AC904" s="29">
        <v>23506</v>
      </c>
      <c r="AD904" s="29">
        <v>44228</v>
      </c>
      <c r="AE904" s="29"/>
      <c r="AF904">
        <v>1</v>
      </c>
      <c r="AG904" t="s">
        <v>167</v>
      </c>
      <c r="AI904">
        <v>58</v>
      </c>
      <c r="AJ904">
        <v>2</v>
      </c>
      <c r="AK904" t="s">
        <v>170</v>
      </c>
      <c r="AL904" t="s">
        <v>77</v>
      </c>
      <c r="AM904">
        <f t="shared" si="70"/>
        <v>1</v>
      </c>
      <c r="AN904">
        <f t="shared" si="71"/>
        <v>2</v>
      </c>
      <c r="AO904" t="str">
        <f t="shared" si="72"/>
        <v/>
      </c>
      <c r="AP904" t="str">
        <f t="shared" si="73"/>
        <v/>
      </c>
      <c r="AQ904">
        <f t="shared" si="74"/>
        <v>2021</v>
      </c>
    </row>
    <row r="905" spans="1:43" x14ac:dyDescent="0.35">
      <c r="A905">
        <v>38</v>
      </c>
      <c r="B905">
        <v>46</v>
      </c>
      <c r="C905" t="s">
        <v>148</v>
      </c>
      <c r="D905" t="s">
        <v>145</v>
      </c>
      <c r="E905" t="s">
        <v>158</v>
      </c>
      <c r="F905" t="s">
        <v>37</v>
      </c>
      <c r="G905" t="s">
        <v>42</v>
      </c>
      <c r="H905" t="s">
        <v>81</v>
      </c>
      <c r="I905" t="s">
        <v>43</v>
      </c>
      <c r="J905" t="s">
        <v>169</v>
      </c>
      <c r="K905" t="s">
        <v>41</v>
      </c>
      <c r="L905" t="s">
        <v>147</v>
      </c>
      <c r="M905" t="s">
        <v>48</v>
      </c>
      <c r="N905" t="s">
        <v>95</v>
      </c>
      <c r="P905" t="s">
        <v>148</v>
      </c>
      <c r="Q905">
        <v>12</v>
      </c>
      <c r="R905">
        <v>3</v>
      </c>
      <c r="S905">
        <v>22</v>
      </c>
      <c r="T905">
        <v>1</v>
      </c>
      <c r="U905">
        <v>1</v>
      </c>
      <c r="V905">
        <v>2</v>
      </c>
      <c r="W905">
        <v>83</v>
      </c>
      <c r="X905">
        <v>705</v>
      </c>
      <c r="Y905">
        <v>22822</v>
      </c>
      <c r="Z905">
        <v>18947</v>
      </c>
      <c r="AA905">
        <v>2</v>
      </c>
      <c r="AB905" s="29">
        <v>44773</v>
      </c>
      <c r="AC905" s="29">
        <v>28076</v>
      </c>
      <c r="AD905" s="29">
        <v>44309</v>
      </c>
      <c r="AE905" s="29"/>
      <c r="AF905">
        <v>1</v>
      </c>
      <c r="AG905" t="s">
        <v>153</v>
      </c>
      <c r="AI905">
        <v>45</v>
      </c>
      <c r="AJ905">
        <v>2</v>
      </c>
      <c r="AK905" t="s">
        <v>170</v>
      </c>
      <c r="AL905" t="s">
        <v>78</v>
      </c>
      <c r="AM905">
        <f t="shared" si="70"/>
        <v>2</v>
      </c>
      <c r="AN905">
        <f t="shared" si="71"/>
        <v>4</v>
      </c>
      <c r="AO905" t="str">
        <f t="shared" si="72"/>
        <v/>
      </c>
      <c r="AP905" t="str">
        <f t="shared" si="73"/>
        <v/>
      </c>
      <c r="AQ905">
        <f t="shared" si="74"/>
        <v>2021</v>
      </c>
    </row>
    <row r="906" spans="1:43" x14ac:dyDescent="0.35">
      <c r="A906">
        <v>424</v>
      </c>
      <c r="B906">
        <v>31</v>
      </c>
      <c r="C906" t="s">
        <v>148</v>
      </c>
      <c r="D906" t="s">
        <v>145</v>
      </c>
      <c r="E906" t="s">
        <v>168</v>
      </c>
      <c r="F906" t="s">
        <v>38</v>
      </c>
      <c r="G906" t="s">
        <v>41</v>
      </c>
      <c r="H906" t="s">
        <v>82</v>
      </c>
      <c r="I906" t="s">
        <v>42</v>
      </c>
      <c r="J906" t="s">
        <v>168</v>
      </c>
      <c r="K906" t="s">
        <v>41</v>
      </c>
      <c r="L906" t="s">
        <v>147</v>
      </c>
      <c r="M906" t="s">
        <v>49</v>
      </c>
      <c r="N906" t="s">
        <v>160</v>
      </c>
      <c r="P906" t="s">
        <v>148</v>
      </c>
      <c r="Q906">
        <v>12</v>
      </c>
      <c r="R906">
        <v>3</v>
      </c>
      <c r="S906">
        <v>9</v>
      </c>
      <c r="T906">
        <v>1</v>
      </c>
      <c r="U906">
        <v>0</v>
      </c>
      <c r="V906">
        <v>2</v>
      </c>
      <c r="W906">
        <v>62</v>
      </c>
      <c r="X906">
        <v>106</v>
      </c>
      <c r="Y906">
        <v>17822</v>
      </c>
      <c r="Z906">
        <v>6410</v>
      </c>
      <c r="AA906">
        <v>1</v>
      </c>
      <c r="AB906" s="29">
        <v>44773</v>
      </c>
      <c r="AC906" s="29">
        <v>33764</v>
      </c>
      <c r="AD906" s="29">
        <v>44321</v>
      </c>
      <c r="AE906" s="29"/>
      <c r="AF906">
        <v>1</v>
      </c>
      <c r="AG906" t="s">
        <v>149</v>
      </c>
      <c r="AI906">
        <v>30</v>
      </c>
      <c r="AJ906">
        <v>1</v>
      </c>
      <c r="AK906" t="s">
        <v>170</v>
      </c>
      <c r="AL906" t="s">
        <v>78</v>
      </c>
      <c r="AM906">
        <f t="shared" si="70"/>
        <v>2</v>
      </c>
      <c r="AN906">
        <f t="shared" si="71"/>
        <v>5</v>
      </c>
      <c r="AO906" t="str">
        <f t="shared" si="72"/>
        <v/>
      </c>
      <c r="AP906" t="str">
        <f t="shared" si="73"/>
        <v/>
      </c>
      <c r="AQ906">
        <f t="shared" si="74"/>
        <v>2021</v>
      </c>
    </row>
    <row r="907" spans="1:43" x14ac:dyDescent="0.35">
      <c r="A907">
        <v>49</v>
      </c>
      <c r="B907">
        <v>35</v>
      </c>
      <c r="C907" t="s">
        <v>148</v>
      </c>
      <c r="D907" t="s">
        <v>145</v>
      </c>
      <c r="E907" t="s">
        <v>158</v>
      </c>
      <c r="F907" t="s">
        <v>38</v>
      </c>
      <c r="G907" t="s">
        <v>44</v>
      </c>
      <c r="H907" t="s">
        <v>81</v>
      </c>
      <c r="I907" t="s">
        <v>43</v>
      </c>
      <c r="J907" t="s">
        <v>166</v>
      </c>
      <c r="K907" t="s">
        <v>44</v>
      </c>
      <c r="L907" t="s">
        <v>147</v>
      </c>
      <c r="M907" t="s">
        <v>49</v>
      </c>
      <c r="N907" t="s">
        <v>160</v>
      </c>
      <c r="P907" t="s">
        <v>148</v>
      </c>
      <c r="Q907">
        <v>13</v>
      </c>
      <c r="R907">
        <v>1</v>
      </c>
      <c r="S907">
        <v>2</v>
      </c>
      <c r="T907">
        <v>1</v>
      </c>
      <c r="U907">
        <v>1</v>
      </c>
      <c r="V907">
        <v>2</v>
      </c>
      <c r="W907">
        <v>97</v>
      </c>
      <c r="X907">
        <v>890</v>
      </c>
      <c r="Y907">
        <v>9687</v>
      </c>
      <c r="Z907">
        <v>2014</v>
      </c>
      <c r="AA907">
        <v>3</v>
      </c>
      <c r="AB907" s="29">
        <v>44773</v>
      </c>
      <c r="AC907" s="29">
        <v>32232</v>
      </c>
      <c r="AD907" s="29">
        <v>44341</v>
      </c>
      <c r="AE907" s="29"/>
      <c r="AF907">
        <v>1</v>
      </c>
      <c r="AG907" t="s">
        <v>149</v>
      </c>
      <c r="AI907">
        <v>34</v>
      </c>
      <c r="AJ907">
        <v>1</v>
      </c>
      <c r="AK907" t="s">
        <v>170</v>
      </c>
      <c r="AL907" t="s">
        <v>78</v>
      </c>
      <c r="AM907">
        <f t="shared" si="70"/>
        <v>2</v>
      </c>
      <c r="AN907">
        <f t="shared" si="71"/>
        <v>5</v>
      </c>
      <c r="AO907" t="str">
        <f t="shared" si="72"/>
        <v/>
      </c>
      <c r="AP907" t="str">
        <f t="shared" si="73"/>
        <v/>
      </c>
      <c r="AQ907">
        <f t="shared" si="74"/>
        <v>2021</v>
      </c>
    </row>
    <row r="908" spans="1:43" x14ac:dyDescent="0.35">
      <c r="A908">
        <v>732</v>
      </c>
      <c r="B908">
        <v>60</v>
      </c>
      <c r="C908" t="s">
        <v>148</v>
      </c>
      <c r="D908" t="s">
        <v>145</v>
      </c>
      <c r="E908" t="s">
        <v>158</v>
      </c>
      <c r="F908" t="s">
        <v>37</v>
      </c>
      <c r="G908" t="s">
        <v>41</v>
      </c>
      <c r="H908" t="s">
        <v>82</v>
      </c>
      <c r="I908" t="s">
        <v>43</v>
      </c>
      <c r="J908" t="s">
        <v>159</v>
      </c>
      <c r="K908" t="s">
        <v>41</v>
      </c>
      <c r="L908" t="s">
        <v>147</v>
      </c>
      <c r="M908" t="s">
        <v>49</v>
      </c>
      <c r="N908" t="s">
        <v>95</v>
      </c>
      <c r="P908" t="s">
        <v>148</v>
      </c>
      <c r="Q908">
        <v>14</v>
      </c>
      <c r="R908">
        <v>8</v>
      </c>
      <c r="S908">
        <v>10</v>
      </c>
      <c r="T908">
        <v>1</v>
      </c>
      <c r="U908">
        <v>1</v>
      </c>
      <c r="V908">
        <v>16</v>
      </c>
      <c r="W908">
        <v>84</v>
      </c>
      <c r="X908">
        <v>1179</v>
      </c>
      <c r="Y908">
        <v>11924</v>
      </c>
      <c r="Z908">
        <v>5405</v>
      </c>
      <c r="AA908">
        <v>1</v>
      </c>
      <c r="AB908" s="29">
        <v>44773</v>
      </c>
      <c r="AC908" s="29">
        <v>22930</v>
      </c>
      <c r="AD908" s="29">
        <v>44391</v>
      </c>
      <c r="AE908" s="29"/>
      <c r="AF908">
        <v>1</v>
      </c>
      <c r="AG908" t="s">
        <v>174</v>
      </c>
      <c r="AI908">
        <v>59</v>
      </c>
      <c r="AJ908">
        <v>1</v>
      </c>
      <c r="AK908" t="s">
        <v>170</v>
      </c>
      <c r="AL908" t="s">
        <v>77</v>
      </c>
      <c r="AM908">
        <f t="shared" si="70"/>
        <v>3</v>
      </c>
      <c r="AN908">
        <f t="shared" si="71"/>
        <v>7</v>
      </c>
      <c r="AO908" t="str">
        <f t="shared" si="72"/>
        <v/>
      </c>
      <c r="AP908" t="str">
        <f t="shared" si="73"/>
        <v/>
      </c>
      <c r="AQ908">
        <f t="shared" si="74"/>
        <v>2021</v>
      </c>
    </row>
    <row r="909" spans="1:43" x14ac:dyDescent="0.35">
      <c r="A909">
        <v>1779</v>
      </c>
      <c r="B909">
        <v>34</v>
      </c>
      <c r="C909" t="s">
        <v>148</v>
      </c>
      <c r="D909" t="s">
        <v>145</v>
      </c>
      <c r="E909" t="s">
        <v>158</v>
      </c>
      <c r="F909" t="s">
        <v>36</v>
      </c>
      <c r="G909" t="s">
        <v>44</v>
      </c>
      <c r="H909" t="s">
        <v>81</v>
      </c>
      <c r="I909" t="s">
        <v>41</v>
      </c>
      <c r="J909" t="s">
        <v>159</v>
      </c>
      <c r="K909" t="s">
        <v>44</v>
      </c>
      <c r="L909" t="s">
        <v>147</v>
      </c>
      <c r="M909" t="s">
        <v>49</v>
      </c>
      <c r="N909" t="s">
        <v>95</v>
      </c>
      <c r="P909" t="s">
        <v>148</v>
      </c>
      <c r="Q909">
        <v>12</v>
      </c>
      <c r="R909">
        <v>5</v>
      </c>
      <c r="S909">
        <v>6</v>
      </c>
      <c r="T909">
        <v>1</v>
      </c>
      <c r="U909">
        <v>1</v>
      </c>
      <c r="V909">
        <v>3</v>
      </c>
      <c r="W909">
        <v>32</v>
      </c>
      <c r="X909">
        <v>511</v>
      </c>
      <c r="Y909">
        <v>25353</v>
      </c>
      <c r="Z909">
        <v>6029</v>
      </c>
      <c r="AA909">
        <v>3</v>
      </c>
      <c r="AB909" s="29">
        <v>44773</v>
      </c>
      <c r="AC909" s="29">
        <v>32415</v>
      </c>
      <c r="AD909" s="29">
        <v>44391</v>
      </c>
      <c r="AE909" s="29"/>
      <c r="AF909">
        <v>1</v>
      </c>
      <c r="AG909" t="s">
        <v>149</v>
      </c>
      <c r="AI909">
        <v>33</v>
      </c>
      <c r="AJ909">
        <v>1</v>
      </c>
      <c r="AK909" t="s">
        <v>170</v>
      </c>
      <c r="AL909" t="s">
        <v>78</v>
      </c>
      <c r="AM909">
        <f t="shared" si="70"/>
        <v>3</v>
      </c>
      <c r="AN909">
        <f t="shared" si="71"/>
        <v>7</v>
      </c>
      <c r="AO909" t="str">
        <f t="shared" si="72"/>
        <v/>
      </c>
      <c r="AP909" t="str">
        <f t="shared" si="73"/>
        <v/>
      </c>
      <c r="AQ909">
        <f t="shared" si="74"/>
        <v>2021</v>
      </c>
    </row>
    <row r="910" spans="1:43" x14ac:dyDescent="0.35">
      <c r="A910">
        <v>106</v>
      </c>
      <c r="B910">
        <v>55</v>
      </c>
      <c r="C910" t="s">
        <v>148</v>
      </c>
      <c r="D910" t="s">
        <v>145</v>
      </c>
      <c r="E910" t="s">
        <v>158</v>
      </c>
      <c r="F910" t="s">
        <v>36</v>
      </c>
      <c r="G910" t="s">
        <v>41</v>
      </c>
      <c r="H910" t="s">
        <v>82</v>
      </c>
      <c r="I910" t="s">
        <v>43</v>
      </c>
      <c r="J910" t="s">
        <v>159</v>
      </c>
      <c r="K910" t="s">
        <v>44</v>
      </c>
      <c r="L910" t="s">
        <v>147</v>
      </c>
      <c r="M910" t="s">
        <v>49</v>
      </c>
      <c r="N910" t="s">
        <v>160</v>
      </c>
      <c r="O910" t="s">
        <v>41</v>
      </c>
      <c r="P910" t="s">
        <v>148</v>
      </c>
      <c r="Q910">
        <v>14</v>
      </c>
      <c r="R910">
        <v>3</v>
      </c>
      <c r="S910">
        <v>24</v>
      </c>
      <c r="T910">
        <v>1</v>
      </c>
      <c r="U910">
        <v>0</v>
      </c>
      <c r="V910">
        <v>1</v>
      </c>
      <c r="W910">
        <v>70</v>
      </c>
      <c r="X910">
        <v>111</v>
      </c>
      <c r="Y910">
        <v>18092</v>
      </c>
      <c r="Z910">
        <v>10239</v>
      </c>
      <c r="AA910">
        <v>4</v>
      </c>
      <c r="AB910" s="29">
        <v>44773</v>
      </c>
      <c r="AC910" s="29">
        <v>25025</v>
      </c>
      <c r="AD910" s="29">
        <v>44404</v>
      </c>
      <c r="AE910" s="29"/>
      <c r="AF910">
        <v>1</v>
      </c>
      <c r="AG910" t="s">
        <v>167</v>
      </c>
      <c r="AI910">
        <v>54</v>
      </c>
      <c r="AJ910">
        <v>1</v>
      </c>
      <c r="AK910" t="s">
        <v>170</v>
      </c>
      <c r="AL910" t="s">
        <v>77</v>
      </c>
      <c r="AM910">
        <f t="shared" si="70"/>
        <v>3</v>
      </c>
      <c r="AN910">
        <f t="shared" si="71"/>
        <v>7</v>
      </c>
      <c r="AO910" t="str">
        <f t="shared" si="72"/>
        <v/>
      </c>
      <c r="AP910" t="str">
        <f t="shared" si="73"/>
        <v/>
      </c>
      <c r="AQ910">
        <f t="shared" si="74"/>
        <v>2021</v>
      </c>
    </row>
    <row r="911" spans="1:43" x14ac:dyDescent="0.35">
      <c r="A911">
        <v>944</v>
      </c>
      <c r="B911">
        <v>49</v>
      </c>
      <c r="C911" t="s">
        <v>148</v>
      </c>
      <c r="D911" t="s">
        <v>145</v>
      </c>
      <c r="E911" t="s">
        <v>4</v>
      </c>
      <c r="F911" t="s">
        <v>36</v>
      </c>
      <c r="G911" t="s">
        <v>41</v>
      </c>
      <c r="H911" t="s">
        <v>81</v>
      </c>
      <c r="I911" t="s">
        <v>43</v>
      </c>
      <c r="J911" t="s">
        <v>155</v>
      </c>
      <c r="K911" t="s">
        <v>42</v>
      </c>
      <c r="L911" t="s">
        <v>147</v>
      </c>
      <c r="M911" t="s">
        <v>48</v>
      </c>
      <c r="N911" t="s">
        <v>160</v>
      </c>
      <c r="O911" t="s">
        <v>41</v>
      </c>
      <c r="P911" t="s">
        <v>148</v>
      </c>
      <c r="Q911">
        <v>11</v>
      </c>
      <c r="R911">
        <v>4</v>
      </c>
      <c r="S911">
        <v>29</v>
      </c>
      <c r="T911">
        <v>1</v>
      </c>
      <c r="U911">
        <v>7</v>
      </c>
      <c r="V911">
        <v>8</v>
      </c>
      <c r="W911">
        <v>51</v>
      </c>
      <c r="X911">
        <v>527</v>
      </c>
      <c r="Y911">
        <v>22477</v>
      </c>
      <c r="Z911">
        <v>7403</v>
      </c>
      <c r="AA911">
        <v>3</v>
      </c>
      <c r="AB911" s="29">
        <v>44773</v>
      </c>
      <c r="AC911" s="29">
        <v>26959</v>
      </c>
      <c r="AD911" s="29">
        <v>35535</v>
      </c>
      <c r="AE911" s="29"/>
      <c r="AF911">
        <v>25</v>
      </c>
      <c r="AG911" t="s">
        <v>153</v>
      </c>
      <c r="AI911">
        <v>24</v>
      </c>
      <c r="AJ911">
        <v>1</v>
      </c>
      <c r="AK911" t="s">
        <v>163</v>
      </c>
      <c r="AL911" t="s">
        <v>77</v>
      </c>
      <c r="AM911">
        <f t="shared" si="70"/>
        <v>2</v>
      </c>
      <c r="AN911">
        <f t="shared" si="71"/>
        <v>4</v>
      </c>
      <c r="AO911" t="str">
        <f t="shared" si="72"/>
        <v/>
      </c>
      <c r="AP911" t="str">
        <f t="shared" si="73"/>
        <v/>
      </c>
      <c r="AQ911">
        <f t="shared" si="74"/>
        <v>1997</v>
      </c>
    </row>
    <row r="912" spans="1:43" x14ac:dyDescent="0.35">
      <c r="A912">
        <v>336</v>
      </c>
      <c r="B912">
        <v>45</v>
      </c>
      <c r="C912" t="s">
        <v>148</v>
      </c>
      <c r="D912" t="s">
        <v>145</v>
      </c>
      <c r="E912" t="s">
        <v>4</v>
      </c>
      <c r="F912" t="s">
        <v>38</v>
      </c>
      <c r="G912" t="s">
        <v>43</v>
      </c>
      <c r="H912" t="s">
        <v>82</v>
      </c>
      <c r="I912" t="s">
        <v>44</v>
      </c>
      <c r="J912" t="s">
        <v>169</v>
      </c>
      <c r="K912" t="s">
        <v>44</v>
      </c>
      <c r="L912" t="s">
        <v>147</v>
      </c>
      <c r="M912" t="s">
        <v>49</v>
      </c>
      <c r="N912" t="s">
        <v>160</v>
      </c>
      <c r="O912" t="s">
        <v>41</v>
      </c>
      <c r="P912" t="s">
        <v>148</v>
      </c>
      <c r="Q912">
        <v>11</v>
      </c>
      <c r="R912">
        <v>0</v>
      </c>
      <c r="S912">
        <v>25</v>
      </c>
      <c r="T912">
        <v>1</v>
      </c>
      <c r="U912">
        <v>7</v>
      </c>
      <c r="V912">
        <v>1</v>
      </c>
      <c r="W912">
        <v>70</v>
      </c>
      <c r="X912">
        <v>252</v>
      </c>
      <c r="Y912">
        <v>15970</v>
      </c>
      <c r="Z912">
        <v>19202</v>
      </c>
      <c r="AA912">
        <v>2</v>
      </c>
      <c r="AB912" s="29">
        <v>44773</v>
      </c>
      <c r="AC912" s="29">
        <v>28420</v>
      </c>
      <c r="AD912" s="29">
        <v>36235</v>
      </c>
      <c r="AE912" s="29"/>
      <c r="AF912">
        <v>23</v>
      </c>
      <c r="AG912" t="s">
        <v>153</v>
      </c>
      <c r="AI912">
        <v>22</v>
      </c>
      <c r="AJ912">
        <v>1</v>
      </c>
      <c r="AK912" t="s">
        <v>163</v>
      </c>
      <c r="AL912" t="s">
        <v>77</v>
      </c>
      <c r="AM912">
        <f t="shared" si="70"/>
        <v>1</v>
      </c>
      <c r="AN912">
        <f t="shared" si="71"/>
        <v>3</v>
      </c>
      <c r="AO912" t="str">
        <f t="shared" si="72"/>
        <v/>
      </c>
      <c r="AP912" t="str">
        <f t="shared" si="73"/>
        <v/>
      </c>
      <c r="AQ912">
        <f t="shared" si="74"/>
        <v>1999</v>
      </c>
    </row>
    <row r="913" spans="1:43" x14ac:dyDescent="0.35">
      <c r="A913">
        <v>1608</v>
      </c>
      <c r="B913">
        <v>44</v>
      </c>
      <c r="C913" t="s">
        <v>148</v>
      </c>
      <c r="D913" t="s">
        <v>145</v>
      </c>
      <c r="E913" t="s">
        <v>4</v>
      </c>
      <c r="F913" t="s">
        <v>38</v>
      </c>
      <c r="G913" t="s">
        <v>42</v>
      </c>
      <c r="H913" t="s">
        <v>81</v>
      </c>
      <c r="I913" t="s">
        <v>43</v>
      </c>
      <c r="J913" t="s">
        <v>173</v>
      </c>
      <c r="K913" t="s">
        <v>44</v>
      </c>
      <c r="L913" t="s">
        <v>147</v>
      </c>
      <c r="M913" t="s">
        <v>48</v>
      </c>
      <c r="N913" t="s">
        <v>96</v>
      </c>
      <c r="O913" t="s">
        <v>41</v>
      </c>
      <c r="P913" t="s">
        <v>144</v>
      </c>
      <c r="Q913">
        <v>14</v>
      </c>
      <c r="R913">
        <v>0</v>
      </c>
      <c r="S913">
        <v>23</v>
      </c>
      <c r="T913">
        <v>1</v>
      </c>
      <c r="U913">
        <v>10</v>
      </c>
      <c r="V913">
        <v>7</v>
      </c>
      <c r="W913">
        <v>31</v>
      </c>
      <c r="X913">
        <v>1313</v>
      </c>
      <c r="Y913">
        <v>3549</v>
      </c>
      <c r="Z913">
        <v>19049</v>
      </c>
      <c r="AA913">
        <v>4</v>
      </c>
      <c r="AB913" s="29">
        <v>44773</v>
      </c>
      <c r="AC913" s="29">
        <v>28938</v>
      </c>
      <c r="AD913" s="29">
        <v>36830</v>
      </c>
      <c r="AE913" s="29"/>
      <c r="AF913">
        <v>22</v>
      </c>
      <c r="AG913" t="s">
        <v>153</v>
      </c>
      <c r="AI913">
        <v>22</v>
      </c>
      <c r="AJ913">
        <v>1</v>
      </c>
      <c r="AK913" t="s">
        <v>163</v>
      </c>
      <c r="AL913" t="s">
        <v>78</v>
      </c>
      <c r="AM913">
        <f t="shared" si="70"/>
        <v>4</v>
      </c>
      <c r="AN913">
        <f t="shared" si="71"/>
        <v>10</v>
      </c>
      <c r="AO913" t="str">
        <f t="shared" si="72"/>
        <v/>
      </c>
      <c r="AP913" t="str">
        <f t="shared" si="73"/>
        <v/>
      </c>
      <c r="AQ913">
        <f t="shared" si="74"/>
        <v>2000</v>
      </c>
    </row>
    <row r="914" spans="1:43" x14ac:dyDescent="0.35">
      <c r="A914">
        <v>1088</v>
      </c>
      <c r="B914">
        <v>38</v>
      </c>
      <c r="C914" t="s">
        <v>148</v>
      </c>
      <c r="D914" t="s">
        <v>145</v>
      </c>
      <c r="E914" t="s">
        <v>4</v>
      </c>
      <c r="F914" t="s">
        <v>35</v>
      </c>
      <c r="G914" t="s">
        <v>43</v>
      </c>
      <c r="H914" t="s">
        <v>81</v>
      </c>
      <c r="I914" t="s">
        <v>42</v>
      </c>
      <c r="J914" t="s">
        <v>161</v>
      </c>
      <c r="K914" t="s">
        <v>43</v>
      </c>
      <c r="L914" t="s">
        <v>147</v>
      </c>
      <c r="M914" t="s">
        <v>48</v>
      </c>
      <c r="N914" t="s">
        <v>160</v>
      </c>
      <c r="O914" t="s">
        <v>41</v>
      </c>
      <c r="P914" t="s">
        <v>148</v>
      </c>
      <c r="Q914">
        <v>18</v>
      </c>
      <c r="R914">
        <v>0</v>
      </c>
      <c r="S914">
        <v>20</v>
      </c>
      <c r="T914">
        <v>1</v>
      </c>
      <c r="U914">
        <v>9</v>
      </c>
      <c r="V914">
        <v>17</v>
      </c>
      <c r="W914">
        <v>65</v>
      </c>
      <c r="X914">
        <v>330</v>
      </c>
      <c r="Y914">
        <v>24608</v>
      </c>
      <c r="Z914">
        <v>8823</v>
      </c>
      <c r="AA914">
        <v>4</v>
      </c>
      <c r="AB914" s="29">
        <v>44773</v>
      </c>
      <c r="AC914" s="29">
        <v>31228</v>
      </c>
      <c r="AD914" s="29">
        <v>37869</v>
      </c>
      <c r="AE914" s="29"/>
      <c r="AF914">
        <v>19</v>
      </c>
      <c r="AG914" t="s">
        <v>149</v>
      </c>
      <c r="AI914">
        <v>19</v>
      </c>
      <c r="AJ914">
        <v>1</v>
      </c>
      <c r="AK914" t="s">
        <v>163</v>
      </c>
      <c r="AL914" t="s">
        <v>77</v>
      </c>
      <c r="AM914">
        <f t="shared" si="70"/>
        <v>3</v>
      </c>
      <c r="AN914">
        <f t="shared" si="71"/>
        <v>9</v>
      </c>
      <c r="AO914" t="str">
        <f t="shared" si="72"/>
        <v/>
      </c>
      <c r="AP914" t="str">
        <f t="shared" si="73"/>
        <v/>
      </c>
      <c r="AQ914">
        <f t="shared" si="74"/>
        <v>2003</v>
      </c>
    </row>
    <row r="915" spans="1:43" x14ac:dyDescent="0.35">
      <c r="A915">
        <v>2015</v>
      </c>
      <c r="B915">
        <v>38</v>
      </c>
      <c r="C915" t="s">
        <v>148</v>
      </c>
      <c r="D915" t="s">
        <v>145</v>
      </c>
      <c r="E915" t="s">
        <v>4</v>
      </c>
      <c r="F915" t="s">
        <v>38</v>
      </c>
      <c r="G915" t="s">
        <v>42</v>
      </c>
      <c r="H915" t="s">
        <v>81</v>
      </c>
      <c r="I915" t="s">
        <v>41</v>
      </c>
      <c r="J915" t="s">
        <v>173</v>
      </c>
      <c r="K915" t="s">
        <v>43</v>
      </c>
      <c r="L915" t="s">
        <v>147</v>
      </c>
      <c r="M915" t="s">
        <v>49</v>
      </c>
      <c r="N915" t="s">
        <v>160</v>
      </c>
      <c r="O915" t="s">
        <v>41</v>
      </c>
      <c r="P915" t="s">
        <v>148</v>
      </c>
      <c r="Q915">
        <v>12</v>
      </c>
      <c r="R915">
        <v>3</v>
      </c>
      <c r="S915">
        <v>20</v>
      </c>
      <c r="T915">
        <v>1</v>
      </c>
      <c r="U915">
        <v>11</v>
      </c>
      <c r="V915">
        <v>10</v>
      </c>
      <c r="W915">
        <v>99</v>
      </c>
      <c r="X915">
        <v>201</v>
      </c>
      <c r="Y915">
        <v>3376</v>
      </c>
      <c r="Z915">
        <v>13206</v>
      </c>
      <c r="AA915">
        <v>3</v>
      </c>
      <c r="AB915" s="29">
        <v>44773</v>
      </c>
      <c r="AC915" s="29">
        <v>31055</v>
      </c>
      <c r="AD915" s="29">
        <v>38262</v>
      </c>
      <c r="AE915" s="29"/>
      <c r="AF915">
        <v>18</v>
      </c>
      <c r="AG915" t="s">
        <v>149</v>
      </c>
      <c r="AI915">
        <v>20</v>
      </c>
      <c r="AJ915">
        <v>1</v>
      </c>
      <c r="AK915" t="s">
        <v>163</v>
      </c>
      <c r="AL915" t="s">
        <v>78</v>
      </c>
      <c r="AM915">
        <f t="shared" si="70"/>
        <v>4</v>
      </c>
      <c r="AN915">
        <f t="shared" si="71"/>
        <v>10</v>
      </c>
      <c r="AO915" t="str">
        <f t="shared" si="72"/>
        <v/>
      </c>
      <c r="AP915" t="str">
        <f t="shared" si="73"/>
        <v/>
      </c>
      <c r="AQ915">
        <f t="shared" si="74"/>
        <v>2004</v>
      </c>
    </row>
    <row r="916" spans="1:43" x14ac:dyDescent="0.35">
      <c r="A916">
        <v>1656</v>
      </c>
      <c r="B916">
        <v>50</v>
      </c>
      <c r="C916" t="s">
        <v>148</v>
      </c>
      <c r="D916" t="s">
        <v>145</v>
      </c>
      <c r="E916" t="s">
        <v>4</v>
      </c>
      <c r="F916" t="s">
        <v>34</v>
      </c>
      <c r="G916" t="s">
        <v>44</v>
      </c>
      <c r="H916" t="s">
        <v>81</v>
      </c>
      <c r="I916" t="s">
        <v>42</v>
      </c>
      <c r="J916" t="s">
        <v>173</v>
      </c>
      <c r="K916" t="s">
        <v>41</v>
      </c>
      <c r="L916" t="s">
        <v>147</v>
      </c>
      <c r="M916" t="s">
        <v>49</v>
      </c>
      <c r="N916" t="s">
        <v>96</v>
      </c>
      <c r="O916" t="s">
        <v>43</v>
      </c>
      <c r="P916" t="s">
        <v>148</v>
      </c>
      <c r="Q916">
        <v>15</v>
      </c>
      <c r="R916">
        <v>5</v>
      </c>
      <c r="S916">
        <v>19</v>
      </c>
      <c r="T916">
        <v>1</v>
      </c>
      <c r="U916">
        <v>11</v>
      </c>
      <c r="V916">
        <v>17</v>
      </c>
      <c r="W916">
        <v>50</v>
      </c>
      <c r="X916">
        <v>813</v>
      </c>
      <c r="Y916">
        <v>21981</v>
      </c>
      <c r="Z916">
        <v>13269</v>
      </c>
      <c r="AA916">
        <v>3</v>
      </c>
      <c r="AB916" s="29">
        <v>44773</v>
      </c>
      <c r="AC916" s="29">
        <v>26580</v>
      </c>
      <c r="AD916" s="29">
        <v>39704</v>
      </c>
      <c r="AE916" s="29"/>
      <c r="AF916">
        <v>14</v>
      </c>
      <c r="AG916" t="s">
        <v>167</v>
      </c>
      <c r="AI916">
        <v>36</v>
      </c>
      <c r="AJ916">
        <v>1</v>
      </c>
      <c r="AK916" t="s">
        <v>154</v>
      </c>
      <c r="AL916" t="s">
        <v>77</v>
      </c>
      <c r="AM916">
        <f t="shared" si="70"/>
        <v>3</v>
      </c>
      <c r="AN916">
        <f t="shared" si="71"/>
        <v>9</v>
      </c>
      <c r="AO916" t="str">
        <f t="shared" si="72"/>
        <v/>
      </c>
      <c r="AP916" t="str">
        <f t="shared" si="73"/>
        <v/>
      </c>
      <c r="AQ916">
        <f t="shared" si="74"/>
        <v>2008</v>
      </c>
    </row>
    <row r="917" spans="1:43" x14ac:dyDescent="0.35">
      <c r="A917">
        <v>1005</v>
      </c>
      <c r="B917">
        <v>50</v>
      </c>
      <c r="C917" t="s">
        <v>148</v>
      </c>
      <c r="D917" t="s">
        <v>145</v>
      </c>
      <c r="E917" t="s">
        <v>4</v>
      </c>
      <c r="F917" t="s">
        <v>38</v>
      </c>
      <c r="G917" t="s">
        <v>44</v>
      </c>
      <c r="H917" t="s">
        <v>82</v>
      </c>
      <c r="I917" t="s">
        <v>43</v>
      </c>
      <c r="J917" t="s">
        <v>165</v>
      </c>
      <c r="K917" t="s">
        <v>43</v>
      </c>
      <c r="L917" t="s">
        <v>147</v>
      </c>
      <c r="M917" t="s">
        <v>49</v>
      </c>
      <c r="N917" t="s">
        <v>160</v>
      </c>
      <c r="O917" t="s">
        <v>41</v>
      </c>
      <c r="P917" t="s">
        <v>144</v>
      </c>
      <c r="Q917">
        <v>18</v>
      </c>
      <c r="R917">
        <v>3</v>
      </c>
      <c r="S917">
        <v>22</v>
      </c>
      <c r="T917">
        <v>1</v>
      </c>
      <c r="U917">
        <v>5</v>
      </c>
      <c r="V917">
        <v>24</v>
      </c>
      <c r="W917">
        <v>95</v>
      </c>
      <c r="X917">
        <v>939</v>
      </c>
      <c r="Y917">
        <v>4161</v>
      </c>
      <c r="Z917">
        <v>13973</v>
      </c>
      <c r="AA917">
        <v>2</v>
      </c>
      <c r="AB917" s="29">
        <v>44773</v>
      </c>
      <c r="AC917" s="29">
        <v>26627</v>
      </c>
      <c r="AD917" s="29">
        <v>40445</v>
      </c>
      <c r="AE917" s="29"/>
      <c r="AF917">
        <v>12</v>
      </c>
      <c r="AG917" t="s">
        <v>167</v>
      </c>
      <c r="AI917">
        <v>38</v>
      </c>
      <c r="AJ917">
        <v>1</v>
      </c>
      <c r="AK917" t="s">
        <v>154</v>
      </c>
      <c r="AL917" t="s">
        <v>77</v>
      </c>
      <c r="AM917">
        <f t="shared" si="70"/>
        <v>3</v>
      </c>
      <c r="AN917">
        <f t="shared" si="71"/>
        <v>9</v>
      </c>
      <c r="AO917" t="str">
        <f t="shared" si="72"/>
        <v/>
      </c>
      <c r="AP917" t="str">
        <f t="shared" si="73"/>
        <v/>
      </c>
      <c r="AQ917">
        <f t="shared" si="74"/>
        <v>2010</v>
      </c>
    </row>
    <row r="918" spans="1:43" x14ac:dyDescent="0.35">
      <c r="A918">
        <v>1989</v>
      </c>
      <c r="B918">
        <v>30</v>
      </c>
      <c r="C918" t="s">
        <v>148</v>
      </c>
      <c r="D918" t="s">
        <v>145</v>
      </c>
      <c r="E918" t="s">
        <v>4</v>
      </c>
      <c r="F918" t="s">
        <v>36</v>
      </c>
      <c r="G918" t="s">
        <v>44</v>
      </c>
      <c r="H918" t="s">
        <v>82</v>
      </c>
      <c r="I918" t="s">
        <v>43</v>
      </c>
      <c r="J918" t="s">
        <v>155</v>
      </c>
      <c r="K918" t="s">
        <v>42</v>
      </c>
      <c r="L918" t="s">
        <v>147</v>
      </c>
      <c r="M918" t="s">
        <v>48</v>
      </c>
      <c r="N918" t="s">
        <v>160</v>
      </c>
      <c r="P918" t="s">
        <v>148</v>
      </c>
      <c r="Q918">
        <v>13</v>
      </c>
      <c r="R918">
        <v>1</v>
      </c>
      <c r="S918">
        <v>12</v>
      </c>
      <c r="T918">
        <v>1</v>
      </c>
      <c r="U918">
        <v>7</v>
      </c>
      <c r="V918">
        <v>1</v>
      </c>
      <c r="W918">
        <v>76</v>
      </c>
      <c r="X918">
        <v>911</v>
      </c>
      <c r="Y918">
        <v>4077</v>
      </c>
      <c r="Z918">
        <v>3748</v>
      </c>
      <c r="AA918">
        <v>6</v>
      </c>
      <c r="AB918" s="29">
        <v>44773</v>
      </c>
      <c r="AC918" s="29">
        <v>33913</v>
      </c>
      <c r="AD918" s="29">
        <v>40643</v>
      </c>
      <c r="AE918" s="29"/>
      <c r="AF918">
        <v>11</v>
      </c>
      <c r="AG918" t="s">
        <v>149</v>
      </c>
      <c r="AI918">
        <v>19</v>
      </c>
      <c r="AJ918">
        <v>1</v>
      </c>
      <c r="AK918" t="s">
        <v>154</v>
      </c>
      <c r="AL918" t="s">
        <v>77</v>
      </c>
      <c r="AM918">
        <f t="shared" si="70"/>
        <v>2</v>
      </c>
      <c r="AN918">
        <f t="shared" si="71"/>
        <v>4</v>
      </c>
      <c r="AO918" t="str">
        <f t="shared" si="72"/>
        <v/>
      </c>
      <c r="AP918" t="str">
        <f t="shared" si="73"/>
        <v/>
      </c>
      <c r="AQ918">
        <f t="shared" si="74"/>
        <v>2011</v>
      </c>
    </row>
    <row r="919" spans="1:43" x14ac:dyDescent="0.35">
      <c r="A919">
        <v>1611</v>
      </c>
      <c r="B919">
        <v>45</v>
      </c>
      <c r="C919" t="s">
        <v>148</v>
      </c>
      <c r="D919" t="s">
        <v>145</v>
      </c>
      <c r="E919" t="s">
        <v>4</v>
      </c>
      <c r="F919" t="s">
        <v>34</v>
      </c>
      <c r="G919" t="s">
        <v>43</v>
      </c>
      <c r="H919" t="s">
        <v>81</v>
      </c>
      <c r="I919" t="s">
        <v>41</v>
      </c>
      <c r="J919" t="s">
        <v>155</v>
      </c>
      <c r="K919" t="s">
        <v>41</v>
      </c>
      <c r="L919" t="s">
        <v>147</v>
      </c>
      <c r="M919" t="s">
        <v>49</v>
      </c>
      <c r="N919" t="s">
        <v>95</v>
      </c>
      <c r="P919" t="s">
        <v>144</v>
      </c>
      <c r="Q919">
        <v>14</v>
      </c>
      <c r="R919">
        <v>1</v>
      </c>
      <c r="S919">
        <v>10</v>
      </c>
      <c r="T919">
        <v>1</v>
      </c>
      <c r="U919">
        <v>4</v>
      </c>
      <c r="V919">
        <v>5</v>
      </c>
      <c r="W919">
        <v>50</v>
      </c>
      <c r="X919">
        <v>1015</v>
      </c>
      <c r="Y919">
        <v>23447</v>
      </c>
      <c r="Z919">
        <v>5769</v>
      </c>
      <c r="AA919">
        <v>3</v>
      </c>
      <c r="AB919" s="29">
        <v>44773</v>
      </c>
      <c r="AC919" s="29">
        <v>28400</v>
      </c>
      <c r="AD919" s="29">
        <v>41140</v>
      </c>
      <c r="AE919" s="29"/>
      <c r="AF919">
        <v>10</v>
      </c>
      <c r="AG919" t="s">
        <v>153</v>
      </c>
      <c r="AI919">
        <v>35</v>
      </c>
      <c r="AJ919">
        <v>1</v>
      </c>
      <c r="AK919" t="s">
        <v>154</v>
      </c>
      <c r="AL919" t="s">
        <v>77</v>
      </c>
      <c r="AM919">
        <f t="shared" si="70"/>
        <v>3</v>
      </c>
      <c r="AN919">
        <f t="shared" si="71"/>
        <v>8</v>
      </c>
      <c r="AO919" t="str">
        <f t="shared" si="72"/>
        <v/>
      </c>
      <c r="AP919" t="str">
        <f t="shared" si="73"/>
        <v/>
      </c>
      <c r="AQ919">
        <f t="shared" si="74"/>
        <v>2012</v>
      </c>
    </row>
    <row r="920" spans="1:43" x14ac:dyDescent="0.35">
      <c r="A920">
        <v>1586</v>
      </c>
      <c r="B920">
        <v>29</v>
      </c>
      <c r="C920" t="s">
        <v>148</v>
      </c>
      <c r="D920" t="s">
        <v>145</v>
      </c>
      <c r="E920" t="s">
        <v>4</v>
      </c>
      <c r="F920" t="s">
        <v>35</v>
      </c>
      <c r="G920" t="s">
        <v>42</v>
      </c>
      <c r="H920" t="s">
        <v>82</v>
      </c>
      <c r="I920" t="s">
        <v>43</v>
      </c>
      <c r="J920" t="s">
        <v>155</v>
      </c>
      <c r="K920" t="s">
        <v>41</v>
      </c>
      <c r="L920" t="s">
        <v>147</v>
      </c>
      <c r="M920" t="s">
        <v>49</v>
      </c>
      <c r="N920" t="s">
        <v>95</v>
      </c>
      <c r="P920" t="s">
        <v>144</v>
      </c>
      <c r="Q920">
        <v>18</v>
      </c>
      <c r="R920">
        <v>1</v>
      </c>
      <c r="S920">
        <v>10</v>
      </c>
      <c r="T920">
        <v>1</v>
      </c>
      <c r="U920">
        <v>5</v>
      </c>
      <c r="V920">
        <v>3</v>
      </c>
      <c r="W920">
        <v>87</v>
      </c>
      <c r="X920">
        <v>1370</v>
      </c>
      <c r="Y920">
        <v>16213</v>
      </c>
      <c r="Z920">
        <v>4723</v>
      </c>
      <c r="AA920">
        <v>3</v>
      </c>
      <c r="AB920" s="29">
        <v>44773</v>
      </c>
      <c r="AC920" s="29">
        <v>34484</v>
      </c>
      <c r="AD920" s="29">
        <v>41197</v>
      </c>
      <c r="AE920" s="29"/>
      <c r="AF920">
        <v>10</v>
      </c>
      <c r="AG920" t="s">
        <v>157</v>
      </c>
      <c r="AI920">
        <v>19</v>
      </c>
      <c r="AJ920">
        <v>1</v>
      </c>
      <c r="AK920" t="s">
        <v>154</v>
      </c>
      <c r="AL920" t="s">
        <v>77</v>
      </c>
      <c r="AM920">
        <f t="shared" si="70"/>
        <v>4</v>
      </c>
      <c r="AN920">
        <f t="shared" si="71"/>
        <v>10</v>
      </c>
      <c r="AO920" t="str">
        <f t="shared" si="72"/>
        <v/>
      </c>
      <c r="AP920" t="str">
        <f t="shared" si="73"/>
        <v/>
      </c>
      <c r="AQ920">
        <f t="shared" si="74"/>
        <v>2012</v>
      </c>
    </row>
    <row r="921" spans="1:43" x14ac:dyDescent="0.35">
      <c r="A921">
        <v>1435</v>
      </c>
      <c r="B921">
        <v>36</v>
      </c>
      <c r="C921" t="s">
        <v>148</v>
      </c>
      <c r="D921" t="s">
        <v>145</v>
      </c>
      <c r="E921" t="s">
        <v>4</v>
      </c>
      <c r="F921" t="s">
        <v>37</v>
      </c>
      <c r="G921" t="s">
        <v>41</v>
      </c>
      <c r="H921" t="s">
        <v>82</v>
      </c>
      <c r="I921" t="s">
        <v>42</v>
      </c>
      <c r="J921" t="s">
        <v>155</v>
      </c>
      <c r="K921" t="s">
        <v>44</v>
      </c>
      <c r="L921" t="s">
        <v>147</v>
      </c>
      <c r="M921" t="s">
        <v>48</v>
      </c>
      <c r="N921" t="s">
        <v>95</v>
      </c>
      <c r="P921" t="s">
        <v>148</v>
      </c>
      <c r="Q921">
        <v>16</v>
      </c>
      <c r="R921">
        <v>1</v>
      </c>
      <c r="S921">
        <v>10</v>
      </c>
      <c r="T921">
        <v>1</v>
      </c>
      <c r="U921">
        <v>8</v>
      </c>
      <c r="V921">
        <v>4</v>
      </c>
      <c r="W921">
        <v>37</v>
      </c>
      <c r="X921">
        <v>172</v>
      </c>
      <c r="Y921">
        <v>22604</v>
      </c>
      <c r="Z921">
        <v>5810</v>
      </c>
      <c r="AA921">
        <v>2</v>
      </c>
      <c r="AB921" s="29">
        <v>44773</v>
      </c>
      <c r="AC921" s="29">
        <v>31913</v>
      </c>
      <c r="AD921" s="29">
        <v>41208</v>
      </c>
      <c r="AE921" s="29"/>
      <c r="AF921">
        <v>10</v>
      </c>
      <c r="AG921" t="s">
        <v>149</v>
      </c>
      <c r="AI921">
        <v>26</v>
      </c>
      <c r="AJ921">
        <v>1</v>
      </c>
      <c r="AK921" t="s">
        <v>154</v>
      </c>
      <c r="AL921" t="s">
        <v>77</v>
      </c>
      <c r="AM921">
        <f t="shared" si="70"/>
        <v>4</v>
      </c>
      <c r="AN921">
        <f t="shared" si="71"/>
        <v>10</v>
      </c>
      <c r="AO921" t="str">
        <f t="shared" si="72"/>
        <v/>
      </c>
      <c r="AP921" t="str">
        <f t="shared" si="73"/>
        <v/>
      </c>
      <c r="AQ921">
        <f t="shared" si="74"/>
        <v>2012</v>
      </c>
    </row>
    <row r="922" spans="1:43" x14ac:dyDescent="0.35">
      <c r="A922">
        <v>536</v>
      </c>
      <c r="B922">
        <v>28</v>
      </c>
      <c r="C922" t="s">
        <v>148</v>
      </c>
      <c r="D922" t="s">
        <v>145</v>
      </c>
      <c r="E922" t="s">
        <v>4</v>
      </c>
      <c r="F922" t="s">
        <v>36</v>
      </c>
      <c r="G922" t="s">
        <v>43</v>
      </c>
      <c r="H922" t="s">
        <v>82</v>
      </c>
      <c r="I922" t="s">
        <v>43</v>
      </c>
      <c r="J922" t="s">
        <v>155</v>
      </c>
      <c r="K922" t="s">
        <v>41</v>
      </c>
      <c r="L922" t="s">
        <v>147</v>
      </c>
      <c r="M922" t="s">
        <v>49</v>
      </c>
      <c r="N922" t="s">
        <v>96</v>
      </c>
      <c r="O922" t="s">
        <v>41</v>
      </c>
      <c r="P922" t="s">
        <v>148</v>
      </c>
      <c r="Q922">
        <v>12</v>
      </c>
      <c r="R922">
        <v>1</v>
      </c>
      <c r="S922">
        <v>10</v>
      </c>
      <c r="T922">
        <v>1</v>
      </c>
      <c r="U922">
        <v>8</v>
      </c>
      <c r="V922">
        <v>17</v>
      </c>
      <c r="W922">
        <v>79</v>
      </c>
      <c r="X922">
        <v>1300</v>
      </c>
      <c r="Y922">
        <v>13535</v>
      </c>
      <c r="Z922">
        <v>4558</v>
      </c>
      <c r="AA922">
        <v>2</v>
      </c>
      <c r="AB922" s="29">
        <v>44773</v>
      </c>
      <c r="AC922" s="29">
        <v>34798</v>
      </c>
      <c r="AD922" s="29">
        <v>41240</v>
      </c>
      <c r="AE922" s="29"/>
      <c r="AF922">
        <v>10</v>
      </c>
      <c r="AG922" t="s">
        <v>157</v>
      </c>
      <c r="AI922">
        <v>18</v>
      </c>
      <c r="AJ922">
        <v>1</v>
      </c>
      <c r="AK922" t="s">
        <v>154</v>
      </c>
      <c r="AL922" t="s">
        <v>77</v>
      </c>
      <c r="AM922">
        <f t="shared" si="70"/>
        <v>4</v>
      </c>
      <c r="AN922">
        <f t="shared" si="71"/>
        <v>11</v>
      </c>
      <c r="AO922" t="str">
        <f t="shared" si="72"/>
        <v/>
      </c>
      <c r="AP922" t="str">
        <f t="shared" si="73"/>
        <v/>
      </c>
      <c r="AQ922">
        <f t="shared" si="74"/>
        <v>2012</v>
      </c>
    </row>
    <row r="923" spans="1:43" x14ac:dyDescent="0.35">
      <c r="A923">
        <v>441</v>
      </c>
      <c r="B923">
        <v>30</v>
      </c>
      <c r="C923" t="s">
        <v>148</v>
      </c>
      <c r="D923" t="s">
        <v>145</v>
      </c>
      <c r="E923" t="s">
        <v>4</v>
      </c>
      <c r="F923" t="s">
        <v>36</v>
      </c>
      <c r="G923" t="s">
        <v>44</v>
      </c>
      <c r="H923" t="s">
        <v>81</v>
      </c>
      <c r="I923" t="s">
        <v>43</v>
      </c>
      <c r="J923" t="s">
        <v>146</v>
      </c>
      <c r="K923" t="s">
        <v>44</v>
      </c>
      <c r="L923" t="s">
        <v>147</v>
      </c>
      <c r="M923" t="s">
        <v>49</v>
      </c>
      <c r="N923" t="s">
        <v>160</v>
      </c>
      <c r="O923" t="s">
        <v>156</v>
      </c>
      <c r="P923" t="s">
        <v>148</v>
      </c>
      <c r="Q923">
        <v>13</v>
      </c>
      <c r="R923">
        <v>1</v>
      </c>
      <c r="S923">
        <v>11</v>
      </c>
      <c r="T923">
        <v>1</v>
      </c>
      <c r="U923">
        <v>9</v>
      </c>
      <c r="V923">
        <v>28</v>
      </c>
      <c r="W923">
        <v>64</v>
      </c>
      <c r="X923">
        <v>1275</v>
      </c>
      <c r="Y923">
        <v>11934</v>
      </c>
      <c r="Z923">
        <v>5775</v>
      </c>
      <c r="AA923">
        <v>2</v>
      </c>
      <c r="AB923" s="29">
        <v>44773</v>
      </c>
      <c r="AC923" s="29">
        <v>33878</v>
      </c>
      <c r="AD923" s="29">
        <v>41318</v>
      </c>
      <c r="AE923" s="29"/>
      <c r="AF923">
        <v>9</v>
      </c>
      <c r="AG923" t="s">
        <v>149</v>
      </c>
      <c r="AI923">
        <v>21</v>
      </c>
      <c r="AJ923">
        <v>2</v>
      </c>
      <c r="AK923" t="s">
        <v>150</v>
      </c>
      <c r="AL923" t="s">
        <v>77</v>
      </c>
      <c r="AM923">
        <f t="shared" si="70"/>
        <v>1</v>
      </c>
      <c r="AN923">
        <f t="shared" si="71"/>
        <v>2</v>
      </c>
      <c r="AO923" t="str">
        <f t="shared" si="72"/>
        <v/>
      </c>
      <c r="AP923" t="str">
        <f t="shared" si="73"/>
        <v/>
      </c>
      <c r="AQ923">
        <f t="shared" si="74"/>
        <v>2013</v>
      </c>
    </row>
    <row r="924" spans="1:43" x14ac:dyDescent="0.35">
      <c r="A924">
        <v>385</v>
      </c>
      <c r="B924">
        <v>50</v>
      </c>
      <c r="C924" t="s">
        <v>148</v>
      </c>
      <c r="D924" t="s">
        <v>145</v>
      </c>
      <c r="E924" t="s">
        <v>4</v>
      </c>
      <c r="F924" t="s">
        <v>35</v>
      </c>
      <c r="G924" t="s">
        <v>41</v>
      </c>
      <c r="H924" t="s">
        <v>82</v>
      </c>
      <c r="I924" t="s">
        <v>43</v>
      </c>
      <c r="J924" t="s">
        <v>173</v>
      </c>
      <c r="K924" t="s">
        <v>42</v>
      </c>
      <c r="L924" t="s">
        <v>147</v>
      </c>
      <c r="M924" t="s">
        <v>48</v>
      </c>
      <c r="N924" t="s">
        <v>96</v>
      </c>
      <c r="O924" t="s">
        <v>156</v>
      </c>
      <c r="P924" t="s">
        <v>148</v>
      </c>
      <c r="Q924">
        <v>14</v>
      </c>
      <c r="R924">
        <v>3</v>
      </c>
      <c r="S924">
        <v>28</v>
      </c>
      <c r="T924">
        <v>1</v>
      </c>
      <c r="U924">
        <v>6</v>
      </c>
      <c r="V924">
        <v>4</v>
      </c>
      <c r="W924">
        <v>96</v>
      </c>
      <c r="X924">
        <v>797</v>
      </c>
      <c r="Y924">
        <v>15815</v>
      </c>
      <c r="Z924">
        <v>19144</v>
      </c>
      <c r="AA924">
        <v>4</v>
      </c>
      <c r="AB924" s="29">
        <v>44773</v>
      </c>
      <c r="AC924" s="29">
        <v>26817</v>
      </c>
      <c r="AD924" s="29">
        <v>41322</v>
      </c>
      <c r="AE924" s="29"/>
      <c r="AF924">
        <v>9</v>
      </c>
      <c r="AG924" t="s">
        <v>167</v>
      </c>
      <c r="AI924">
        <v>41</v>
      </c>
      <c r="AJ924">
        <v>1</v>
      </c>
      <c r="AK924" t="s">
        <v>150</v>
      </c>
      <c r="AL924" t="s">
        <v>77</v>
      </c>
      <c r="AM924">
        <f t="shared" si="70"/>
        <v>1</v>
      </c>
      <c r="AN924">
        <f t="shared" si="71"/>
        <v>2</v>
      </c>
      <c r="AO924" t="str">
        <f t="shared" si="72"/>
        <v/>
      </c>
      <c r="AP924" t="str">
        <f t="shared" si="73"/>
        <v/>
      </c>
      <c r="AQ924">
        <f t="shared" si="74"/>
        <v>2013</v>
      </c>
    </row>
    <row r="925" spans="1:43" x14ac:dyDescent="0.35">
      <c r="A925">
        <v>762</v>
      </c>
      <c r="B925">
        <v>56</v>
      </c>
      <c r="C925" t="s">
        <v>148</v>
      </c>
      <c r="D925" t="s">
        <v>145</v>
      </c>
      <c r="E925" t="s">
        <v>4</v>
      </c>
      <c r="F925" t="s">
        <v>38</v>
      </c>
      <c r="G925" t="s">
        <v>43</v>
      </c>
      <c r="H925" t="s">
        <v>82</v>
      </c>
      <c r="I925" t="s">
        <v>43</v>
      </c>
      <c r="J925" t="s">
        <v>161</v>
      </c>
      <c r="K925" t="s">
        <v>44</v>
      </c>
      <c r="L925" t="s">
        <v>147</v>
      </c>
      <c r="M925" t="s">
        <v>48</v>
      </c>
      <c r="N925" t="s">
        <v>160</v>
      </c>
      <c r="P925" t="s">
        <v>148</v>
      </c>
      <c r="Q925">
        <v>11</v>
      </c>
      <c r="R925">
        <v>7</v>
      </c>
      <c r="S925">
        <v>30</v>
      </c>
      <c r="T925">
        <v>1</v>
      </c>
      <c r="U925">
        <v>1</v>
      </c>
      <c r="V925">
        <v>9</v>
      </c>
      <c r="W925">
        <v>81</v>
      </c>
      <c r="X925">
        <v>832</v>
      </c>
      <c r="Y925">
        <v>20420</v>
      </c>
      <c r="Z925">
        <v>11103</v>
      </c>
      <c r="AA925">
        <v>1</v>
      </c>
      <c r="AB925" s="29">
        <v>44773</v>
      </c>
      <c r="AC925" s="29">
        <v>24337</v>
      </c>
      <c r="AD925" s="29">
        <v>41384</v>
      </c>
      <c r="AE925" s="29"/>
      <c r="AF925">
        <v>9</v>
      </c>
      <c r="AG925" t="s">
        <v>167</v>
      </c>
      <c r="AI925">
        <v>47</v>
      </c>
      <c r="AJ925">
        <v>1</v>
      </c>
      <c r="AK925" t="s">
        <v>150</v>
      </c>
      <c r="AL925" t="s">
        <v>77</v>
      </c>
      <c r="AM925">
        <f t="shared" si="70"/>
        <v>2</v>
      </c>
      <c r="AN925">
        <f t="shared" si="71"/>
        <v>4</v>
      </c>
      <c r="AO925" t="str">
        <f t="shared" si="72"/>
        <v/>
      </c>
      <c r="AP925" t="str">
        <f t="shared" si="73"/>
        <v/>
      </c>
      <c r="AQ925">
        <f t="shared" si="74"/>
        <v>2013</v>
      </c>
    </row>
    <row r="926" spans="1:43" x14ac:dyDescent="0.35">
      <c r="A926">
        <v>41</v>
      </c>
      <c r="B926">
        <v>30</v>
      </c>
      <c r="C926" t="s">
        <v>148</v>
      </c>
      <c r="D926" t="s">
        <v>145</v>
      </c>
      <c r="E926" t="s">
        <v>4</v>
      </c>
      <c r="F926" t="s">
        <v>36</v>
      </c>
      <c r="G926" t="s">
        <v>44</v>
      </c>
      <c r="H926" t="s">
        <v>82</v>
      </c>
      <c r="I926" t="s">
        <v>42</v>
      </c>
      <c r="J926" t="s">
        <v>155</v>
      </c>
      <c r="K926" t="s">
        <v>43</v>
      </c>
      <c r="L926" t="s">
        <v>147</v>
      </c>
      <c r="M926" t="s">
        <v>49</v>
      </c>
      <c r="N926" t="s">
        <v>95</v>
      </c>
      <c r="P926" t="s">
        <v>148</v>
      </c>
      <c r="Q926">
        <v>13</v>
      </c>
      <c r="R926">
        <v>1</v>
      </c>
      <c r="S926">
        <v>10</v>
      </c>
      <c r="T926">
        <v>1</v>
      </c>
      <c r="U926">
        <v>8</v>
      </c>
      <c r="V926">
        <v>9</v>
      </c>
      <c r="W926">
        <v>83</v>
      </c>
      <c r="X926">
        <v>125</v>
      </c>
      <c r="Y926">
        <v>16117</v>
      </c>
      <c r="Z926">
        <v>2206</v>
      </c>
      <c r="AA926">
        <v>5</v>
      </c>
      <c r="AB926" s="29">
        <v>44773</v>
      </c>
      <c r="AC926" s="29">
        <v>33836</v>
      </c>
      <c r="AD926" s="29">
        <v>41389</v>
      </c>
      <c r="AE926" s="29"/>
      <c r="AF926">
        <v>9</v>
      </c>
      <c r="AG926" t="s">
        <v>149</v>
      </c>
      <c r="AI926">
        <v>21</v>
      </c>
      <c r="AJ926">
        <v>1</v>
      </c>
      <c r="AK926" t="s">
        <v>150</v>
      </c>
      <c r="AL926" t="s">
        <v>77</v>
      </c>
      <c r="AM926">
        <f t="shared" si="70"/>
        <v>2</v>
      </c>
      <c r="AN926">
        <f t="shared" si="71"/>
        <v>4</v>
      </c>
      <c r="AO926" t="str">
        <f t="shared" si="72"/>
        <v/>
      </c>
      <c r="AP926" t="str">
        <f t="shared" si="73"/>
        <v/>
      </c>
      <c r="AQ926">
        <f t="shared" si="74"/>
        <v>2013</v>
      </c>
    </row>
    <row r="927" spans="1:43" x14ac:dyDescent="0.35">
      <c r="A927">
        <v>1150</v>
      </c>
      <c r="B927">
        <v>29</v>
      </c>
      <c r="C927" t="s">
        <v>148</v>
      </c>
      <c r="D927" t="s">
        <v>145</v>
      </c>
      <c r="E927" t="s">
        <v>4</v>
      </c>
      <c r="F927" t="s">
        <v>35</v>
      </c>
      <c r="G927" t="s">
        <v>42</v>
      </c>
      <c r="H927" t="s">
        <v>82</v>
      </c>
      <c r="I927" t="s">
        <v>42</v>
      </c>
      <c r="J927" t="s">
        <v>165</v>
      </c>
      <c r="K927" t="s">
        <v>44</v>
      </c>
      <c r="L927" t="s">
        <v>147</v>
      </c>
      <c r="M927" t="s">
        <v>48</v>
      </c>
      <c r="N927" t="s">
        <v>160</v>
      </c>
      <c r="O927" t="s">
        <v>41</v>
      </c>
      <c r="P927" t="s">
        <v>144</v>
      </c>
      <c r="Q927">
        <v>15</v>
      </c>
      <c r="R927">
        <v>1</v>
      </c>
      <c r="S927">
        <v>10</v>
      </c>
      <c r="T927">
        <v>1</v>
      </c>
      <c r="U927">
        <v>2</v>
      </c>
      <c r="V927">
        <v>8</v>
      </c>
      <c r="W927">
        <v>79</v>
      </c>
      <c r="X927">
        <v>718</v>
      </c>
      <c r="Y927">
        <v>17689</v>
      </c>
      <c r="Z927">
        <v>5056</v>
      </c>
      <c r="AA927">
        <v>2</v>
      </c>
      <c r="AB927" s="29">
        <v>44773</v>
      </c>
      <c r="AC927" s="29">
        <v>34447</v>
      </c>
      <c r="AD927" s="29">
        <v>41450</v>
      </c>
      <c r="AE927" s="29"/>
      <c r="AF927">
        <v>9</v>
      </c>
      <c r="AG927" t="s">
        <v>157</v>
      </c>
      <c r="AI927">
        <v>20</v>
      </c>
      <c r="AJ927">
        <v>1</v>
      </c>
      <c r="AK927" t="s">
        <v>150</v>
      </c>
      <c r="AL927" t="s">
        <v>78</v>
      </c>
      <c r="AM927">
        <f t="shared" si="70"/>
        <v>2</v>
      </c>
      <c r="AN927">
        <f t="shared" si="71"/>
        <v>6</v>
      </c>
      <c r="AO927" t="str">
        <f t="shared" si="72"/>
        <v/>
      </c>
      <c r="AP927" t="str">
        <f t="shared" si="73"/>
        <v/>
      </c>
      <c r="AQ927">
        <f t="shared" si="74"/>
        <v>2013</v>
      </c>
    </row>
    <row r="928" spans="1:43" x14ac:dyDescent="0.35">
      <c r="A928">
        <v>1344</v>
      </c>
      <c r="B928">
        <v>34</v>
      </c>
      <c r="C928" t="s">
        <v>148</v>
      </c>
      <c r="D928" t="s">
        <v>145</v>
      </c>
      <c r="E928" t="s">
        <v>4</v>
      </c>
      <c r="F928" t="s">
        <v>38</v>
      </c>
      <c r="G928" t="s">
        <v>44</v>
      </c>
      <c r="H928" t="s">
        <v>82</v>
      </c>
      <c r="I928" t="s">
        <v>43</v>
      </c>
      <c r="J928" t="s">
        <v>161</v>
      </c>
      <c r="K928" t="s">
        <v>44</v>
      </c>
      <c r="L928" t="s">
        <v>147</v>
      </c>
      <c r="M928" t="s">
        <v>48</v>
      </c>
      <c r="N928" t="s">
        <v>96</v>
      </c>
      <c r="O928" t="s">
        <v>41</v>
      </c>
      <c r="P928" t="s">
        <v>148</v>
      </c>
      <c r="Q928">
        <v>11</v>
      </c>
      <c r="R928">
        <v>0</v>
      </c>
      <c r="S928">
        <v>10</v>
      </c>
      <c r="T928">
        <v>1</v>
      </c>
      <c r="U928">
        <v>6</v>
      </c>
      <c r="V928">
        <v>9</v>
      </c>
      <c r="W928">
        <v>86</v>
      </c>
      <c r="X928">
        <v>943</v>
      </c>
      <c r="Y928">
        <v>5494</v>
      </c>
      <c r="Z928">
        <v>8500</v>
      </c>
      <c r="AA928">
        <v>0</v>
      </c>
      <c r="AB928" s="29">
        <v>44773</v>
      </c>
      <c r="AC928" s="29">
        <v>32490</v>
      </c>
      <c r="AD928" s="29">
        <v>41502</v>
      </c>
      <c r="AE928" s="29"/>
      <c r="AF928">
        <v>9</v>
      </c>
      <c r="AG928" t="s">
        <v>149</v>
      </c>
      <c r="AI928">
        <v>25</v>
      </c>
      <c r="AJ928">
        <v>1</v>
      </c>
      <c r="AK928" t="s">
        <v>150</v>
      </c>
      <c r="AL928" t="s">
        <v>77</v>
      </c>
      <c r="AM928">
        <f t="shared" si="70"/>
        <v>3</v>
      </c>
      <c r="AN928">
        <f t="shared" si="71"/>
        <v>8</v>
      </c>
      <c r="AO928" t="str">
        <f t="shared" si="72"/>
        <v/>
      </c>
      <c r="AP928" t="str">
        <f t="shared" si="73"/>
        <v/>
      </c>
      <c r="AQ928">
        <f t="shared" si="74"/>
        <v>2013</v>
      </c>
    </row>
    <row r="929" spans="1:43" x14ac:dyDescent="0.35">
      <c r="A929">
        <v>1121</v>
      </c>
      <c r="B929">
        <v>28</v>
      </c>
      <c r="C929" t="s">
        <v>148</v>
      </c>
      <c r="D929" t="s">
        <v>145</v>
      </c>
      <c r="E929" t="s">
        <v>4</v>
      </c>
      <c r="F929" t="s">
        <v>38</v>
      </c>
      <c r="G929" t="s">
        <v>44</v>
      </c>
      <c r="H929" t="s">
        <v>81</v>
      </c>
      <c r="I929" t="s">
        <v>43</v>
      </c>
      <c r="J929" t="s">
        <v>165</v>
      </c>
      <c r="K929" t="s">
        <v>42</v>
      </c>
      <c r="L929" t="s">
        <v>147</v>
      </c>
      <c r="M929" t="s">
        <v>48</v>
      </c>
      <c r="N929" t="s">
        <v>96</v>
      </c>
      <c r="O929" t="s">
        <v>43</v>
      </c>
      <c r="P929" t="s">
        <v>148</v>
      </c>
      <c r="Q929">
        <v>17</v>
      </c>
      <c r="R929">
        <v>0</v>
      </c>
      <c r="S929">
        <v>10</v>
      </c>
      <c r="T929">
        <v>1</v>
      </c>
      <c r="U929">
        <v>7</v>
      </c>
      <c r="V929">
        <v>3</v>
      </c>
      <c r="W929">
        <v>93</v>
      </c>
      <c r="X929">
        <v>950</v>
      </c>
      <c r="Y929">
        <v>8039</v>
      </c>
      <c r="Z929">
        <v>7655</v>
      </c>
      <c r="AA929">
        <v>3</v>
      </c>
      <c r="AB929" s="29">
        <v>44773</v>
      </c>
      <c r="AC929" s="29">
        <v>34721</v>
      </c>
      <c r="AD929" s="29">
        <v>41576</v>
      </c>
      <c r="AE929" s="29"/>
      <c r="AF929">
        <v>9</v>
      </c>
      <c r="AG929" t="s">
        <v>157</v>
      </c>
      <c r="AI929">
        <v>19</v>
      </c>
      <c r="AJ929">
        <v>1</v>
      </c>
      <c r="AK929" t="s">
        <v>150</v>
      </c>
      <c r="AL929" t="s">
        <v>77</v>
      </c>
      <c r="AM929">
        <f t="shared" si="70"/>
        <v>4</v>
      </c>
      <c r="AN929">
        <f t="shared" si="71"/>
        <v>10</v>
      </c>
      <c r="AO929" t="str">
        <f t="shared" si="72"/>
        <v/>
      </c>
      <c r="AP929" t="str">
        <f t="shared" si="73"/>
        <v/>
      </c>
      <c r="AQ929">
        <f t="shared" si="74"/>
        <v>2013</v>
      </c>
    </row>
    <row r="930" spans="1:43" x14ac:dyDescent="0.35">
      <c r="A930">
        <v>1617</v>
      </c>
      <c r="B930">
        <v>49</v>
      </c>
      <c r="C930" t="s">
        <v>148</v>
      </c>
      <c r="D930" t="s">
        <v>145</v>
      </c>
      <c r="E930" t="s">
        <v>4</v>
      </c>
      <c r="F930" t="s">
        <v>37</v>
      </c>
      <c r="G930" t="s">
        <v>43</v>
      </c>
      <c r="H930" t="s">
        <v>81</v>
      </c>
      <c r="I930" t="s">
        <v>43</v>
      </c>
      <c r="J930" t="s">
        <v>155</v>
      </c>
      <c r="K930" t="s">
        <v>41</v>
      </c>
      <c r="L930" t="s">
        <v>147</v>
      </c>
      <c r="M930" t="s">
        <v>48</v>
      </c>
      <c r="N930" t="s">
        <v>160</v>
      </c>
      <c r="O930" t="s">
        <v>41</v>
      </c>
      <c r="P930" t="s">
        <v>148</v>
      </c>
      <c r="Q930">
        <v>14</v>
      </c>
      <c r="R930">
        <v>1</v>
      </c>
      <c r="S930">
        <v>10</v>
      </c>
      <c r="T930">
        <v>1</v>
      </c>
      <c r="U930">
        <v>4</v>
      </c>
      <c r="V930">
        <v>25</v>
      </c>
      <c r="W930">
        <v>84</v>
      </c>
      <c r="X930">
        <v>722</v>
      </c>
      <c r="Y930">
        <v>22102</v>
      </c>
      <c r="Z930">
        <v>3211</v>
      </c>
      <c r="AA930">
        <v>3</v>
      </c>
      <c r="AB930" s="29">
        <v>44773</v>
      </c>
      <c r="AC930" s="29">
        <v>27215</v>
      </c>
      <c r="AD930" s="29">
        <v>41737</v>
      </c>
      <c r="AE930" s="29"/>
      <c r="AF930">
        <v>8</v>
      </c>
      <c r="AG930" t="s">
        <v>153</v>
      </c>
      <c r="AI930">
        <v>41</v>
      </c>
      <c r="AJ930">
        <v>1</v>
      </c>
      <c r="AK930" t="s">
        <v>150</v>
      </c>
      <c r="AL930" t="s">
        <v>77</v>
      </c>
      <c r="AM930">
        <f t="shared" si="70"/>
        <v>2</v>
      </c>
      <c r="AN930">
        <f t="shared" si="71"/>
        <v>4</v>
      </c>
      <c r="AO930" t="str">
        <f t="shared" si="72"/>
        <v/>
      </c>
      <c r="AP930" t="str">
        <f t="shared" si="73"/>
        <v/>
      </c>
      <c r="AQ930">
        <f t="shared" si="74"/>
        <v>2014</v>
      </c>
    </row>
    <row r="931" spans="1:43" x14ac:dyDescent="0.35">
      <c r="A931">
        <v>1671</v>
      </c>
      <c r="B931">
        <v>32</v>
      </c>
      <c r="C931" t="s">
        <v>148</v>
      </c>
      <c r="D931" t="s">
        <v>145</v>
      </c>
      <c r="E931" t="s">
        <v>4</v>
      </c>
      <c r="F931" t="s">
        <v>38</v>
      </c>
      <c r="G931" t="s">
        <v>44</v>
      </c>
      <c r="H931" t="s">
        <v>82</v>
      </c>
      <c r="I931" t="s">
        <v>43</v>
      </c>
      <c r="J931" t="s">
        <v>146</v>
      </c>
      <c r="K931" t="s">
        <v>42</v>
      </c>
      <c r="L931" t="s">
        <v>147</v>
      </c>
      <c r="M931" t="s">
        <v>48</v>
      </c>
      <c r="N931" t="s">
        <v>96</v>
      </c>
      <c r="O931" t="s">
        <v>156</v>
      </c>
      <c r="P931" t="s">
        <v>148</v>
      </c>
      <c r="Q931">
        <v>13</v>
      </c>
      <c r="R931">
        <v>0</v>
      </c>
      <c r="S931">
        <v>10</v>
      </c>
      <c r="T931">
        <v>1</v>
      </c>
      <c r="U931">
        <v>6</v>
      </c>
      <c r="V931">
        <v>2</v>
      </c>
      <c r="W931">
        <v>45</v>
      </c>
      <c r="X931">
        <v>977</v>
      </c>
      <c r="Y931">
        <v>25518</v>
      </c>
      <c r="Z931">
        <v>5470</v>
      </c>
      <c r="AA931">
        <v>4</v>
      </c>
      <c r="AB931" s="29">
        <v>44773</v>
      </c>
      <c r="AC931" s="29">
        <v>33159</v>
      </c>
      <c r="AD931" s="29">
        <v>41798</v>
      </c>
      <c r="AE931" s="29"/>
      <c r="AF931">
        <v>8</v>
      </c>
      <c r="AG931" t="s">
        <v>149</v>
      </c>
      <c r="AI931">
        <v>24</v>
      </c>
      <c r="AJ931">
        <v>1</v>
      </c>
      <c r="AK931" t="s">
        <v>150</v>
      </c>
      <c r="AL931" t="s">
        <v>77</v>
      </c>
      <c r="AM931">
        <f t="shared" si="70"/>
        <v>2</v>
      </c>
      <c r="AN931">
        <f t="shared" si="71"/>
        <v>6</v>
      </c>
      <c r="AO931" t="str">
        <f t="shared" si="72"/>
        <v/>
      </c>
      <c r="AP931" t="str">
        <f t="shared" si="73"/>
        <v/>
      </c>
      <c r="AQ931">
        <f t="shared" si="74"/>
        <v>2014</v>
      </c>
    </row>
    <row r="932" spans="1:43" x14ac:dyDescent="0.35">
      <c r="A932">
        <v>1172</v>
      </c>
      <c r="B932">
        <v>35</v>
      </c>
      <c r="C932" t="s">
        <v>148</v>
      </c>
      <c r="D932" t="s">
        <v>145</v>
      </c>
      <c r="E932" t="s">
        <v>4</v>
      </c>
      <c r="F932" t="s">
        <v>37</v>
      </c>
      <c r="G932" t="s">
        <v>44</v>
      </c>
      <c r="H932" t="s">
        <v>82</v>
      </c>
      <c r="I932" t="s">
        <v>42</v>
      </c>
      <c r="J932" t="s">
        <v>155</v>
      </c>
      <c r="K932" t="s">
        <v>43</v>
      </c>
      <c r="L932" t="s">
        <v>147</v>
      </c>
      <c r="M932" t="s">
        <v>49</v>
      </c>
      <c r="N932" t="s">
        <v>160</v>
      </c>
      <c r="O932" t="s">
        <v>41</v>
      </c>
      <c r="P932" t="s">
        <v>148</v>
      </c>
      <c r="Q932">
        <v>12</v>
      </c>
      <c r="R932">
        <v>6</v>
      </c>
      <c r="S932">
        <v>10</v>
      </c>
      <c r="T932">
        <v>1</v>
      </c>
      <c r="U932">
        <v>7</v>
      </c>
      <c r="V932">
        <v>1</v>
      </c>
      <c r="W932">
        <v>58</v>
      </c>
      <c r="X932">
        <v>982</v>
      </c>
      <c r="Y932">
        <v>16340</v>
      </c>
      <c r="Z932">
        <v>2258</v>
      </c>
      <c r="AA932">
        <v>2</v>
      </c>
      <c r="AB932" s="29">
        <v>44773</v>
      </c>
      <c r="AC932" s="29">
        <v>32189</v>
      </c>
      <c r="AD932" s="29">
        <v>41866</v>
      </c>
      <c r="AE932" s="29"/>
      <c r="AF932">
        <v>8</v>
      </c>
      <c r="AG932" t="s">
        <v>149</v>
      </c>
      <c r="AI932">
        <v>27</v>
      </c>
      <c r="AJ932">
        <v>1</v>
      </c>
      <c r="AK932" t="s">
        <v>150</v>
      </c>
      <c r="AL932" t="s">
        <v>77</v>
      </c>
      <c r="AM932">
        <f t="shared" si="70"/>
        <v>3</v>
      </c>
      <c r="AN932">
        <f t="shared" si="71"/>
        <v>8</v>
      </c>
      <c r="AO932" t="str">
        <f t="shared" si="72"/>
        <v/>
      </c>
      <c r="AP932" t="str">
        <f t="shared" si="73"/>
        <v/>
      </c>
      <c r="AQ932">
        <f t="shared" si="74"/>
        <v>2014</v>
      </c>
    </row>
    <row r="933" spans="1:43" x14ac:dyDescent="0.35">
      <c r="A933">
        <v>1015</v>
      </c>
      <c r="B933">
        <v>30</v>
      </c>
      <c r="C933" t="s">
        <v>148</v>
      </c>
      <c r="D933" t="s">
        <v>145</v>
      </c>
      <c r="E933" t="s">
        <v>4</v>
      </c>
      <c r="F933" t="s">
        <v>36</v>
      </c>
      <c r="G933" t="s">
        <v>42</v>
      </c>
      <c r="H933" t="s">
        <v>81</v>
      </c>
      <c r="I933" t="s">
        <v>44</v>
      </c>
      <c r="J933" t="s">
        <v>173</v>
      </c>
      <c r="K933" t="s">
        <v>41</v>
      </c>
      <c r="L933" t="s">
        <v>147</v>
      </c>
      <c r="M933" t="s">
        <v>48</v>
      </c>
      <c r="N933" t="s">
        <v>160</v>
      </c>
      <c r="O933" t="s">
        <v>43</v>
      </c>
      <c r="P933" t="s">
        <v>144</v>
      </c>
      <c r="Q933">
        <v>12</v>
      </c>
      <c r="R933">
        <v>0</v>
      </c>
      <c r="S933">
        <v>9</v>
      </c>
      <c r="T933">
        <v>1</v>
      </c>
      <c r="U933">
        <v>7</v>
      </c>
      <c r="V933">
        <v>8</v>
      </c>
      <c r="W933">
        <v>73</v>
      </c>
      <c r="X933">
        <v>153</v>
      </c>
      <c r="Y933">
        <v>17802</v>
      </c>
      <c r="Z933">
        <v>11416</v>
      </c>
      <c r="AA933">
        <v>4</v>
      </c>
      <c r="AB933" s="29">
        <v>44773</v>
      </c>
      <c r="AC933" s="29">
        <v>33909</v>
      </c>
      <c r="AD933" s="29">
        <v>41904</v>
      </c>
      <c r="AE933" s="29"/>
      <c r="AF933">
        <v>8</v>
      </c>
      <c r="AG933" t="s">
        <v>149</v>
      </c>
      <c r="AI933">
        <v>22</v>
      </c>
      <c r="AJ933">
        <v>1</v>
      </c>
      <c r="AK933" t="s">
        <v>150</v>
      </c>
      <c r="AL933" t="s">
        <v>78</v>
      </c>
      <c r="AM933">
        <f t="shared" si="70"/>
        <v>3</v>
      </c>
      <c r="AN933">
        <f t="shared" si="71"/>
        <v>9</v>
      </c>
      <c r="AO933" t="str">
        <f t="shared" si="72"/>
        <v/>
      </c>
      <c r="AP933" t="str">
        <f t="shared" si="73"/>
        <v/>
      </c>
      <c r="AQ933">
        <f t="shared" si="74"/>
        <v>2014</v>
      </c>
    </row>
    <row r="934" spans="1:43" x14ac:dyDescent="0.35">
      <c r="A934">
        <v>1514</v>
      </c>
      <c r="B934">
        <v>28</v>
      </c>
      <c r="C934" t="s">
        <v>148</v>
      </c>
      <c r="D934" t="s">
        <v>145</v>
      </c>
      <c r="E934" t="s">
        <v>4</v>
      </c>
      <c r="F934" t="s">
        <v>35</v>
      </c>
      <c r="G934" t="s">
        <v>43</v>
      </c>
      <c r="H934" t="s">
        <v>82</v>
      </c>
      <c r="I934" t="s">
        <v>41</v>
      </c>
      <c r="J934" t="s">
        <v>165</v>
      </c>
      <c r="K934" t="s">
        <v>42</v>
      </c>
      <c r="L934" t="s">
        <v>147</v>
      </c>
      <c r="M934" t="s">
        <v>48</v>
      </c>
      <c r="N934" t="s">
        <v>160</v>
      </c>
      <c r="O934" t="s">
        <v>156</v>
      </c>
      <c r="P934" t="s">
        <v>148</v>
      </c>
      <c r="Q934">
        <v>14</v>
      </c>
      <c r="R934">
        <v>1</v>
      </c>
      <c r="S934">
        <v>8</v>
      </c>
      <c r="T934">
        <v>1</v>
      </c>
      <c r="U934">
        <v>7</v>
      </c>
      <c r="V934">
        <v>29</v>
      </c>
      <c r="W934">
        <v>96</v>
      </c>
      <c r="X934">
        <v>1083</v>
      </c>
      <c r="Y934">
        <v>3173</v>
      </c>
      <c r="Z934">
        <v>6549</v>
      </c>
      <c r="AA934">
        <v>2</v>
      </c>
      <c r="AB934" s="29">
        <v>44773</v>
      </c>
      <c r="AC934" s="29">
        <v>34598</v>
      </c>
      <c r="AD934" s="29">
        <v>41940</v>
      </c>
      <c r="AE934" s="29"/>
      <c r="AF934">
        <v>8</v>
      </c>
      <c r="AG934" t="s">
        <v>157</v>
      </c>
      <c r="AI934">
        <v>20</v>
      </c>
      <c r="AJ934">
        <v>1</v>
      </c>
      <c r="AK934" t="s">
        <v>150</v>
      </c>
      <c r="AL934" t="s">
        <v>77</v>
      </c>
      <c r="AM934">
        <f t="shared" si="70"/>
        <v>4</v>
      </c>
      <c r="AN934">
        <f t="shared" si="71"/>
        <v>10</v>
      </c>
      <c r="AO934" t="str">
        <f t="shared" si="72"/>
        <v/>
      </c>
      <c r="AP934" t="str">
        <f t="shared" si="73"/>
        <v/>
      </c>
      <c r="AQ934">
        <f t="shared" si="74"/>
        <v>2014</v>
      </c>
    </row>
    <row r="935" spans="1:43" x14ac:dyDescent="0.35">
      <c r="A935">
        <v>1018</v>
      </c>
      <c r="B935">
        <v>26</v>
      </c>
      <c r="C935" t="s">
        <v>148</v>
      </c>
      <c r="D935" t="s">
        <v>145</v>
      </c>
      <c r="E935" t="s">
        <v>4</v>
      </c>
      <c r="F935" t="s">
        <v>36</v>
      </c>
      <c r="G935" t="s">
        <v>44</v>
      </c>
      <c r="H935" t="s">
        <v>82</v>
      </c>
      <c r="I935" t="s">
        <v>44</v>
      </c>
      <c r="J935" t="s">
        <v>165</v>
      </c>
      <c r="K935" t="s">
        <v>44</v>
      </c>
      <c r="L935" t="s">
        <v>147</v>
      </c>
      <c r="M935" t="s">
        <v>49</v>
      </c>
      <c r="N935" t="s">
        <v>160</v>
      </c>
      <c r="P935" t="s">
        <v>148</v>
      </c>
      <c r="Q935">
        <v>12</v>
      </c>
      <c r="R935">
        <v>1</v>
      </c>
      <c r="S935">
        <v>8</v>
      </c>
      <c r="T935">
        <v>1</v>
      </c>
      <c r="U935">
        <v>3</v>
      </c>
      <c r="V935">
        <v>2</v>
      </c>
      <c r="W935">
        <v>32</v>
      </c>
      <c r="X935">
        <v>1066</v>
      </c>
      <c r="Y935">
        <v>3334</v>
      </c>
      <c r="Z935">
        <v>5472</v>
      </c>
      <c r="AA935">
        <v>2</v>
      </c>
      <c r="AB935" s="29">
        <v>44773</v>
      </c>
      <c r="AC935" s="29">
        <v>35399</v>
      </c>
      <c r="AD935" s="29">
        <v>41956</v>
      </c>
      <c r="AE935" s="29"/>
      <c r="AF935">
        <v>8</v>
      </c>
      <c r="AG935" t="s">
        <v>157</v>
      </c>
      <c r="AI935">
        <v>18</v>
      </c>
      <c r="AJ935">
        <v>2</v>
      </c>
      <c r="AK935" t="s">
        <v>150</v>
      </c>
      <c r="AL935" t="s">
        <v>78</v>
      </c>
      <c r="AM935">
        <f t="shared" si="70"/>
        <v>4</v>
      </c>
      <c r="AN935">
        <f t="shared" si="71"/>
        <v>11</v>
      </c>
      <c r="AO935" t="str">
        <f t="shared" si="72"/>
        <v/>
      </c>
      <c r="AP935" t="str">
        <f t="shared" si="73"/>
        <v/>
      </c>
      <c r="AQ935">
        <f t="shared" si="74"/>
        <v>2014</v>
      </c>
    </row>
    <row r="936" spans="1:43" x14ac:dyDescent="0.35">
      <c r="A936">
        <v>793</v>
      </c>
      <c r="B936">
        <v>29</v>
      </c>
      <c r="C936" t="s">
        <v>148</v>
      </c>
      <c r="D936" t="s">
        <v>145</v>
      </c>
      <c r="E936" t="s">
        <v>4</v>
      </c>
      <c r="F936" t="s">
        <v>38</v>
      </c>
      <c r="G936" t="s">
        <v>42</v>
      </c>
      <c r="H936" t="s">
        <v>81</v>
      </c>
      <c r="I936" t="s">
        <v>43</v>
      </c>
      <c r="J936" t="s">
        <v>161</v>
      </c>
      <c r="K936" t="s">
        <v>43</v>
      </c>
      <c r="L936" t="s">
        <v>147</v>
      </c>
      <c r="M936" t="s">
        <v>48</v>
      </c>
      <c r="N936" t="s">
        <v>160</v>
      </c>
      <c r="O936" t="s">
        <v>41</v>
      </c>
      <c r="P936" t="s">
        <v>148</v>
      </c>
      <c r="Q936">
        <v>12</v>
      </c>
      <c r="R936">
        <v>4</v>
      </c>
      <c r="S936">
        <v>11</v>
      </c>
      <c r="T936">
        <v>1</v>
      </c>
      <c r="U936">
        <v>1</v>
      </c>
      <c r="V936">
        <v>27</v>
      </c>
      <c r="W936">
        <v>66</v>
      </c>
      <c r="X936">
        <v>657</v>
      </c>
      <c r="Y936">
        <v>25549</v>
      </c>
      <c r="Z936">
        <v>4335</v>
      </c>
      <c r="AA936">
        <v>3</v>
      </c>
      <c r="AB936" s="29">
        <v>44773</v>
      </c>
      <c r="AC936" s="29">
        <v>34279</v>
      </c>
      <c r="AD936" s="29">
        <v>42034</v>
      </c>
      <c r="AE936" s="29"/>
      <c r="AF936">
        <v>8</v>
      </c>
      <c r="AG936" t="s">
        <v>157</v>
      </c>
      <c r="AI936">
        <v>21</v>
      </c>
      <c r="AJ936">
        <v>1</v>
      </c>
      <c r="AK936" t="s">
        <v>150</v>
      </c>
      <c r="AL936" t="s">
        <v>77</v>
      </c>
      <c r="AM936">
        <f t="shared" si="70"/>
        <v>1</v>
      </c>
      <c r="AN936">
        <f t="shared" si="71"/>
        <v>1</v>
      </c>
      <c r="AO936" t="str">
        <f t="shared" si="72"/>
        <v/>
      </c>
      <c r="AP936" t="str">
        <f t="shared" si="73"/>
        <v/>
      </c>
      <c r="AQ936">
        <f t="shared" si="74"/>
        <v>2015</v>
      </c>
    </row>
    <row r="937" spans="1:43" x14ac:dyDescent="0.35">
      <c r="A937">
        <v>267</v>
      </c>
      <c r="B937">
        <v>37</v>
      </c>
      <c r="C937" t="s">
        <v>148</v>
      </c>
      <c r="D937" t="s">
        <v>145</v>
      </c>
      <c r="E937" t="s">
        <v>4</v>
      </c>
      <c r="F937" t="s">
        <v>38</v>
      </c>
      <c r="G937" t="s">
        <v>42</v>
      </c>
      <c r="H937" t="s">
        <v>82</v>
      </c>
      <c r="I937" t="s">
        <v>44</v>
      </c>
      <c r="J937" t="s">
        <v>146</v>
      </c>
      <c r="K937" t="s">
        <v>41</v>
      </c>
      <c r="L937" t="s">
        <v>147</v>
      </c>
      <c r="M937" t="s">
        <v>48</v>
      </c>
      <c r="N937" t="s">
        <v>160</v>
      </c>
      <c r="O937" t="s">
        <v>41</v>
      </c>
      <c r="P937" t="s">
        <v>144</v>
      </c>
      <c r="Q937">
        <v>12</v>
      </c>
      <c r="R937">
        <v>1</v>
      </c>
      <c r="S937">
        <v>8</v>
      </c>
      <c r="T937">
        <v>1</v>
      </c>
      <c r="U937">
        <v>7</v>
      </c>
      <c r="V937">
        <v>21</v>
      </c>
      <c r="W937">
        <v>65</v>
      </c>
      <c r="X937">
        <v>290</v>
      </c>
      <c r="Y937">
        <v>22977</v>
      </c>
      <c r="Z937">
        <v>3564</v>
      </c>
      <c r="AA937">
        <v>3</v>
      </c>
      <c r="AB937" s="29">
        <v>44773</v>
      </c>
      <c r="AC937" s="29">
        <v>31614</v>
      </c>
      <c r="AD937" s="29">
        <v>42045</v>
      </c>
      <c r="AE937" s="29"/>
      <c r="AF937">
        <v>7</v>
      </c>
      <c r="AG937" t="s">
        <v>149</v>
      </c>
      <c r="AI937">
        <v>30</v>
      </c>
      <c r="AJ937">
        <v>1</v>
      </c>
      <c r="AK937" t="s">
        <v>150</v>
      </c>
      <c r="AL937" t="s">
        <v>77</v>
      </c>
      <c r="AM937">
        <f t="shared" si="70"/>
        <v>1</v>
      </c>
      <c r="AN937">
        <f t="shared" si="71"/>
        <v>2</v>
      </c>
      <c r="AO937" t="str">
        <f t="shared" si="72"/>
        <v/>
      </c>
      <c r="AP937" t="str">
        <f t="shared" si="73"/>
        <v/>
      </c>
      <c r="AQ937">
        <f t="shared" si="74"/>
        <v>2015</v>
      </c>
    </row>
    <row r="938" spans="1:43" x14ac:dyDescent="0.35">
      <c r="A938">
        <v>1322</v>
      </c>
      <c r="B938">
        <v>39</v>
      </c>
      <c r="C938" t="s">
        <v>148</v>
      </c>
      <c r="D938" t="s">
        <v>145</v>
      </c>
      <c r="E938" t="s">
        <v>4</v>
      </c>
      <c r="F938" t="s">
        <v>36</v>
      </c>
      <c r="G938" t="s">
        <v>41</v>
      </c>
      <c r="H938" t="s">
        <v>82</v>
      </c>
      <c r="I938" t="s">
        <v>43</v>
      </c>
      <c r="J938" t="s">
        <v>165</v>
      </c>
      <c r="K938" t="s">
        <v>43</v>
      </c>
      <c r="L938" t="s">
        <v>147</v>
      </c>
      <c r="M938" t="s">
        <v>49</v>
      </c>
      <c r="N938" t="s">
        <v>95</v>
      </c>
      <c r="P938" t="s">
        <v>148</v>
      </c>
      <c r="Q938">
        <v>11</v>
      </c>
      <c r="R938">
        <v>0</v>
      </c>
      <c r="S938">
        <v>9</v>
      </c>
      <c r="T938">
        <v>1</v>
      </c>
      <c r="U938">
        <v>7</v>
      </c>
      <c r="V938">
        <v>18</v>
      </c>
      <c r="W938">
        <v>32</v>
      </c>
      <c r="X938">
        <v>524</v>
      </c>
      <c r="Y938">
        <v>13352</v>
      </c>
      <c r="Z938">
        <v>4534</v>
      </c>
      <c r="AA938">
        <v>6</v>
      </c>
      <c r="AB938" s="29">
        <v>44773</v>
      </c>
      <c r="AC938" s="29">
        <v>30802</v>
      </c>
      <c r="AD938" s="29">
        <v>42059</v>
      </c>
      <c r="AE938" s="29"/>
      <c r="AF938">
        <v>7</v>
      </c>
      <c r="AG938" t="s">
        <v>149</v>
      </c>
      <c r="AI938">
        <v>32</v>
      </c>
      <c r="AJ938">
        <v>1</v>
      </c>
      <c r="AK938" t="s">
        <v>150</v>
      </c>
      <c r="AL938" t="s">
        <v>78</v>
      </c>
      <c r="AM938">
        <f t="shared" si="70"/>
        <v>1</v>
      </c>
      <c r="AN938">
        <f t="shared" si="71"/>
        <v>2</v>
      </c>
      <c r="AO938" t="str">
        <f t="shared" si="72"/>
        <v/>
      </c>
      <c r="AP938" t="str">
        <f t="shared" si="73"/>
        <v/>
      </c>
      <c r="AQ938">
        <f t="shared" si="74"/>
        <v>2015</v>
      </c>
    </row>
    <row r="939" spans="1:43" x14ac:dyDescent="0.35">
      <c r="A939">
        <v>1097</v>
      </c>
      <c r="B939">
        <v>28</v>
      </c>
      <c r="C939" t="s">
        <v>148</v>
      </c>
      <c r="D939" t="s">
        <v>145</v>
      </c>
      <c r="E939" t="s">
        <v>4</v>
      </c>
      <c r="F939" t="s">
        <v>38</v>
      </c>
      <c r="G939" t="s">
        <v>43</v>
      </c>
      <c r="H939" t="s">
        <v>81</v>
      </c>
      <c r="I939" t="s">
        <v>43</v>
      </c>
      <c r="J939" t="s">
        <v>146</v>
      </c>
      <c r="K939" t="s">
        <v>43</v>
      </c>
      <c r="L939" t="s">
        <v>147</v>
      </c>
      <c r="M939" t="s">
        <v>50</v>
      </c>
      <c r="N939" t="s">
        <v>95</v>
      </c>
      <c r="P939" t="s">
        <v>148</v>
      </c>
      <c r="Q939">
        <v>13</v>
      </c>
      <c r="R939">
        <v>3</v>
      </c>
      <c r="S939">
        <v>10</v>
      </c>
      <c r="T939">
        <v>1</v>
      </c>
      <c r="U939">
        <v>7</v>
      </c>
      <c r="V939">
        <v>10</v>
      </c>
      <c r="W939">
        <v>59</v>
      </c>
      <c r="X939">
        <v>857</v>
      </c>
      <c r="Y939">
        <v>7909</v>
      </c>
      <c r="Z939">
        <v>3660</v>
      </c>
      <c r="AA939">
        <v>4</v>
      </c>
      <c r="AB939" s="29">
        <v>44773</v>
      </c>
      <c r="AC939" s="29">
        <v>34661</v>
      </c>
      <c r="AD939" s="29">
        <v>42158</v>
      </c>
      <c r="AE939" s="29"/>
      <c r="AF939">
        <v>7</v>
      </c>
      <c r="AG939" t="s">
        <v>157</v>
      </c>
      <c r="AI939">
        <v>21</v>
      </c>
      <c r="AJ939">
        <v>1</v>
      </c>
      <c r="AK939" t="s">
        <v>150</v>
      </c>
      <c r="AL939" t="s">
        <v>77</v>
      </c>
      <c r="AM939">
        <f t="shared" si="70"/>
        <v>2</v>
      </c>
      <c r="AN939">
        <f t="shared" si="71"/>
        <v>6</v>
      </c>
      <c r="AO939" t="str">
        <f t="shared" si="72"/>
        <v/>
      </c>
      <c r="AP939" t="str">
        <f t="shared" si="73"/>
        <v/>
      </c>
      <c r="AQ939">
        <f t="shared" si="74"/>
        <v>2015</v>
      </c>
    </row>
    <row r="940" spans="1:43" x14ac:dyDescent="0.35">
      <c r="A940">
        <v>483</v>
      </c>
      <c r="B940">
        <v>40</v>
      </c>
      <c r="C940" t="s">
        <v>148</v>
      </c>
      <c r="D940" t="s">
        <v>145</v>
      </c>
      <c r="E940" t="s">
        <v>4</v>
      </c>
      <c r="F940" t="s">
        <v>37</v>
      </c>
      <c r="G940" t="s">
        <v>44</v>
      </c>
      <c r="H940" t="s">
        <v>81</v>
      </c>
      <c r="I940" t="s">
        <v>44</v>
      </c>
      <c r="J940" t="s">
        <v>155</v>
      </c>
      <c r="K940" t="s">
        <v>43</v>
      </c>
      <c r="L940" t="s">
        <v>147</v>
      </c>
      <c r="M940" t="s">
        <v>49</v>
      </c>
      <c r="N940" t="s">
        <v>160</v>
      </c>
      <c r="O940" t="s">
        <v>41</v>
      </c>
      <c r="P940" t="s">
        <v>144</v>
      </c>
      <c r="Q940">
        <v>13</v>
      </c>
      <c r="R940">
        <v>3</v>
      </c>
      <c r="S940">
        <v>10</v>
      </c>
      <c r="T940">
        <v>1</v>
      </c>
      <c r="U940">
        <v>7</v>
      </c>
      <c r="V940">
        <v>10</v>
      </c>
      <c r="W940">
        <v>46</v>
      </c>
      <c r="X940">
        <v>1171</v>
      </c>
      <c r="Y940">
        <v>22495</v>
      </c>
      <c r="Z940">
        <v>2213</v>
      </c>
      <c r="AA940">
        <v>3</v>
      </c>
      <c r="AB940" s="29">
        <v>44773</v>
      </c>
      <c r="AC940" s="29">
        <v>30400</v>
      </c>
      <c r="AD940" s="29">
        <v>42260</v>
      </c>
      <c r="AE940" s="29"/>
      <c r="AF940">
        <v>7</v>
      </c>
      <c r="AG940" t="s">
        <v>153</v>
      </c>
      <c r="AI940">
        <v>33</v>
      </c>
      <c r="AJ940">
        <v>2</v>
      </c>
      <c r="AK940" t="s">
        <v>150</v>
      </c>
      <c r="AL940" t="s">
        <v>77</v>
      </c>
      <c r="AM940">
        <f t="shared" si="70"/>
        <v>3</v>
      </c>
      <c r="AN940">
        <f t="shared" si="71"/>
        <v>9</v>
      </c>
      <c r="AO940" t="str">
        <f t="shared" si="72"/>
        <v/>
      </c>
      <c r="AP940" t="str">
        <f t="shared" si="73"/>
        <v/>
      </c>
      <c r="AQ940">
        <f t="shared" si="74"/>
        <v>2015</v>
      </c>
    </row>
    <row r="941" spans="1:43" x14ac:dyDescent="0.35">
      <c r="A941">
        <v>2014</v>
      </c>
      <c r="B941">
        <v>39</v>
      </c>
      <c r="C941" t="s">
        <v>148</v>
      </c>
      <c r="D941" t="s">
        <v>145</v>
      </c>
      <c r="E941" t="s">
        <v>4</v>
      </c>
      <c r="F941" t="s">
        <v>35</v>
      </c>
      <c r="G941" t="s">
        <v>41</v>
      </c>
      <c r="H941" t="s">
        <v>82</v>
      </c>
      <c r="I941" t="s">
        <v>43</v>
      </c>
      <c r="J941" t="s">
        <v>146</v>
      </c>
      <c r="K941" t="s">
        <v>44</v>
      </c>
      <c r="L941" t="s">
        <v>147</v>
      </c>
      <c r="M941" t="s">
        <v>49</v>
      </c>
      <c r="N941" t="s">
        <v>95</v>
      </c>
      <c r="P941" t="s">
        <v>148</v>
      </c>
      <c r="Q941">
        <v>13</v>
      </c>
      <c r="R941">
        <v>7</v>
      </c>
      <c r="S941">
        <v>18</v>
      </c>
      <c r="T941">
        <v>1</v>
      </c>
      <c r="U941">
        <v>7</v>
      </c>
      <c r="V941">
        <v>24</v>
      </c>
      <c r="W941">
        <v>52</v>
      </c>
      <c r="X941">
        <v>116</v>
      </c>
      <c r="Y941">
        <v>5340</v>
      </c>
      <c r="Z941">
        <v>4108</v>
      </c>
      <c r="AA941">
        <v>2</v>
      </c>
      <c r="AB941" s="29">
        <v>44773</v>
      </c>
      <c r="AC941" s="29">
        <v>30781</v>
      </c>
      <c r="AD941" s="29">
        <v>42293</v>
      </c>
      <c r="AE941" s="29"/>
      <c r="AF941">
        <v>7</v>
      </c>
      <c r="AG941" t="s">
        <v>149</v>
      </c>
      <c r="AI941">
        <v>32</v>
      </c>
      <c r="AJ941">
        <v>1</v>
      </c>
      <c r="AK941" t="s">
        <v>150</v>
      </c>
      <c r="AL941" t="s">
        <v>77</v>
      </c>
      <c r="AM941">
        <f t="shared" si="70"/>
        <v>4</v>
      </c>
      <c r="AN941">
        <f t="shared" si="71"/>
        <v>10</v>
      </c>
      <c r="AO941" t="str">
        <f t="shared" si="72"/>
        <v/>
      </c>
      <c r="AP941" t="str">
        <f t="shared" si="73"/>
        <v/>
      </c>
      <c r="AQ941">
        <f t="shared" si="74"/>
        <v>2015</v>
      </c>
    </row>
    <row r="942" spans="1:43" x14ac:dyDescent="0.35">
      <c r="A942">
        <v>258</v>
      </c>
      <c r="B942">
        <v>51</v>
      </c>
      <c r="C942" t="s">
        <v>148</v>
      </c>
      <c r="D942" t="s">
        <v>145</v>
      </c>
      <c r="E942" t="s">
        <v>4</v>
      </c>
      <c r="F942" t="s">
        <v>38</v>
      </c>
      <c r="G942" t="s">
        <v>44</v>
      </c>
      <c r="H942" t="s">
        <v>81</v>
      </c>
      <c r="I942" t="s">
        <v>43</v>
      </c>
      <c r="J942" t="s">
        <v>161</v>
      </c>
      <c r="K942" t="s">
        <v>42</v>
      </c>
      <c r="L942" t="s">
        <v>147</v>
      </c>
      <c r="M942" t="s">
        <v>49</v>
      </c>
      <c r="N942" t="s">
        <v>95</v>
      </c>
      <c r="P942" t="s">
        <v>148</v>
      </c>
      <c r="Q942">
        <v>18</v>
      </c>
      <c r="R942">
        <v>3</v>
      </c>
      <c r="S942">
        <v>21</v>
      </c>
      <c r="T942">
        <v>1</v>
      </c>
      <c r="U942">
        <v>0</v>
      </c>
      <c r="V942">
        <v>3</v>
      </c>
      <c r="W942">
        <v>98</v>
      </c>
      <c r="X942">
        <v>313</v>
      </c>
      <c r="Y942">
        <v>7192</v>
      </c>
      <c r="Z942">
        <v>13734</v>
      </c>
      <c r="AA942">
        <v>6</v>
      </c>
      <c r="AB942" s="29">
        <v>44773</v>
      </c>
      <c r="AC942" s="29">
        <v>26388</v>
      </c>
      <c r="AD942" s="29">
        <v>42307</v>
      </c>
      <c r="AE942" s="29"/>
      <c r="AF942">
        <v>7</v>
      </c>
      <c r="AG942" t="s">
        <v>167</v>
      </c>
      <c r="AI942">
        <v>44</v>
      </c>
      <c r="AJ942">
        <v>2</v>
      </c>
      <c r="AK942" t="s">
        <v>150</v>
      </c>
      <c r="AL942" t="s">
        <v>77</v>
      </c>
      <c r="AM942">
        <f t="shared" si="70"/>
        <v>4</v>
      </c>
      <c r="AN942">
        <f t="shared" si="71"/>
        <v>10</v>
      </c>
      <c r="AO942" t="str">
        <f t="shared" si="72"/>
        <v/>
      </c>
      <c r="AP942" t="str">
        <f t="shared" si="73"/>
        <v/>
      </c>
      <c r="AQ942">
        <f t="shared" si="74"/>
        <v>2015</v>
      </c>
    </row>
    <row r="943" spans="1:43" x14ac:dyDescent="0.35">
      <c r="A943">
        <v>1763</v>
      </c>
      <c r="B943">
        <v>30</v>
      </c>
      <c r="C943" t="s">
        <v>148</v>
      </c>
      <c r="D943" t="s">
        <v>145</v>
      </c>
      <c r="E943" t="s">
        <v>4</v>
      </c>
      <c r="F943" t="s">
        <v>38</v>
      </c>
      <c r="G943" t="s">
        <v>43</v>
      </c>
      <c r="H943" t="s">
        <v>82</v>
      </c>
      <c r="I943" t="s">
        <v>44</v>
      </c>
      <c r="J943" t="s">
        <v>161</v>
      </c>
      <c r="K943" t="s">
        <v>43</v>
      </c>
      <c r="L943" t="s">
        <v>147</v>
      </c>
      <c r="M943" t="s">
        <v>49</v>
      </c>
      <c r="N943" t="s">
        <v>160</v>
      </c>
      <c r="O943" t="s">
        <v>41</v>
      </c>
      <c r="P943" t="s">
        <v>148</v>
      </c>
      <c r="Q943">
        <v>16</v>
      </c>
      <c r="R943">
        <v>3</v>
      </c>
      <c r="S943">
        <v>10</v>
      </c>
      <c r="T943">
        <v>1</v>
      </c>
      <c r="U943">
        <v>7</v>
      </c>
      <c r="V943">
        <v>16</v>
      </c>
      <c r="W943">
        <v>58</v>
      </c>
      <c r="X943">
        <v>305</v>
      </c>
      <c r="Y943">
        <v>9128</v>
      </c>
      <c r="Z943">
        <v>5294</v>
      </c>
      <c r="AA943">
        <v>3</v>
      </c>
      <c r="AB943" s="29">
        <v>44773</v>
      </c>
      <c r="AC943" s="29">
        <v>34161</v>
      </c>
      <c r="AD943" s="29">
        <v>42346</v>
      </c>
      <c r="AE943" s="29"/>
      <c r="AF943">
        <v>7</v>
      </c>
      <c r="AG943" t="s">
        <v>149</v>
      </c>
      <c r="AI943">
        <v>23</v>
      </c>
      <c r="AJ943">
        <v>1</v>
      </c>
      <c r="AK943" t="s">
        <v>150</v>
      </c>
      <c r="AL943" t="s">
        <v>77</v>
      </c>
      <c r="AM943">
        <f t="shared" si="70"/>
        <v>4</v>
      </c>
      <c r="AN943">
        <f t="shared" si="71"/>
        <v>12</v>
      </c>
      <c r="AO943" t="str">
        <f t="shared" si="72"/>
        <v/>
      </c>
      <c r="AP943" t="str">
        <f t="shared" si="73"/>
        <v/>
      </c>
      <c r="AQ943">
        <f t="shared" si="74"/>
        <v>2015</v>
      </c>
    </row>
    <row r="944" spans="1:43" x14ac:dyDescent="0.35">
      <c r="A944">
        <v>2062</v>
      </c>
      <c r="B944">
        <v>39</v>
      </c>
      <c r="C944" t="s">
        <v>148</v>
      </c>
      <c r="D944" t="s">
        <v>145</v>
      </c>
      <c r="E944" t="s">
        <v>4</v>
      </c>
      <c r="F944" t="s">
        <v>35</v>
      </c>
      <c r="G944" t="s">
        <v>44</v>
      </c>
      <c r="H944" t="s">
        <v>82</v>
      </c>
      <c r="I944" t="s">
        <v>42</v>
      </c>
      <c r="J944" t="s">
        <v>161</v>
      </c>
      <c r="K944" t="s">
        <v>41</v>
      </c>
      <c r="L944" t="s">
        <v>147</v>
      </c>
      <c r="M944" t="s">
        <v>49</v>
      </c>
      <c r="N944" t="s">
        <v>160</v>
      </c>
      <c r="O944" t="s">
        <v>41</v>
      </c>
      <c r="P944" t="s">
        <v>148</v>
      </c>
      <c r="Q944">
        <v>15</v>
      </c>
      <c r="R944">
        <v>4</v>
      </c>
      <c r="S944">
        <v>9</v>
      </c>
      <c r="T944">
        <v>1</v>
      </c>
      <c r="U944">
        <v>7</v>
      </c>
      <c r="V944">
        <v>6</v>
      </c>
      <c r="W944">
        <v>42</v>
      </c>
      <c r="X944">
        <v>613</v>
      </c>
      <c r="Y944">
        <v>21457</v>
      </c>
      <c r="Z944">
        <v>9991</v>
      </c>
      <c r="AA944">
        <v>5</v>
      </c>
      <c r="AB944" s="29">
        <v>44773</v>
      </c>
      <c r="AC944" s="29">
        <v>30533</v>
      </c>
      <c r="AD944" s="29">
        <v>42368</v>
      </c>
      <c r="AE944" s="29"/>
      <c r="AF944">
        <v>7</v>
      </c>
      <c r="AG944" t="s">
        <v>149</v>
      </c>
      <c r="AI944">
        <v>32</v>
      </c>
      <c r="AJ944">
        <v>1</v>
      </c>
      <c r="AK944" t="s">
        <v>150</v>
      </c>
      <c r="AL944" t="s">
        <v>77</v>
      </c>
      <c r="AM944">
        <f t="shared" si="70"/>
        <v>4</v>
      </c>
      <c r="AN944">
        <f t="shared" si="71"/>
        <v>12</v>
      </c>
      <c r="AO944" t="str">
        <f t="shared" si="72"/>
        <v/>
      </c>
      <c r="AP944" t="str">
        <f t="shared" si="73"/>
        <v/>
      </c>
      <c r="AQ944">
        <f t="shared" si="74"/>
        <v>2015</v>
      </c>
    </row>
    <row r="945" spans="1:43" x14ac:dyDescent="0.35">
      <c r="A945">
        <v>273</v>
      </c>
      <c r="B945">
        <v>38</v>
      </c>
      <c r="C945" t="s">
        <v>148</v>
      </c>
      <c r="D945" t="s">
        <v>145</v>
      </c>
      <c r="E945" t="s">
        <v>4</v>
      </c>
      <c r="F945" t="s">
        <v>38</v>
      </c>
      <c r="G945" t="s">
        <v>44</v>
      </c>
      <c r="H945" t="s">
        <v>82</v>
      </c>
      <c r="I945" t="s">
        <v>43</v>
      </c>
      <c r="J945" t="s">
        <v>165</v>
      </c>
      <c r="K945" t="s">
        <v>44</v>
      </c>
      <c r="L945" t="s">
        <v>147</v>
      </c>
      <c r="M945" t="s">
        <v>47</v>
      </c>
      <c r="N945" t="s">
        <v>160</v>
      </c>
      <c r="O945" t="s">
        <v>41</v>
      </c>
      <c r="P945" t="s">
        <v>148</v>
      </c>
      <c r="Q945">
        <v>18</v>
      </c>
      <c r="R945">
        <v>3</v>
      </c>
      <c r="S945">
        <v>9</v>
      </c>
      <c r="T945">
        <v>1</v>
      </c>
      <c r="U945">
        <v>3</v>
      </c>
      <c r="V945">
        <v>29</v>
      </c>
      <c r="W945">
        <v>54</v>
      </c>
      <c r="X945">
        <v>1084</v>
      </c>
      <c r="Y945">
        <v>4185</v>
      </c>
      <c r="Z945">
        <v>6261</v>
      </c>
      <c r="AA945">
        <v>3</v>
      </c>
      <c r="AB945" s="29">
        <v>44773</v>
      </c>
      <c r="AC945" s="29">
        <v>31058</v>
      </c>
      <c r="AD945" s="29">
        <v>42408</v>
      </c>
      <c r="AE945" s="29"/>
      <c r="AF945">
        <v>6</v>
      </c>
      <c r="AG945" t="s">
        <v>149</v>
      </c>
      <c r="AI945">
        <v>32</v>
      </c>
      <c r="AJ945">
        <v>1</v>
      </c>
      <c r="AK945" t="s">
        <v>150</v>
      </c>
      <c r="AL945" t="s">
        <v>77</v>
      </c>
      <c r="AM945">
        <f t="shared" si="70"/>
        <v>1</v>
      </c>
      <c r="AN945">
        <f t="shared" si="71"/>
        <v>2</v>
      </c>
      <c r="AO945" t="str">
        <f t="shared" si="72"/>
        <v/>
      </c>
      <c r="AP945" t="str">
        <f t="shared" si="73"/>
        <v/>
      </c>
      <c r="AQ945">
        <f t="shared" si="74"/>
        <v>2016</v>
      </c>
    </row>
    <row r="946" spans="1:43" x14ac:dyDescent="0.35">
      <c r="A946">
        <v>1264</v>
      </c>
      <c r="B946">
        <v>29</v>
      </c>
      <c r="C946" t="s">
        <v>148</v>
      </c>
      <c r="D946" t="s">
        <v>145</v>
      </c>
      <c r="E946" t="s">
        <v>4</v>
      </c>
      <c r="F946" t="s">
        <v>38</v>
      </c>
      <c r="G946" t="s">
        <v>44</v>
      </c>
      <c r="H946" t="s">
        <v>81</v>
      </c>
      <c r="I946" t="s">
        <v>42</v>
      </c>
      <c r="J946" t="s">
        <v>173</v>
      </c>
      <c r="K946" t="s">
        <v>44</v>
      </c>
      <c r="L946" t="s">
        <v>147</v>
      </c>
      <c r="M946" t="s">
        <v>48</v>
      </c>
      <c r="N946" t="s">
        <v>96</v>
      </c>
      <c r="O946" t="s">
        <v>156</v>
      </c>
      <c r="P946" t="s">
        <v>148</v>
      </c>
      <c r="Q946">
        <v>14</v>
      </c>
      <c r="R946">
        <v>3</v>
      </c>
      <c r="S946">
        <v>9</v>
      </c>
      <c r="T946">
        <v>1</v>
      </c>
      <c r="U946">
        <v>2</v>
      </c>
      <c r="V946">
        <v>1</v>
      </c>
      <c r="W946">
        <v>87</v>
      </c>
      <c r="X946">
        <v>694</v>
      </c>
      <c r="Y946">
        <v>3423</v>
      </c>
      <c r="Z946">
        <v>16124</v>
      </c>
      <c r="AA946">
        <v>2</v>
      </c>
      <c r="AB946" s="29">
        <v>44773</v>
      </c>
      <c r="AC946" s="29">
        <v>34447</v>
      </c>
      <c r="AD946" s="29">
        <v>42490</v>
      </c>
      <c r="AE946" s="29"/>
      <c r="AF946">
        <v>6</v>
      </c>
      <c r="AG946" t="s">
        <v>157</v>
      </c>
      <c r="AI946">
        <v>23</v>
      </c>
      <c r="AJ946">
        <v>1</v>
      </c>
      <c r="AK946" t="s">
        <v>150</v>
      </c>
      <c r="AL946" t="s">
        <v>77</v>
      </c>
      <c r="AM946">
        <f t="shared" si="70"/>
        <v>2</v>
      </c>
      <c r="AN946">
        <f t="shared" si="71"/>
        <v>4</v>
      </c>
      <c r="AO946" t="str">
        <f t="shared" si="72"/>
        <v/>
      </c>
      <c r="AP946" t="str">
        <f t="shared" si="73"/>
        <v/>
      </c>
      <c r="AQ946">
        <f t="shared" si="74"/>
        <v>2016</v>
      </c>
    </row>
    <row r="947" spans="1:43" x14ac:dyDescent="0.35">
      <c r="A947">
        <v>1312</v>
      </c>
      <c r="B947">
        <v>36</v>
      </c>
      <c r="C947" t="s">
        <v>148</v>
      </c>
      <c r="D947" t="s">
        <v>145</v>
      </c>
      <c r="E947" t="s">
        <v>4</v>
      </c>
      <c r="F947" t="s">
        <v>37</v>
      </c>
      <c r="G947" t="s">
        <v>44</v>
      </c>
      <c r="H947" t="s">
        <v>81</v>
      </c>
      <c r="I947" t="s">
        <v>43</v>
      </c>
      <c r="J947" t="s">
        <v>161</v>
      </c>
      <c r="K947" t="s">
        <v>43</v>
      </c>
      <c r="L947" t="s">
        <v>147</v>
      </c>
      <c r="M947" t="s">
        <v>49</v>
      </c>
      <c r="N947" t="s">
        <v>160</v>
      </c>
      <c r="P947" t="s">
        <v>148</v>
      </c>
      <c r="Q947">
        <v>12</v>
      </c>
      <c r="R947">
        <v>3</v>
      </c>
      <c r="S947">
        <v>10</v>
      </c>
      <c r="T947">
        <v>1</v>
      </c>
      <c r="U947">
        <v>3</v>
      </c>
      <c r="V947">
        <v>10</v>
      </c>
      <c r="W947">
        <v>63</v>
      </c>
      <c r="X947">
        <v>325</v>
      </c>
      <c r="Y947">
        <v>5747</v>
      </c>
      <c r="Z947">
        <v>7094</v>
      </c>
      <c r="AA947">
        <v>0</v>
      </c>
      <c r="AB947" s="29">
        <v>44773</v>
      </c>
      <c r="AC947" s="29">
        <v>31723</v>
      </c>
      <c r="AD947" s="29">
        <v>42502</v>
      </c>
      <c r="AE947" s="29"/>
      <c r="AF947">
        <v>6</v>
      </c>
      <c r="AG947" t="s">
        <v>149</v>
      </c>
      <c r="AI947">
        <v>30</v>
      </c>
      <c r="AJ947">
        <v>1</v>
      </c>
      <c r="AK947" t="s">
        <v>150</v>
      </c>
      <c r="AL947" t="s">
        <v>77</v>
      </c>
      <c r="AM947">
        <f t="shared" si="70"/>
        <v>2</v>
      </c>
      <c r="AN947">
        <f t="shared" si="71"/>
        <v>5</v>
      </c>
      <c r="AO947" t="str">
        <f t="shared" si="72"/>
        <v/>
      </c>
      <c r="AP947" t="str">
        <f t="shared" si="73"/>
        <v/>
      </c>
      <c r="AQ947">
        <f t="shared" si="74"/>
        <v>2016</v>
      </c>
    </row>
    <row r="948" spans="1:43" x14ac:dyDescent="0.35">
      <c r="A948">
        <v>1830</v>
      </c>
      <c r="B948">
        <v>54</v>
      </c>
      <c r="C948" t="s">
        <v>148</v>
      </c>
      <c r="D948" t="s">
        <v>145</v>
      </c>
      <c r="E948" t="s">
        <v>4</v>
      </c>
      <c r="F948" t="s">
        <v>37</v>
      </c>
      <c r="G948" t="s">
        <v>44</v>
      </c>
      <c r="H948" t="s">
        <v>81</v>
      </c>
      <c r="I948" t="s">
        <v>43</v>
      </c>
      <c r="J948" t="s">
        <v>146</v>
      </c>
      <c r="K948" t="s">
        <v>44</v>
      </c>
      <c r="L948" t="s">
        <v>147</v>
      </c>
      <c r="M948" t="s">
        <v>48</v>
      </c>
      <c r="N948" t="s">
        <v>160</v>
      </c>
      <c r="O948" t="s">
        <v>41</v>
      </c>
      <c r="P948" t="s">
        <v>148</v>
      </c>
      <c r="Q948">
        <v>15</v>
      </c>
      <c r="R948">
        <v>4</v>
      </c>
      <c r="S948">
        <v>14</v>
      </c>
      <c r="T948">
        <v>1</v>
      </c>
      <c r="U948">
        <v>6</v>
      </c>
      <c r="V948">
        <v>7</v>
      </c>
      <c r="W948">
        <v>68</v>
      </c>
      <c r="X948">
        <v>431</v>
      </c>
      <c r="Y948">
        <v>15696</v>
      </c>
      <c r="Z948">
        <v>6854</v>
      </c>
      <c r="AA948">
        <v>2</v>
      </c>
      <c r="AB948" s="29">
        <v>44773</v>
      </c>
      <c r="AC948" s="29">
        <v>25376</v>
      </c>
      <c r="AD948" s="29">
        <v>42540</v>
      </c>
      <c r="AE948" s="29"/>
      <c r="AF948">
        <v>6</v>
      </c>
      <c r="AG948" t="s">
        <v>167</v>
      </c>
      <c r="AI948">
        <v>48</v>
      </c>
      <c r="AJ948">
        <v>2</v>
      </c>
      <c r="AK948" t="s">
        <v>150</v>
      </c>
      <c r="AL948" t="s">
        <v>78</v>
      </c>
      <c r="AM948">
        <f t="shared" si="70"/>
        <v>2</v>
      </c>
      <c r="AN948">
        <f t="shared" si="71"/>
        <v>6</v>
      </c>
      <c r="AO948" t="str">
        <f t="shared" si="72"/>
        <v/>
      </c>
      <c r="AP948" t="str">
        <f t="shared" si="73"/>
        <v/>
      </c>
      <c r="AQ948">
        <f t="shared" si="74"/>
        <v>2016</v>
      </c>
    </row>
    <row r="949" spans="1:43" x14ac:dyDescent="0.35">
      <c r="A949">
        <v>1859</v>
      </c>
      <c r="B949">
        <v>29</v>
      </c>
      <c r="C949" t="s">
        <v>148</v>
      </c>
      <c r="D949" t="s">
        <v>145</v>
      </c>
      <c r="E949" t="s">
        <v>4</v>
      </c>
      <c r="F949" t="s">
        <v>35</v>
      </c>
      <c r="G949" t="s">
        <v>44</v>
      </c>
      <c r="H949" t="s">
        <v>82</v>
      </c>
      <c r="I949" t="s">
        <v>41</v>
      </c>
      <c r="J949" t="s">
        <v>161</v>
      </c>
      <c r="K949" t="s">
        <v>43</v>
      </c>
      <c r="L949" t="s">
        <v>147</v>
      </c>
      <c r="M949" t="s">
        <v>49</v>
      </c>
      <c r="N949" t="s">
        <v>96</v>
      </c>
      <c r="O949" t="s">
        <v>156</v>
      </c>
      <c r="P949" t="s">
        <v>148</v>
      </c>
      <c r="Q949">
        <v>17</v>
      </c>
      <c r="R949">
        <v>8</v>
      </c>
      <c r="S949">
        <v>11</v>
      </c>
      <c r="T949">
        <v>1</v>
      </c>
      <c r="U949">
        <v>6</v>
      </c>
      <c r="V949">
        <v>29</v>
      </c>
      <c r="W949">
        <v>93</v>
      </c>
      <c r="X949">
        <v>726</v>
      </c>
      <c r="Y949">
        <v>21143</v>
      </c>
      <c r="Z949">
        <v>6384</v>
      </c>
      <c r="AA949">
        <v>3</v>
      </c>
      <c r="AB949" s="29">
        <v>44773</v>
      </c>
      <c r="AC949" s="29">
        <v>34310</v>
      </c>
      <c r="AD949" s="29">
        <v>42543</v>
      </c>
      <c r="AE949" s="29"/>
      <c r="AF949">
        <v>6</v>
      </c>
      <c r="AG949" t="s">
        <v>157</v>
      </c>
      <c r="AI949">
        <v>23</v>
      </c>
      <c r="AJ949">
        <v>1</v>
      </c>
      <c r="AK949" t="s">
        <v>150</v>
      </c>
      <c r="AL949" t="s">
        <v>77</v>
      </c>
      <c r="AM949">
        <f t="shared" si="70"/>
        <v>2</v>
      </c>
      <c r="AN949">
        <f t="shared" si="71"/>
        <v>6</v>
      </c>
      <c r="AO949" t="str">
        <f t="shared" si="72"/>
        <v/>
      </c>
      <c r="AP949" t="str">
        <f t="shared" si="73"/>
        <v/>
      </c>
      <c r="AQ949">
        <f t="shared" si="74"/>
        <v>2016</v>
      </c>
    </row>
    <row r="950" spans="1:43" x14ac:dyDescent="0.35">
      <c r="A950">
        <v>1221</v>
      </c>
      <c r="B950">
        <v>36</v>
      </c>
      <c r="C950" t="s">
        <v>148</v>
      </c>
      <c r="D950" t="s">
        <v>145</v>
      </c>
      <c r="E950" t="s">
        <v>4</v>
      </c>
      <c r="F950" t="s">
        <v>37</v>
      </c>
      <c r="G950" t="s">
        <v>43</v>
      </c>
      <c r="H950" t="s">
        <v>82</v>
      </c>
      <c r="I950" t="s">
        <v>41</v>
      </c>
      <c r="J950" t="s">
        <v>155</v>
      </c>
      <c r="K950" t="s">
        <v>43</v>
      </c>
      <c r="L950" t="s">
        <v>147</v>
      </c>
      <c r="M950" t="s">
        <v>49</v>
      </c>
      <c r="N950" t="s">
        <v>96</v>
      </c>
      <c r="O950" t="s">
        <v>41</v>
      </c>
      <c r="P950" t="s">
        <v>148</v>
      </c>
      <c r="Q950">
        <v>14</v>
      </c>
      <c r="R950">
        <v>1</v>
      </c>
      <c r="S950">
        <v>7</v>
      </c>
      <c r="T950">
        <v>1</v>
      </c>
      <c r="U950">
        <v>4</v>
      </c>
      <c r="V950">
        <v>6</v>
      </c>
      <c r="W950">
        <v>60</v>
      </c>
      <c r="X950">
        <v>917</v>
      </c>
      <c r="Y950">
        <v>6865</v>
      </c>
      <c r="Z950">
        <v>2741</v>
      </c>
      <c r="AA950">
        <v>4</v>
      </c>
      <c r="AB950" s="29">
        <v>44773</v>
      </c>
      <c r="AC950" s="29">
        <v>31852</v>
      </c>
      <c r="AD950" s="29">
        <v>42554</v>
      </c>
      <c r="AE950" s="29"/>
      <c r="AF950">
        <v>6</v>
      </c>
      <c r="AG950" t="s">
        <v>149</v>
      </c>
      <c r="AI950">
        <v>30</v>
      </c>
      <c r="AJ950">
        <v>1</v>
      </c>
      <c r="AK950" t="s">
        <v>150</v>
      </c>
      <c r="AL950" t="s">
        <v>77</v>
      </c>
      <c r="AM950">
        <f t="shared" si="70"/>
        <v>3</v>
      </c>
      <c r="AN950">
        <f t="shared" si="71"/>
        <v>7</v>
      </c>
      <c r="AO950" t="str">
        <f t="shared" si="72"/>
        <v/>
      </c>
      <c r="AP950" t="str">
        <f t="shared" si="73"/>
        <v/>
      </c>
      <c r="AQ950">
        <f t="shared" si="74"/>
        <v>2016</v>
      </c>
    </row>
    <row r="951" spans="1:43" x14ac:dyDescent="0.35">
      <c r="A951">
        <v>623</v>
      </c>
      <c r="B951">
        <v>37</v>
      </c>
      <c r="C951" t="s">
        <v>148</v>
      </c>
      <c r="D951" t="s">
        <v>145</v>
      </c>
      <c r="E951" t="s">
        <v>4</v>
      </c>
      <c r="F951" t="s">
        <v>38</v>
      </c>
      <c r="G951" t="s">
        <v>42</v>
      </c>
      <c r="H951" t="s">
        <v>81</v>
      </c>
      <c r="I951" t="s">
        <v>43</v>
      </c>
      <c r="J951" t="s">
        <v>165</v>
      </c>
      <c r="K951" t="s">
        <v>44</v>
      </c>
      <c r="L951" t="s">
        <v>147</v>
      </c>
      <c r="M951" t="s">
        <v>50</v>
      </c>
      <c r="N951" t="s">
        <v>95</v>
      </c>
      <c r="P951" t="s">
        <v>148</v>
      </c>
      <c r="Q951">
        <v>17</v>
      </c>
      <c r="R951">
        <v>4</v>
      </c>
      <c r="S951">
        <v>12</v>
      </c>
      <c r="T951">
        <v>1</v>
      </c>
      <c r="U951">
        <v>2</v>
      </c>
      <c r="V951">
        <v>1</v>
      </c>
      <c r="W951">
        <v>59</v>
      </c>
      <c r="X951">
        <v>799</v>
      </c>
      <c r="Y951">
        <v>23848</v>
      </c>
      <c r="Z951">
        <v>7491</v>
      </c>
      <c r="AA951">
        <v>3</v>
      </c>
      <c r="AB951" s="29">
        <v>44773</v>
      </c>
      <c r="AC951" s="29">
        <v>31458</v>
      </c>
      <c r="AD951" s="29">
        <v>42591</v>
      </c>
      <c r="AE951" s="29"/>
      <c r="AF951">
        <v>6</v>
      </c>
      <c r="AG951" t="s">
        <v>149</v>
      </c>
      <c r="AI951">
        <v>31</v>
      </c>
      <c r="AJ951">
        <v>1</v>
      </c>
      <c r="AK951" t="s">
        <v>150</v>
      </c>
      <c r="AL951" t="s">
        <v>78</v>
      </c>
      <c r="AM951">
        <f t="shared" si="70"/>
        <v>3</v>
      </c>
      <c r="AN951">
        <f t="shared" si="71"/>
        <v>8</v>
      </c>
      <c r="AO951" t="str">
        <f t="shared" si="72"/>
        <v/>
      </c>
      <c r="AP951" t="str">
        <f t="shared" si="73"/>
        <v/>
      </c>
      <c r="AQ951">
        <f t="shared" si="74"/>
        <v>2016</v>
      </c>
    </row>
    <row r="952" spans="1:43" x14ac:dyDescent="0.35">
      <c r="A952">
        <v>1751</v>
      </c>
      <c r="B952">
        <v>27</v>
      </c>
      <c r="C952" t="s">
        <v>148</v>
      </c>
      <c r="D952" t="s">
        <v>145</v>
      </c>
      <c r="E952" t="s">
        <v>4</v>
      </c>
      <c r="F952" t="s">
        <v>38</v>
      </c>
      <c r="G952" t="s">
        <v>43</v>
      </c>
      <c r="H952" t="s">
        <v>81</v>
      </c>
      <c r="I952" t="s">
        <v>43</v>
      </c>
      <c r="J952" t="s">
        <v>146</v>
      </c>
      <c r="K952" t="s">
        <v>44</v>
      </c>
      <c r="L952" t="s">
        <v>147</v>
      </c>
      <c r="M952" t="s">
        <v>48</v>
      </c>
      <c r="N952" t="s">
        <v>95</v>
      </c>
      <c r="P952" t="s">
        <v>148</v>
      </c>
      <c r="Q952">
        <v>11</v>
      </c>
      <c r="R952">
        <v>1</v>
      </c>
      <c r="S952">
        <v>6</v>
      </c>
      <c r="T952">
        <v>1</v>
      </c>
      <c r="U952">
        <v>4</v>
      </c>
      <c r="V952">
        <v>8</v>
      </c>
      <c r="W952">
        <v>67</v>
      </c>
      <c r="X952">
        <v>1054</v>
      </c>
      <c r="Y952">
        <v>6152</v>
      </c>
      <c r="Z952">
        <v>3445</v>
      </c>
      <c r="AA952">
        <v>5</v>
      </c>
      <c r="AB952" s="29">
        <v>44773</v>
      </c>
      <c r="AC952" s="29">
        <v>34947</v>
      </c>
      <c r="AD952" s="29">
        <v>42598</v>
      </c>
      <c r="AE952" s="29"/>
      <c r="AF952">
        <v>6</v>
      </c>
      <c r="AG952" t="s">
        <v>157</v>
      </c>
      <c r="AI952">
        <v>21</v>
      </c>
      <c r="AJ952">
        <v>1</v>
      </c>
      <c r="AK952" t="s">
        <v>150</v>
      </c>
      <c r="AL952" t="s">
        <v>77</v>
      </c>
      <c r="AM952">
        <f t="shared" si="70"/>
        <v>3</v>
      </c>
      <c r="AN952">
        <f t="shared" si="71"/>
        <v>8</v>
      </c>
      <c r="AO952" t="str">
        <f t="shared" si="72"/>
        <v/>
      </c>
      <c r="AP952" t="str">
        <f t="shared" si="73"/>
        <v/>
      </c>
      <c r="AQ952">
        <f t="shared" si="74"/>
        <v>2016</v>
      </c>
    </row>
    <row r="953" spans="1:43" x14ac:dyDescent="0.35">
      <c r="A953">
        <v>1609</v>
      </c>
      <c r="B953">
        <v>30</v>
      </c>
      <c r="C953" t="s">
        <v>148</v>
      </c>
      <c r="D953" t="s">
        <v>145</v>
      </c>
      <c r="E953" t="s">
        <v>4</v>
      </c>
      <c r="F953" t="s">
        <v>38</v>
      </c>
      <c r="G953" t="s">
        <v>42</v>
      </c>
      <c r="H953" t="s">
        <v>82</v>
      </c>
      <c r="I953" t="s">
        <v>42</v>
      </c>
      <c r="J953" t="s">
        <v>146</v>
      </c>
      <c r="K953" t="s">
        <v>42</v>
      </c>
      <c r="L953" t="s">
        <v>147</v>
      </c>
      <c r="M953" t="s">
        <v>48</v>
      </c>
      <c r="N953" t="s">
        <v>160</v>
      </c>
      <c r="O953" t="s">
        <v>41</v>
      </c>
      <c r="P953" t="s">
        <v>148</v>
      </c>
      <c r="Q953">
        <v>12</v>
      </c>
      <c r="R953">
        <v>1</v>
      </c>
      <c r="S953">
        <v>6</v>
      </c>
      <c r="T953">
        <v>1</v>
      </c>
      <c r="U953">
        <v>1</v>
      </c>
      <c r="V953">
        <v>7</v>
      </c>
      <c r="W953">
        <v>48</v>
      </c>
      <c r="X953">
        <v>241</v>
      </c>
      <c r="Y953">
        <v>5348</v>
      </c>
      <c r="Z953">
        <v>2141</v>
      </c>
      <c r="AA953">
        <v>3</v>
      </c>
      <c r="AB953" s="29">
        <v>44773</v>
      </c>
      <c r="AC953" s="29">
        <v>33884</v>
      </c>
      <c r="AD953" s="29">
        <v>42622</v>
      </c>
      <c r="AE953" s="29"/>
      <c r="AF953">
        <v>6</v>
      </c>
      <c r="AG953" t="s">
        <v>149</v>
      </c>
      <c r="AI953">
        <v>24</v>
      </c>
      <c r="AJ953">
        <v>1</v>
      </c>
      <c r="AK953" t="s">
        <v>150</v>
      </c>
      <c r="AL953" t="s">
        <v>77</v>
      </c>
      <c r="AM953">
        <f t="shared" si="70"/>
        <v>3</v>
      </c>
      <c r="AN953">
        <f t="shared" si="71"/>
        <v>9</v>
      </c>
      <c r="AO953" t="str">
        <f t="shared" si="72"/>
        <v/>
      </c>
      <c r="AP953" t="str">
        <f t="shared" si="73"/>
        <v/>
      </c>
      <c r="AQ953">
        <f t="shared" si="74"/>
        <v>2016</v>
      </c>
    </row>
    <row r="954" spans="1:43" x14ac:dyDescent="0.35">
      <c r="A954">
        <v>639</v>
      </c>
      <c r="B954">
        <v>24</v>
      </c>
      <c r="C954" t="s">
        <v>148</v>
      </c>
      <c r="D954" t="s">
        <v>145</v>
      </c>
      <c r="E954" t="s">
        <v>4</v>
      </c>
      <c r="F954" t="s">
        <v>38</v>
      </c>
      <c r="G954" t="s">
        <v>42</v>
      </c>
      <c r="H954" t="s">
        <v>82</v>
      </c>
      <c r="I954" t="s">
        <v>44</v>
      </c>
      <c r="J954" t="s">
        <v>146</v>
      </c>
      <c r="K954" t="s">
        <v>44</v>
      </c>
      <c r="L954" t="s">
        <v>147</v>
      </c>
      <c r="M954" t="s">
        <v>49</v>
      </c>
      <c r="N954" t="s">
        <v>160</v>
      </c>
      <c r="O954" t="s">
        <v>156</v>
      </c>
      <c r="P954" t="s">
        <v>144</v>
      </c>
      <c r="Q954">
        <v>11</v>
      </c>
      <c r="R954">
        <v>1</v>
      </c>
      <c r="S954">
        <v>6</v>
      </c>
      <c r="T954">
        <v>1</v>
      </c>
      <c r="U954">
        <v>4</v>
      </c>
      <c r="V954">
        <v>23</v>
      </c>
      <c r="W954">
        <v>89</v>
      </c>
      <c r="X954">
        <v>691</v>
      </c>
      <c r="Y954">
        <v>21630</v>
      </c>
      <c r="Z954">
        <v>2725</v>
      </c>
      <c r="AA954">
        <v>3</v>
      </c>
      <c r="AB954" s="29">
        <v>44773</v>
      </c>
      <c r="AC954" s="29">
        <v>36140</v>
      </c>
      <c r="AD954" s="29">
        <v>42646</v>
      </c>
      <c r="AE954" s="29"/>
      <c r="AF954">
        <v>6</v>
      </c>
      <c r="AG954" t="s">
        <v>157</v>
      </c>
      <c r="AI954">
        <v>18</v>
      </c>
      <c r="AJ954">
        <v>1</v>
      </c>
      <c r="AK954" t="s">
        <v>150</v>
      </c>
      <c r="AL954" t="s">
        <v>77</v>
      </c>
      <c r="AM954">
        <f t="shared" si="70"/>
        <v>4</v>
      </c>
      <c r="AN954">
        <f t="shared" si="71"/>
        <v>10</v>
      </c>
      <c r="AO954" t="str">
        <f t="shared" si="72"/>
        <v/>
      </c>
      <c r="AP954" t="str">
        <f t="shared" si="73"/>
        <v/>
      </c>
      <c r="AQ954">
        <f t="shared" si="74"/>
        <v>2016</v>
      </c>
    </row>
    <row r="955" spans="1:43" x14ac:dyDescent="0.35">
      <c r="A955">
        <v>856</v>
      </c>
      <c r="B955">
        <v>35</v>
      </c>
      <c r="C955" t="s">
        <v>148</v>
      </c>
      <c r="D955" t="s">
        <v>145</v>
      </c>
      <c r="E955" t="s">
        <v>4</v>
      </c>
      <c r="F955" t="s">
        <v>35</v>
      </c>
      <c r="G955" t="s">
        <v>43</v>
      </c>
      <c r="H955" t="s">
        <v>81</v>
      </c>
      <c r="I955" t="s">
        <v>42</v>
      </c>
      <c r="J955" t="s">
        <v>146</v>
      </c>
      <c r="K955" t="s">
        <v>41</v>
      </c>
      <c r="L955" t="s">
        <v>147</v>
      </c>
      <c r="M955" t="s">
        <v>48</v>
      </c>
      <c r="N955" t="s">
        <v>95</v>
      </c>
      <c r="P955" t="s">
        <v>148</v>
      </c>
      <c r="Q955">
        <v>11</v>
      </c>
      <c r="R955">
        <v>1</v>
      </c>
      <c r="S955">
        <v>6</v>
      </c>
      <c r="T955">
        <v>1</v>
      </c>
      <c r="U955">
        <v>1</v>
      </c>
      <c r="V955">
        <v>27</v>
      </c>
      <c r="W955">
        <v>53</v>
      </c>
      <c r="X955">
        <v>1343</v>
      </c>
      <c r="Y955">
        <v>17852</v>
      </c>
      <c r="Z955">
        <v>2559</v>
      </c>
      <c r="AA955">
        <v>3</v>
      </c>
      <c r="AB955" s="29">
        <v>44773</v>
      </c>
      <c r="AC955" s="29">
        <v>32211</v>
      </c>
      <c r="AD955" s="29">
        <v>42663</v>
      </c>
      <c r="AE955" s="29"/>
      <c r="AF955">
        <v>6</v>
      </c>
      <c r="AG955" t="s">
        <v>149</v>
      </c>
      <c r="AI955">
        <v>29</v>
      </c>
      <c r="AJ955">
        <v>1</v>
      </c>
      <c r="AK955" t="s">
        <v>150</v>
      </c>
      <c r="AL955" t="s">
        <v>77</v>
      </c>
      <c r="AM955">
        <f t="shared" si="70"/>
        <v>4</v>
      </c>
      <c r="AN955">
        <f t="shared" si="71"/>
        <v>10</v>
      </c>
      <c r="AO955" t="str">
        <f t="shared" si="72"/>
        <v/>
      </c>
      <c r="AP955" t="str">
        <f t="shared" si="73"/>
        <v/>
      </c>
      <c r="AQ955">
        <f t="shared" si="74"/>
        <v>2016</v>
      </c>
    </row>
    <row r="956" spans="1:43" x14ac:dyDescent="0.35">
      <c r="A956">
        <v>649</v>
      </c>
      <c r="B956">
        <v>34</v>
      </c>
      <c r="C956" t="s">
        <v>148</v>
      </c>
      <c r="D956" t="s">
        <v>145</v>
      </c>
      <c r="E956" t="s">
        <v>4</v>
      </c>
      <c r="F956" t="s">
        <v>36</v>
      </c>
      <c r="G956" t="s">
        <v>42</v>
      </c>
      <c r="H956" t="s">
        <v>82</v>
      </c>
      <c r="I956" t="s">
        <v>42</v>
      </c>
      <c r="J956" t="s">
        <v>146</v>
      </c>
      <c r="K956" t="s">
        <v>44</v>
      </c>
      <c r="L956" t="s">
        <v>147</v>
      </c>
      <c r="M956" t="s">
        <v>49</v>
      </c>
      <c r="N956" t="s">
        <v>160</v>
      </c>
      <c r="O956" t="s">
        <v>41</v>
      </c>
      <c r="P956" t="s">
        <v>144</v>
      </c>
      <c r="Q956">
        <v>13</v>
      </c>
      <c r="R956">
        <v>1</v>
      </c>
      <c r="S956">
        <v>6</v>
      </c>
      <c r="T956">
        <v>1</v>
      </c>
      <c r="U956">
        <v>3</v>
      </c>
      <c r="V956">
        <v>1</v>
      </c>
      <c r="W956">
        <v>83</v>
      </c>
      <c r="X956">
        <v>254</v>
      </c>
      <c r="Y956">
        <v>22794</v>
      </c>
      <c r="Z956">
        <v>3622</v>
      </c>
      <c r="AA956">
        <v>3</v>
      </c>
      <c r="AB956" s="29">
        <v>44773</v>
      </c>
      <c r="AC956" s="29">
        <v>32449</v>
      </c>
      <c r="AD956" s="29">
        <v>42675</v>
      </c>
      <c r="AE956" s="29"/>
      <c r="AF956">
        <v>6</v>
      </c>
      <c r="AG956" t="s">
        <v>149</v>
      </c>
      <c r="AI956">
        <v>28</v>
      </c>
      <c r="AJ956">
        <v>1</v>
      </c>
      <c r="AK956" t="s">
        <v>150</v>
      </c>
      <c r="AL956" t="s">
        <v>77</v>
      </c>
      <c r="AM956">
        <f t="shared" si="70"/>
        <v>4</v>
      </c>
      <c r="AN956">
        <f t="shared" si="71"/>
        <v>11</v>
      </c>
      <c r="AO956" t="str">
        <f t="shared" si="72"/>
        <v/>
      </c>
      <c r="AP956" t="str">
        <f t="shared" si="73"/>
        <v/>
      </c>
      <c r="AQ956">
        <f t="shared" si="74"/>
        <v>2016</v>
      </c>
    </row>
    <row r="957" spans="1:43" x14ac:dyDescent="0.35">
      <c r="A957">
        <v>1161</v>
      </c>
      <c r="B957">
        <v>37</v>
      </c>
      <c r="C957" t="s">
        <v>148</v>
      </c>
      <c r="D957" t="s">
        <v>145</v>
      </c>
      <c r="E957" t="s">
        <v>4</v>
      </c>
      <c r="F957" t="s">
        <v>36</v>
      </c>
      <c r="G957" t="s">
        <v>43</v>
      </c>
      <c r="H957" t="s">
        <v>81</v>
      </c>
      <c r="I957" t="s">
        <v>42</v>
      </c>
      <c r="J957" t="s">
        <v>161</v>
      </c>
      <c r="K957" t="s">
        <v>44</v>
      </c>
      <c r="L957" t="s">
        <v>147</v>
      </c>
      <c r="M957" t="s">
        <v>49</v>
      </c>
      <c r="N957" t="s">
        <v>96</v>
      </c>
      <c r="O957" t="s">
        <v>156</v>
      </c>
      <c r="P957" t="s">
        <v>148</v>
      </c>
      <c r="Q957">
        <v>13</v>
      </c>
      <c r="R957">
        <v>7</v>
      </c>
      <c r="S957">
        <v>9</v>
      </c>
      <c r="T957">
        <v>1</v>
      </c>
      <c r="U957">
        <v>3</v>
      </c>
      <c r="V957">
        <v>25</v>
      </c>
      <c r="W957">
        <v>52</v>
      </c>
      <c r="X957">
        <v>367</v>
      </c>
      <c r="Y957">
        <v>17171</v>
      </c>
      <c r="Z957">
        <v>5731</v>
      </c>
      <c r="AA957">
        <v>2</v>
      </c>
      <c r="AB957" s="29">
        <v>44773</v>
      </c>
      <c r="AC957" s="29">
        <v>31437</v>
      </c>
      <c r="AD957" s="29">
        <v>42732</v>
      </c>
      <c r="AE957" s="29"/>
      <c r="AF957">
        <v>6</v>
      </c>
      <c r="AG957" t="s">
        <v>149</v>
      </c>
      <c r="AI957">
        <v>31</v>
      </c>
      <c r="AJ957">
        <v>1</v>
      </c>
      <c r="AK957" t="s">
        <v>150</v>
      </c>
      <c r="AL957" t="s">
        <v>78</v>
      </c>
      <c r="AM957">
        <f t="shared" si="70"/>
        <v>4</v>
      </c>
      <c r="AN957">
        <f t="shared" si="71"/>
        <v>12</v>
      </c>
      <c r="AO957" t="str">
        <f t="shared" si="72"/>
        <v/>
      </c>
      <c r="AP957" t="str">
        <f t="shared" si="73"/>
        <v/>
      </c>
      <c r="AQ957">
        <f t="shared" si="74"/>
        <v>2016</v>
      </c>
    </row>
    <row r="958" spans="1:43" x14ac:dyDescent="0.35">
      <c r="A958">
        <v>1438</v>
      </c>
      <c r="B958">
        <v>47</v>
      </c>
      <c r="C958" t="s">
        <v>148</v>
      </c>
      <c r="D958" t="s">
        <v>145</v>
      </c>
      <c r="E958" t="s">
        <v>4</v>
      </c>
      <c r="F958" t="s">
        <v>38</v>
      </c>
      <c r="G958" t="s">
        <v>41</v>
      </c>
      <c r="H958" t="s">
        <v>82</v>
      </c>
      <c r="I958" t="s">
        <v>43</v>
      </c>
      <c r="J958" t="s">
        <v>146</v>
      </c>
      <c r="K958" t="s">
        <v>44</v>
      </c>
      <c r="L958" t="s">
        <v>147</v>
      </c>
      <c r="M958" t="s">
        <v>48</v>
      </c>
      <c r="N958" t="s">
        <v>160</v>
      </c>
      <c r="O958" t="s">
        <v>41</v>
      </c>
      <c r="P958" t="s">
        <v>148</v>
      </c>
      <c r="Q958">
        <v>12</v>
      </c>
      <c r="R958">
        <v>7</v>
      </c>
      <c r="S958">
        <v>17</v>
      </c>
      <c r="T958">
        <v>1</v>
      </c>
      <c r="U958">
        <v>2</v>
      </c>
      <c r="V958">
        <v>1</v>
      </c>
      <c r="W958">
        <v>74</v>
      </c>
      <c r="X958">
        <v>465</v>
      </c>
      <c r="Y958">
        <v>10205</v>
      </c>
      <c r="Z958">
        <v>3420</v>
      </c>
      <c r="AA958">
        <v>2</v>
      </c>
      <c r="AB958" s="29">
        <v>44773</v>
      </c>
      <c r="AC958" s="29">
        <v>27698</v>
      </c>
      <c r="AD958" s="29">
        <v>42736</v>
      </c>
      <c r="AE958" s="29"/>
      <c r="AF958">
        <v>6</v>
      </c>
      <c r="AG958" t="s">
        <v>153</v>
      </c>
      <c r="AI958">
        <v>41</v>
      </c>
      <c r="AJ958">
        <v>1</v>
      </c>
      <c r="AK958" t="s">
        <v>150</v>
      </c>
      <c r="AL958" t="s">
        <v>77</v>
      </c>
      <c r="AM958">
        <f t="shared" si="70"/>
        <v>1</v>
      </c>
      <c r="AN958">
        <f t="shared" si="71"/>
        <v>1</v>
      </c>
      <c r="AO958" t="str">
        <f t="shared" si="72"/>
        <v/>
      </c>
      <c r="AP958" t="str">
        <f t="shared" si="73"/>
        <v/>
      </c>
      <c r="AQ958">
        <f t="shared" si="74"/>
        <v>2017</v>
      </c>
    </row>
    <row r="959" spans="1:43" x14ac:dyDescent="0.35">
      <c r="A959">
        <v>346</v>
      </c>
      <c r="B959">
        <v>29</v>
      </c>
      <c r="C959" t="s">
        <v>148</v>
      </c>
      <c r="D959" t="s">
        <v>145</v>
      </c>
      <c r="E959" t="s">
        <v>4</v>
      </c>
      <c r="F959" t="s">
        <v>38</v>
      </c>
      <c r="G959" t="s">
        <v>43</v>
      </c>
      <c r="H959" t="s">
        <v>82</v>
      </c>
      <c r="I959" t="s">
        <v>43</v>
      </c>
      <c r="J959" t="s">
        <v>146</v>
      </c>
      <c r="K959" t="s">
        <v>44</v>
      </c>
      <c r="L959" t="s">
        <v>147</v>
      </c>
      <c r="M959" t="s">
        <v>49</v>
      </c>
      <c r="N959" t="s">
        <v>95</v>
      </c>
      <c r="P959" t="s">
        <v>148</v>
      </c>
      <c r="Q959">
        <v>19</v>
      </c>
      <c r="R959">
        <v>1</v>
      </c>
      <c r="S959">
        <v>6</v>
      </c>
      <c r="T959">
        <v>1</v>
      </c>
      <c r="U959">
        <v>5</v>
      </c>
      <c r="V959">
        <v>15</v>
      </c>
      <c r="W959">
        <v>60</v>
      </c>
      <c r="X959">
        <v>665</v>
      </c>
      <c r="Y959">
        <v>22673</v>
      </c>
      <c r="Z959">
        <v>2340</v>
      </c>
      <c r="AA959">
        <v>1</v>
      </c>
      <c r="AB959" s="29">
        <v>44773</v>
      </c>
      <c r="AC959" s="29">
        <v>34398</v>
      </c>
      <c r="AD959" s="29">
        <v>42767</v>
      </c>
      <c r="AE959" s="29"/>
      <c r="AF959">
        <v>5</v>
      </c>
      <c r="AG959" t="s">
        <v>157</v>
      </c>
      <c r="AI959">
        <v>24</v>
      </c>
      <c r="AJ959">
        <v>1</v>
      </c>
      <c r="AK959" t="s">
        <v>162</v>
      </c>
      <c r="AL959" t="s">
        <v>77</v>
      </c>
      <c r="AM959">
        <f t="shared" si="70"/>
        <v>1</v>
      </c>
      <c r="AN959">
        <f t="shared" si="71"/>
        <v>2</v>
      </c>
      <c r="AO959" t="str">
        <f t="shared" si="72"/>
        <v/>
      </c>
      <c r="AP959" t="str">
        <f t="shared" si="73"/>
        <v/>
      </c>
      <c r="AQ959">
        <f t="shared" si="74"/>
        <v>2017</v>
      </c>
    </row>
    <row r="960" spans="1:43" x14ac:dyDescent="0.35">
      <c r="A960">
        <v>1725</v>
      </c>
      <c r="B960">
        <v>24</v>
      </c>
      <c r="C960" t="s">
        <v>148</v>
      </c>
      <c r="D960" t="s">
        <v>145</v>
      </c>
      <c r="E960" t="s">
        <v>4</v>
      </c>
      <c r="F960" t="s">
        <v>35</v>
      </c>
      <c r="G960" t="s">
        <v>42</v>
      </c>
      <c r="H960" t="s">
        <v>82</v>
      </c>
      <c r="I960" t="s">
        <v>43</v>
      </c>
      <c r="J960" t="s">
        <v>155</v>
      </c>
      <c r="K960" t="s">
        <v>41</v>
      </c>
      <c r="L960" t="s">
        <v>147</v>
      </c>
      <c r="M960" t="s">
        <v>50</v>
      </c>
      <c r="N960" t="s">
        <v>96</v>
      </c>
      <c r="O960" t="s">
        <v>43</v>
      </c>
      <c r="P960" t="s">
        <v>148</v>
      </c>
      <c r="Q960">
        <v>13</v>
      </c>
      <c r="R960">
        <v>1</v>
      </c>
      <c r="S960">
        <v>6</v>
      </c>
      <c r="T960">
        <v>1</v>
      </c>
      <c r="U960">
        <v>2</v>
      </c>
      <c r="V960">
        <v>29</v>
      </c>
      <c r="W960">
        <v>91</v>
      </c>
      <c r="X960">
        <v>506</v>
      </c>
      <c r="Y960">
        <v>3622</v>
      </c>
      <c r="Z960">
        <v>3907</v>
      </c>
      <c r="AA960">
        <v>2</v>
      </c>
      <c r="AB960" s="29">
        <v>44773</v>
      </c>
      <c r="AC960" s="29">
        <v>36267</v>
      </c>
      <c r="AD960" s="29">
        <v>42874</v>
      </c>
      <c r="AE960" s="29"/>
      <c r="AF960">
        <v>5</v>
      </c>
      <c r="AG960" t="s">
        <v>157</v>
      </c>
      <c r="AI960">
        <v>19</v>
      </c>
      <c r="AJ960">
        <v>1</v>
      </c>
      <c r="AK960" t="s">
        <v>162</v>
      </c>
      <c r="AL960" t="s">
        <v>77</v>
      </c>
      <c r="AM960">
        <f t="shared" si="70"/>
        <v>2</v>
      </c>
      <c r="AN960">
        <f t="shared" si="71"/>
        <v>5</v>
      </c>
      <c r="AO960" t="str">
        <f t="shared" si="72"/>
        <v/>
      </c>
      <c r="AP960" t="str">
        <f t="shared" si="73"/>
        <v/>
      </c>
      <c r="AQ960">
        <f t="shared" si="74"/>
        <v>2017</v>
      </c>
    </row>
    <row r="961" spans="1:43" x14ac:dyDescent="0.35">
      <c r="A961">
        <v>1260</v>
      </c>
      <c r="B961">
        <v>29</v>
      </c>
      <c r="C961" t="s">
        <v>148</v>
      </c>
      <c r="D961" t="s">
        <v>145</v>
      </c>
      <c r="E961" t="s">
        <v>4</v>
      </c>
      <c r="F961" t="s">
        <v>38</v>
      </c>
      <c r="G961" t="s">
        <v>43</v>
      </c>
      <c r="H961" t="s">
        <v>82</v>
      </c>
      <c r="I961" t="s">
        <v>43</v>
      </c>
      <c r="J961" t="s">
        <v>161</v>
      </c>
      <c r="K961" t="s">
        <v>44</v>
      </c>
      <c r="L961" t="s">
        <v>147</v>
      </c>
      <c r="M961" t="s">
        <v>49</v>
      </c>
      <c r="N961" t="s">
        <v>96</v>
      </c>
      <c r="O961" t="s">
        <v>156</v>
      </c>
      <c r="P961" t="s">
        <v>144</v>
      </c>
      <c r="Q961">
        <v>11</v>
      </c>
      <c r="R961">
        <v>1</v>
      </c>
      <c r="S961">
        <v>6</v>
      </c>
      <c r="T961">
        <v>1</v>
      </c>
      <c r="U961">
        <v>0</v>
      </c>
      <c r="V961">
        <v>7</v>
      </c>
      <c r="W961">
        <v>82</v>
      </c>
      <c r="X961">
        <v>1329</v>
      </c>
      <c r="Y961">
        <v>4204</v>
      </c>
      <c r="Z961">
        <v>6623</v>
      </c>
      <c r="AA961">
        <v>2</v>
      </c>
      <c r="AB961" s="29">
        <v>44773</v>
      </c>
      <c r="AC961" s="29">
        <v>34221</v>
      </c>
      <c r="AD961" s="29">
        <v>42889</v>
      </c>
      <c r="AE961" s="29"/>
      <c r="AF961">
        <v>5</v>
      </c>
      <c r="AG961" t="s">
        <v>157</v>
      </c>
      <c r="AI961">
        <v>24</v>
      </c>
      <c r="AJ961">
        <v>1</v>
      </c>
      <c r="AK961" t="s">
        <v>162</v>
      </c>
      <c r="AL961" t="s">
        <v>77</v>
      </c>
      <c r="AM961">
        <f t="shared" si="70"/>
        <v>2</v>
      </c>
      <c r="AN961">
        <f t="shared" si="71"/>
        <v>6</v>
      </c>
      <c r="AO961" t="str">
        <f t="shared" si="72"/>
        <v/>
      </c>
      <c r="AP961" t="str">
        <f t="shared" si="73"/>
        <v/>
      </c>
      <c r="AQ961">
        <f t="shared" si="74"/>
        <v>2017</v>
      </c>
    </row>
    <row r="962" spans="1:43" x14ac:dyDescent="0.35">
      <c r="A962">
        <v>1434</v>
      </c>
      <c r="B962">
        <v>27</v>
      </c>
      <c r="C962" t="s">
        <v>148</v>
      </c>
      <c r="D962" t="s">
        <v>145</v>
      </c>
      <c r="E962" t="s">
        <v>4</v>
      </c>
      <c r="F962" t="s">
        <v>35</v>
      </c>
      <c r="G962" t="s">
        <v>42</v>
      </c>
      <c r="H962" t="s">
        <v>82</v>
      </c>
      <c r="I962" t="s">
        <v>43</v>
      </c>
      <c r="J962" t="s">
        <v>155</v>
      </c>
      <c r="K962" t="s">
        <v>41</v>
      </c>
      <c r="L962" t="s">
        <v>147</v>
      </c>
      <c r="M962" t="s">
        <v>50</v>
      </c>
      <c r="N962" t="s">
        <v>160</v>
      </c>
      <c r="P962" t="s">
        <v>148</v>
      </c>
      <c r="Q962">
        <v>14</v>
      </c>
      <c r="R962">
        <v>0</v>
      </c>
      <c r="S962">
        <v>6</v>
      </c>
      <c r="T962">
        <v>1</v>
      </c>
      <c r="U962">
        <v>4</v>
      </c>
      <c r="V962">
        <v>11</v>
      </c>
      <c r="W962">
        <v>91</v>
      </c>
      <c r="X962">
        <v>1377</v>
      </c>
      <c r="Y962">
        <v>7679</v>
      </c>
      <c r="Z962">
        <v>2099</v>
      </c>
      <c r="AA962">
        <v>3</v>
      </c>
      <c r="AB962" s="29">
        <v>44773</v>
      </c>
      <c r="AC962" s="29">
        <v>35211</v>
      </c>
      <c r="AD962" s="29">
        <v>42941</v>
      </c>
      <c r="AE962" s="29"/>
      <c r="AF962">
        <v>5</v>
      </c>
      <c r="AG962" t="s">
        <v>157</v>
      </c>
      <c r="AI962">
        <v>22</v>
      </c>
      <c r="AJ962">
        <v>2</v>
      </c>
      <c r="AK962" t="s">
        <v>162</v>
      </c>
      <c r="AL962" t="s">
        <v>77</v>
      </c>
      <c r="AM962">
        <f t="shared" ref="AM962:AM1025" si="75">ROUNDUP(MONTH(AD962)/3,0)</f>
        <v>3</v>
      </c>
      <c r="AN962">
        <f t="shared" ref="AN962:AN1025" si="76">MONTH(AD962)</f>
        <v>7</v>
      </c>
      <c r="AO962" t="str">
        <f t="shared" ref="AO962:AO1025" si="77">IF(C962="Yes",ROUNDUP(MONTH(AE962)/3,0),"")</f>
        <v/>
      </c>
      <c r="AP962" t="str">
        <f t="shared" ref="AP962:AP1025" si="78">IF(C962="Yes",MONTH(AE962),"")</f>
        <v/>
      </c>
      <c r="AQ962">
        <f t="shared" ref="AQ962:AQ1025" si="79">YEAR(AD962)</f>
        <v>2017</v>
      </c>
    </row>
    <row r="963" spans="1:43" x14ac:dyDescent="0.35">
      <c r="A963">
        <v>546</v>
      </c>
      <c r="B963">
        <v>52</v>
      </c>
      <c r="C963" t="s">
        <v>148</v>
      </c>
      <c r="D963" t="s">
        <v>145</v>
      </c>
      <c r="E963" t="s">
        <v>4</v>
      </c>
      <c r="F963" t="s">
        <v>36</v>
      </c>
      <c r="G963" t="s">
        <v>44</v>
      </c>
      <c r="H963" t="s">
        <v>81</v>
      </c>
      <c r="I963" t="s">
        <v>43</v>
      </c>
      <c r="J963" t="s">
        <v>169</v>
      </c>
      <c r="K963" t="s">
        <v>44</v>
      </c>
      <c r="L963" t="s">
        <v>147</v>
      </c>
      <c r="M963" t="s">
        <v>47</v>
      </c>
      <c r="N963" t="s">
        <v>160</v>
      </c>
      <c r="P963" t="s">
        <v>148</v>
      </c>
      <c r="Q963">
        <v>13</v>
      </c>
      <c r="R963">
        <v>2</v>
      </c>
      <c r="S963">
        <v>31</v>
      </c>
      <c r="T963">
        <v>1</v>
      </c>
      <c r="U963">
        <v>4</v>
      </c>
      <c r="V963">
        <v>4</v>
      </c>
      <c r="W963">
        <v>30</v>
      </c>
      <c r="X963">
        <v>1490</v>
      </c>
      <c r="Y963">
        <v>10310</v>
      </c>
      <c r="Z963">
        <v>16555</v>
      </c>
      <c r="AA963">
        <v>2</v>
      </c>
      <c r="AB963" s="29">
        <v>44773</v>
      </c>
      <c r="AC963" s="29">
        <v>25814</v>
      </c>
      <c r="AD963" s="29">
        <v>42945</v>
      </c>
      <c r="AE963" s="29"/>
      <c r="AF963">
        <v>5</v>
      </c>
      <c r="AG963" t="s">
        <v>167</v>
      </c>
      <c r="AI963">
        <v>47</v>
      </c>
      <c r="AJ963">
        <v>2</v>
      </c>
      <c r="AK963" t="s">
        <v>162</v>
      </c>
      <c r="AL963" t="s">
        <v>77</v>
      </c>
      <c r="AM963">
        <f t="shared" si="75"/>
        <v>3</v>
      </c>
      <c r="AN963">
        <f t="shared" si="76"/>
        <v>7</v>
      </c>
      <c r="AO963" t="str">
        <f t="shared" si="77"/>
        <v/>
      </c>
      <c r="AP963" t="str">
        <f t="shared" si="78"/>
        <v/>
      </c>
      <c r="AQ963">
        <f t="shared" si="79"/>
        <v>2017</v>
      </c>
    </row>
    <row r="964" spans="1:43" x14ac:dyDescent="0.35">
      <c r="A964">
        <v>1709</v>
      </c>
      <c r="B964">
        <v>29</v>
      </c>
      <c r="C964" t="s">
        <v>148</v>
      </c>
      <c r="D964" t="s">
        <v>145</v>
      </c>
      <c r="E964" t="s">
        <v>4</v>
      </c>
      <c r="F964" t="s">
        <v>37</v>
      </c>
      <c r="G964" t="s">
        <v>44</v>
      </c>
      <c r="H964" t="s">
        <v>81</v>
      </c>
      <c r="I964" t="s">
        <v>43</v>
      </c>
      <c r="J964" t="s">
        <v>155</v>
      </c>
      <c r="K964" t="s">
        <v>43</v>
      </c>
      <c r="L964" t="s">
        <v>147</v>
      </c>
      <c r="M964" t="s">
        <v>49</v>
      </c>
      <c r="N964" t="s">
        <v>160</v>
      </c>
      <c r="O964" t="s">
        <v>41</v>
      </c>
      <c r="P964" t="s">
        <v>148</v>
      </c>
      <c r="Q964">
        <v>17</v>
      </c>
      <c r="R964">
        <v>9</v>
      </c>
      <c r="S964">
        <v>9</v>
      </c>
      <c r="T964">
        <v>1</v>
      </c>
      <c r="U964">
        <v>2</v>
      </c>
      <c r="V964">
        <v>9</v>
      </c>
      <c r="W964">
        <v>43</v>
      </c>
      <c r="X964">
        <v>1082</v>
      </c>
      <c r="Y964">
        <v>25412</v>
      </c>
      <c r="Z964">
        <v>2974</v>
      </c>
      <c r="AA964">
        <v>2</v>
      </c>
      <c r="AB964" s="29">
        <v>44773</v>
      </c>
      <c r="AC964" s="29">
        <v>34283</v>
      </c>
      <c r="AD964" s="29">
        <v>42958</v>
      </c>
      <c r="AE964" s="29"/>
      <c r="AF964">
        <v>5</v>
      </c>
      <c r="AG964" t="s">
        <v>157</v>
      </c>
      <c r="AI964">
        <v>24</v>
      </c>
      <c r="AJ964">
        <v>2</v>
      </c>
      <c r="AK964" t="s">
        <v>162</v>
      </c>
      <c r="AL964" t="s">
        <v>77</v>
      </c>
      <c r="AM964">
        <f t="shared" si="75"/>
        <v>3</v>
      </c>
      <c r="AN964">
        <f t="shared" si="76"/>
        <v>8</v>
      </c>
      <c r="AO964" t="str">
        <f t="shared" si="77"/>
        <v/>
      </c>
      <c r="AP964" t="str">
        <f t="shared" si="78"/>
        <v/>
      </c>
      <c r="AQ964">
        <f t="shared" si="79"/>
        <v>2017</v>
      </c>
    </row>
    <row r="965" spans="1:43" x14ac:dyDescent="0.35">
      <c r="A965">
        <v>730</v>
      </c>
      <c r="B965">
        <v>53</v>
      </c>
      <c r="C965" t="s">
        <v>148</v>
      </c>
      <c r="D965" t="s">
        <v>145</v>
      </c>
      <c r="E965" t="s">
        <v>4</v>
      </c>
      <c r="F965" t="s">
        <v>38</v>
      </c>
      <c r="G965" t="s">
        <v>43</v>
      </c>
      <c r="H965" t="s">
        <v>82</v>
      </c>
      <c r="I965" t="s">
        <v>44</v>
      </c>
      <c r="J965" t="s">
        <v>173</v>
      </c>
      <c r="K965" t="s">
        <v>43</v>
      </c>
      <c r="L965" t="s">
        <v>147</v>
      </c>
      <c r="M965" t="s">
        <v>49</v>
      </c>
      <c r="N965" t="s">
        <v>160</v>
      </c>
      <c r="P965" t="s">
        <v>148</v>
      </c>
      <c r="Q965">
        <v>19</v>
      </c>
      <c r="R965">
        <v>3</v>
      </c>
      <c r="S965">
        <v>32</v>
      </c>
      <c r="T965">
        <v>1</v>
      </c>
      <c r="U965">
        <v>3</v>
      </c>
      <c r="V965">
        <v>7</v>
      </c>
      <c r="W965">
        <v>59</v>
      </c>
      <c r="X965">
        <v>970</v>
      </c>
      <c r="Y965">
        <v>13514</v>
      </c>
      <c r="Z965">
        <v>14814</v>
      </c>
      <c r="AA965">
        <v>3</v>
      </c>
      <c r="AB965" s="29">
        <v>44773</v>
      </c>
      <c r="AC965" s="29">
        <v>25553</v>
      </c>
      <c r="AD965" s="29">
        <v>42990</v>
      </c>
      <c r="AE965" s="29"/>
      <c r="AF965">
        <v>5</v>
      </c>
      <c r="AG965" t="s">
        <v>167</v>
      </c>
      <c r="AI965">
        <v>48</v>
      </c>
      <c r="AJ965">
        <v>1</v>
      </c>
      <c r="AK965" t="s">
        <v>162</v>
      </c>
      <c r="AL965" t="s">
        <v>77</v>
      </c>
      <c r="AM965">
        <f t="shared" si="75"/>
        <v>3</v>
      </c>
      <c r="AN965">
        <f t="shared" si="76"/>
        <v>9</v>
      </c>
      <c r="AO965" t="str">
        <f t="shared" si="77"/>
        <v/>
      </c>
      <c r="AP965" t="str">
        <f t="shared" si="78"/>
        <v/>
      </c>
      <c r="AQ965">
        <f t="shared" si="79"/>
        <v>2017</v>
      </c>
    </row>
    <row r="966" spans="1:43" x14ac:dyDescent="0.35">
      <c r="A966">
        <v>865</v>
      </c>
      <c r="B966">
        <v>32</v>
      </c>
      <c r="C966" t="s">
        <v>148</v>
      </c>
      <c r="D966" t="s">
        <v>145</v>
      </c>
      <c r="E966" t="s">
        <v>4</v>
      </c>
      <c r="F966" t="s">
        <v>36</v>
      </c>
      <c r="G966" t="s">
        <v>43</v>
      </c>
      <c r="H966" t="s">
        <v>81</v>
      </c>
      <c r="I966" t="s">
        <v>44</v>
      </c>
      <c r="J966" t="s">
        <v>146</v>
      </c>
      <c r="K966" t="s">
        <v>43</v>
      </c>
      <c r="L966" t="s">
        <v>147</v>
      </c>
      <c r="M966" t="s">
        <v>48</v>
      </c>
      <c r="N966" t="s">
        <v>160</v>
      </c>
      <c r="O966" t="s">
        <v>41</v>
      </c>
      <c r="P966" t="s">
        <v>148</v>
      </c>
      <c r="Q966">
        <v>12</v>
      </c>
      <c r="R966">
        <v>5</v>
      </c>
      <c r="S966">
        <v>9</v>
      </c>
      <c r="T966">
        <v>1</v>
      </c>
      <c r="U966">
        <v>3</v>
      </c>
      <c r="V966">
        <v>8</v>
      </c>
      <c r="W966">
        <v>91</v>
      </c>
      <c r="X966">
        <v>638</v>
      </c>
      <c r="Y966">
        <v>22162</v>
      </c>
      <c r="Z966">
        <v>5175</v>
      </c>
      <c r="AA966">
        <v>3</v>
      </c>
      <c r="AB966" s="29">
        <v>44773</v>
      </c>
      <c r="AC966" s="29">
        <v>33296</v>
      </c>
      <c r="AD966" s="29">
        <v>42997</v>
      </c>
      <c r="AE966" s="29"/>
      <c r="AF966">
        <v>5</v>
      </c>
      <c r="AG966" t="s">
        <v>149</v>
      </c>
      <c r="AI966">
        <v>27</v>
      </c>
      <c r="AJ966">
        <v>1</v>
      </c>
      <c r="AK966" t="s">
        <v>162</v>
      </c>
      <c r="AL966" t="s">
        <v>78</v>
      </c>
      <c r="AM966">
        <f t="shared" si="75"/>
        <v>3</v>
      </c>
      <c r="AN966">
        <f t="shared" si="76"/>
        <v>9</v>
      </c>
      <c r="AO966" t="str">
        <f t="shared" si="77"/>
        <v/>
      </c>
      <c r="AP966" t="str">
        <f t="shared" si="78"/>
        <v/>
      </c>
      <c r="AQ966">
        <f t="shared" si="79"/>
        <v>2017</v>
      </c>
    </row>
    <row r="967" spans="1:43" x14ac:dyDescent="0.35">
      <c r="A967">
        <v>1980</v>
      </c>
      <c r="B967">
        <v>54</v>
      </c>
      <c r="C967" t="s">
        <v>148</v>
      </c>
      <c r="D967" t="s">
        <v>145</v>
      </c>
      <c r="E967" t="s">
        <v>4</v>
      </c>
      <c r="F967" t="s">
        <v>38</v>
      </c>
      <c r="G967" t="s">
        <v>43</v>
      </c>
      <c r="H967" t="s">
        <v>81</v>
      </c>
      <c r="I967" t="s">
        <v>43</v>
      </c>
      <c r="J967" t="s">
        <v>165</v>
      </c>
      <c r="K967" t="s">
        <v>41</v>
      </c>
      <c r="L967" t="s">
        <v>147</v>
      </c>
      <c r="M967" t="s">
        <v>49</v>
      </c>
      <c r="N967" t="s">
        <v>95</v>
      </c>
      <c r="P967" t="s">
        <v>144</v>
      </c>
      <c r="Q967">
        <v>19</v>
      </c>
      <c r="R967">
        <v>6</v>
      </c>
      <c r="S967">
        <v>9</v>
      </c>
      <c r="T967">
        <v>1</v>
      </c>
      <c r="U967">
        <v>4</v>
      </c>
      <c r="V967">
        <v>10</v>
      </c>
      <c r="W967">
        <v>77</v>
      </c>
      <c r="X967">
        <v>157</v>
      </c>
      <c r="Y967">
        <v>25198</v>
      </c>
      <c r="Z967">
        <v>4440</v>
      </c>
      <c r="AA967">
        <v>3</v>
      </c>
      <c r="AB967" s="29">
        <v>44773</v>
      </c>
      <c r="AC967" s="29">
        <v>25129</v>
      </c>
      <c r="AD967" s="29">
        <v>43012</v>
      </c>
      <c r="AE967" s="29"/>
      <c r="AF967">
        <v>5</v>
      </c>
      <c r="AG967" t="s">
        <v>167</v>
      </c>
      <c r="AI967">
        <v>49</v>
      </c>
      <c r="AJ967">
        <v>1</v>
      </c>
      <c r="AK967" t="s">
        <v>162</v>
      </c>
      <c r="AL967" t="s">
        <v>77</v>
      </c>
      <c r="AM967">
        <f t="shared" si="75"/>
        <v>4</v>
      </c>
      <c r="AN967">
        <f t="shared" si="76"/>
        <v>10</v>
      </c>
      <c r="AO967" t="str">
        <f t="shared" si="77"/>
        <v/>
      </c>
      <c r="AP967" t="str">
        <f t="shared" si="78"/>
        <v/>
      </c>
      <c r="AQ967">
        <f t="shared" si="79"/>
        <v>2017</v>
      </c>
    </row>
    <row r="968" spans="1:43" x14ac:dyDescent="0.35">
      <c r="A968">
        <v>1755</v>
      </c>
      <c r="B968">
        <v>34</v>
      </c>
      <c r="C968" t="s">
        <v>148</v>
      </c>
      <c r="D968" t="s">
        <v>145</v>
      </c>
      <c r="E968" t="s">
        <v>4</v>
      </c>
      <c r="F968" t="s">
        <v>37</v>
      </c>
      <c r="G968" t="s">
        <v>44</v>
      </c>
      <c r="H968" t="s">
        <v>82</v>
      </c>
      <c r="I968" t="s">
        <v>44</v>
      </c>
      <c r="J968" t="s">
        <v>146</v>
      </c>
      <c r="K968" t="s">
        <v>44</v>
      </c>
      <c r="L968" t="s">
        <v>147</v>
      </c>
      <c r="M968" t="s">
        <v>49</v>
      </c>
      <c r="N968" t="s">
        <v>160</v>
      </c>
      <c r="O968" t="s">
        <v>43</v>
      </c>
      <c r="P968" t="s">
        <v>144</v>
      </c>
      <c r="Q968">
        <v>14</v>
      </c>
      <c r="R968">
        <v>0</v>
      </c>
      <c r="S968">
        <v>6</v>
      </c>
      <c r="T968">
        <v>1</v>
      </c>
      <c r="U968">
        <v>2</v>
      </c>
      <c r="V968">
        <v>2</v>
      </c>
      <c r="W968">
        <v>97</v>
      </c>
      <c r="X968">
        <v>181</v>
      </c>
      <c r="Y968">
        <v>5586</v>
      </c>
      <c r="Z968">
        <v>2932</v>
      </c>
      <c r="AA968">
        <v>3</v>
      </c>
      <c r="AB968" s="29">
        <v>44773</v>
      </c>
      <c r="AC968" s="29">
        <v>32563</v>
      </c>
      <c r="AD968" s="29">
        <v>43058</v>
      </c>
      <c r="AE968" s="29"/>
      <c r="AF968">
        <v>5</v>
      </c>
      <c r="AG968" t="s">
        <v>149</v>
      </c>
      <c r="AI968">
        <v>29</v>
      </c>
      <c r="AJ968">
        <v>1</v>
      </c>
      <c r="AK968" t="s">
        <v>162</v>
      </c>
      <c r="AL968" t="s">
        <v>78</v>
      </c>
      <c r="AM968">
        <f t="shared" si="75"/>
        <v>4</v>
      </c>
      <c r="AN968">
        <f t="shared" si="76"/>
        <v>11</v>
      </c>
      <c r="AO968" t="str">
        <f t="shared" si="77"/>
        <v/>
      </c>
      <c r="AP968" t="str">
        <f t="shared" si="78"/>
        <v/>
      </c>
      <c r="AQ968">
        <f t="shared" si="79"/>
        <v>2017</v>
      </c>
    </row>
    <row r="969" spans="1:43" x14ac:dyDescent="0.35">
      <c r="A969">
        <v>799</v>
      </c>
      <c r="B969">
        <v>54</v>
      </c>
      <c r="C969" t="s">
        <v>148</v>
      </c>
      <c r="D969" t="s">
        <v>145</v>
      </c>
      <c r="E969" t="s">
        <v>4</v>
      </c>
      <c r="F969" t="s">
        <v>37</v>
      </c>
      <c r="G969" t="s">
        <v>44</v>
      </c>
      <c r="H969" t="s">
        <v>81</v>
      </c>
      <c r="I969" t="s">
        <v>43</v>
      </c>
      <c r="J969" t="s">
        <v>165</v>
      </c>
      <c r="K969" t="s">
        <v>41</v>
      </c>
      <c r="L969" t="s">
        <v>147</v>
      </c>
      <c r="M969" t="s">
        <v>49</v>
      </c>
      <c r="N969" t="s">
        <v>96</v>
      </c>
      <c r="O969" t="s">
        <v>156</v>
      </c>
      <c r="P969" t="s">
        <v>144</v>
      </c>
      <c r="Q969">
        <v>11</v>
      </c>
      <c r="R969">
        <v>9</v>
      </c>
      <c r="S969">
        <v>9</v>
      </c>
      <c r="T969">
        <v>1</v>
      </c>
      <c r="U969">
        <v>4</v>
      </c>
      <c r="V969">
        <v>19</v>
      </c>
      <c r="W969">
        <v>95</v>
      </c>
      <c r="X969">
        <v>376</v>
      </c>
      <c r="Y969">
        <v>22670</v>
      </c>
      <c r="Z969">
        <v>5485</v>
      </c>
      <c r="AA969">
        <v>4</v>
      </c>
      <c r="AB969" s="29">
        <v>44773</v>
      </c>
      <c r="AC969" s="29">
        <v>25397</v>
      </c>
      <c r="AD969" s="29">
        <v>43060</v>
      </c>
      <c r="AE969" s="29"/>
      <c r="AF969">
        <v>5</v>
      </c>
      <c r="AG969" t="s">
        <v>167</v>
      </c>
      <c r="AI969">
        <v>49</v>
      </c>
      <c r="AJ969">
        <v>1</v>
      </c>
      <c r="AK969" t="s">
        <v>162</v>
      </c>
      <c r="AL969" t="s">
        <v>77</v>
      </c>
      <c r="AM969">
        <f t="shared" si="75"/>
        <v>4</v>
      </c>
      <c r="AN969">
        <f t="shared" si="76"/>
        <v>11</v>
      </c>
      <c r="AO969" t="str">
        <f t="shared" si="77"/>
        <v/>
      </c>
      <c r="AP969" t="str">
        <f t="shared" si="78"/>
        <v/>
      </c>
      <c r="AQ969">
        <f t="shared" si="79"/>
        <v>2017</v>
      </c>
    </row>
    <row r="970" spans="1:43" x14ac:dyDescent="0.35">
      <c r="A970">
        <v>386</v>
      </c>
      <c r="B970">
        <v>53</v>
      </c>
      <c r="C970" t="s">
        <v>148</v>
      </c>
      <c r="D970" t="s">
        <v>145</v>
      </c>
      <c r="E970" t="s">
        <v>4</v>
      </c>
      <c r="F970" t="s">
        <v>37</v>
      </c>
      <c r="G970" t="s">
        <v>43</v>
      </c>
      <c r="H970" t="s">
        <v>82</v>
      </c>
      <c r="I970" t="s">
        <v>43</v>
      </c>
      <c r="J970" t="s">
        <v>173</v>
      </c>
      <c r="K970" t="s">
        <v>43</v>
      </c>
      <c r="L970" t="s">
        <v>147</v>
      </c>
      <c r="M970" t="s">
        <v>48</v>
      </c>
      <c r="N970" t="s">
        <v>160</v>
      </c>
      <c r="O970" t="s">
        <v>43</v>
      </c>
      <c r="P970" t="s">
        <v>144</v>
      </c>
      <c r="Q970">
        <v>16</v>
      </c>
      <c r="R970">
        <v>3</v>
      </c>
      <c r="S970">
        <v>21</v>
      </c>
      <c r="T970">
        <v>1</v>
      </c>
      <c r="U970">
        <v>3</v>
      </c>
      <c r="V970">
        <v>3</v>
      </c>
      <c r="W970">
        <v>45</v>
      </c>
      <c r="X970">
        <v>1070</v>
      </c>
      <c r="Y970">
        <v>21016</v>
      </c>
      <c r="Z970">
        <v>17584</v>
      </c>
      <c r="AA970">
        <v>5</v>
      </c>
      <c r="AB970" s="29">
        <v>44773</v>
      </c>
      <c r="AC970" s="29">
        <v>25601</v>
      </c>
      <c r="AD970" s="29">
        <v>43086</v>
      </c>
      <c r="AE970" s="29"/>
      <c r="AF970">
        <v>5</v>
      </c>
      <c r="AG970" t="s">
        <v>167</v>
      </c>
      <c r="AI970">
        <v>48</v>
      </c>
      <c r="AJ970">
        <v>1</v>
      </c>
      <c r="AK970" t="s">
        <v>162</v>
      </c>
      <c r="AL970" t="s">
        <v>78</v>
      </c>
      <c r="AM970">
        <f t="shared" si="75"/>
        <v>4</v>
      </c>
      <c r="AN970">
        <f t="shared" si="76"/>
        <v>12</v>
      </c>
      <c r="AO970" t="str">
        <f t="shared" si="77"/>
        <v/>
      </c>
      <c r="AP970" t="str">
        <f t="shared" si="78"/>
        <v/>
      </c>
      <c r="AQ970">
        <f t="shared" si="79"/>
        <v>2017</v>
      </c>
    </row>
    <row r="971" spans="1:43" x14ac:dyDescent="0.35">
      <c r="A971">
        <v>223</v>
      </c>
      <c r="B971">
        <v>57</v>
      </c>
      <c r="C971" t="s">
        <v>148</v>
      </c>
      <c r="D971" t="s">
        <v>145</v>
      </c>
      <c r="E971" t="s">
        <v>4</v>
      </c>
      <c r="F971" t="s">
        <v>36</v>
      </c>
      <c r="G971" t="s">
        <v>43</v>
      </c>
      <c r="H971" t="s">
        <v>82</v>
      </c>
      <c r="I971" t="s">
        <v>44</v>
      </c>
      <c r="J971" t="s">
        <v>161</v>
      </c>
      <c r="K971" t="s">
        <v>44</v>
      </c>
      <c r="L971" t="s">
        <v>147</v>
      </c>
      <c r="M971" t="s">
        <v>47</v>
      </c>
      <c r="N971" t="s">
        <v>96</v>
      </c>
      <c r="O971" t="s">
        <v>41</v>
      </c>
      <c r="P971" t="s">
        <v>144</v>
      </c>
      <c r="Q971">
        <v>16</v>
      </c>
      <c r="R971">
        <v>3</v>
      </c>
      <c r="S971">
        <v>12</v>
      </c>
      <c r="T971">
        <v>1</v>
      </c>
      <c r="U971">
        <v>4</v>
      </c>
      <c r="V971">
        <v>24</v>
      </c>
      <c r="W971">
        <v>83</v>
      </c>
      <c r="X971">
        <v>334</v>
      </c>
      <c r="Y971">
        <v>23402</v>
      </c>
      <c r="Z971">
        <v>9439</v>
      </c>
      <c r="AA971">
        <v>2</v>
      </c>
      <c r="AB971" s="29">
        <v>44773</v>
      </c>
      <c r="AC971" s="29">
        <v>23963</v>
      </c>
      <c r="AD971" s="29">
        <v>43104</v>
      </c>
      <c r="AE971" s="29"/>
      <c r="AF971">
        <v>5</v>
      </c>
      <c r="AG971" t="s">
        <v>167</v>
      </c>
      <c r="AI971">
        <v>52</v>
      </c>
      <c r="AJ971">
        <v>1</v>
      </c>
      <c r="AK971" t="s">
        <v>162</v>
      </c>
      <c r="AL971" t="s">
        <v>77</v>
      </c>
      <c r="AM971">
        <f t="shared" si="75"/>
        <v>1</v>
      </c>
      <c r="AN971">
        <f t="shared" si="76"/>
        <v>1</v>
      </c>
      <c r="AO971" t="str">
        <f t="shared" si="77"/>
        <v/>
      </c>
      <c r="AP971" t="str">
        <f t="shared" si="78"/>
        <v/>
      </c>
      <c r="AQ971">
        <f t="shared" si="79"/>
        <v>2018</v>
      </c>
    </row>
    <row r="972" spans="1:43" x14ac:dyDescent="0.35">
      <c r="A972">
        <v>1475</v>
      </c>
      <c r="B972">
        <v>44</v>
      </c>
      <c r="C972" t="s">
        <v>148</v>
      </c>
      <c r="D972" t="s">
        <v>145</v>
      </c>
      <c r="E972" t="s">
        <v>4</v>
      </c>
      <c r="F972" t="s">
        <v>38</v>
      </c>
      <c r="G972" t="s">
        <v>44</v>
      </c>
      <c r="H972" t="s">
        <v>82</v>
      </c>
      <c r="I972" t="s">
        <v>43</v>
      </c>
      <c r="J972" t="s">
        <v>146</v>
      </c>
      <c r="K972" t="s">
        <v>42</v>
      </c>
      <c r="L972" t="s">
        <v>147</v>
      </c>
      <c r="M972" t="s">
        <v>48</v>
      </c>
      <c r="N972" t="s">
        <v>95</v>
      </c>
      <c r="P972" t="s">
        <v>148</v>
      </c>
      <c r="Q972">
        <v>13</v>
      </c>
      <c r="R972">
        <v>1</v>
      </c>
      <c r="S972">
        <v>6</v>
      </c>
      <c r="T972">
        <v>1</v>
      </c>
      <c r="U972">
        <v>3</v>
      </c>
      <c r="V972">
        <v>20</v>
      </c>
      <c r="W972">
        <v>49</v>
      </c>
      <c r="X972">
        <v>1467</v>
      </c>
      <c r="Y972">
        <v>21158</v>
      </c>
      <c r="Z972">
        <v>3420</v>
      </c>
      <c r="AA972">
        <v>3</v>
      </c>
      <c r="AB972" s="29">
        <v>44773</v>
      </c>
      <c r="AC972" s="29">
        <v>28720</v>
      </c>
      <c r="AD972" s="29">
        <v>43104</v>
      </c>
      <c r="AE972" s="29"/>
      <c r="AF972">
        <v>5</v>
      </c>
      <c r="AG972" t="s">
        <v>153</v>
      </c>
      <c r="AI972">
        <v>39</v>
      </c>
      <c r="AJ972">
        <v>1</v>
      </c>
      <c r="AK972" t="s">
        <v>162</v>
      </c>
      <c r="AL972" t="s">
        <v>77</v>
      </c>
      <c r="AM972">
        <f t="shared" si="75"/>
        <v>1</v>
      </c>
      <c r="AN972">
        <f t="shared" si="76"/>
        <v>1</v>
      </c>
      <c r="AO972" t="str">
        <f t="shared" si="77"/>
        <v/>
      </c>
      <c r="AP972" t="str">
        <f t="shared" si="78"/>
        <v/>
      </c>
      <c r="AQ972">
        <f t="shared" si="79"/>
        <v>2018</v>
      </c>
    </row>
    <row r="973" spans="1:43" x14ac:dyDescent="0.35">
      <c r="A973">
        <v>46</v>
      </c>
      <c r="B973">
        <v>43</v>
      </c>
      <c r="C973" t="s">
        <v>148</v>
      </c>
      <c r="D973" t="s">
        <v>145</v>
      </c>
      <c r="E973" t="s">
        <v>4</v>
      </c>
      <c r="F973" t="s">
        <v>36</v>
      </c>
      <c r="G973" t="s">
        <v>44</v>
      </c>
      <c r="H973" t="s">
        <v>81</v>
      </c>
      <c r="I973" t="s">
        <v>44</v>
      </c>
      <c r="J973" t="s">
        <v>146</v>
      </c>
      <c r="K973" t="s">
        <v>43</v>
      </c>
      <c r="L973" t="s">
        <v>147</v>
      </c>
      <c r="M973" t="s">
        <v>48</v>
      </c>
      <c r="N973" t="s">
        <v>96</v>
      </c>
      <c r="O973" t="s">
        <v>156</v>
      </c>
      <c r="P973" t="s">
        <v>148</v>
      </c>
      <c r="Q973">
        <v>12</v>
      </c>
      <c r="R973">
        <v>1</v>
      </c>
      <c r="S973">
        <v>6</v>
      </c>
      <c r="T973">
        <v>1</v>
      </c>
      <c r="U973">
        <v>4</v>
      </c>
      <c r="V973">
        <v>2</v>
      </c>
      <c r="W973">
        <v>72</v>
      </c>
      <c r="X973">
        <v>1273</v>
      </c>
      <c r="Y973">
        <v>21923</v>
      </c>
      <c r="Z973">
        <v>2645</v>
      </c>
      <c r="AA973">
        <v>3</v>
      </c>
      <c r="AB973" s="29">
        <v>44773</v>
      </c>
      <c r="AC973" s="29">
        <v>29099</v>
      </c>
      <c r="AD973" s="29">
        <v>43136</v>
      </c>
      <c r="AE973" s="29"/>
      <c r="AF973">
        <v>4</v>
      </c>
      <c r="AG973" t="s">
        <v>153</v>
      </c>
      <c r="AI973">
        <v>39</v>
      </c>
      <c r="AJ973">
        <v>1</v>
      </c>
      <c r="AK973" t="s">
        <v>162</v>
      </c>
      <c r="AL973" t="s">
        <v>77</v>
      </c>
      <c r="AM973">
        <f t="shared" si="75"/>
        <v>1</v>
      </c>
      <c r="AN973">
        <f t="shared" si="76"/>
        <v>2</v>
      </c>
      <c r="AO973" t="str">
        <f t="shared" si="77"/>
        <v/>
      </c>
      <c r="AP973" t="str">
        <f t="shared" si="78"/>
        <v/>
      </c>
      <c r="AQ973">
        <f t="shared" si="79"/>
        <v>2018</v>
      </c>
    </row>
    <row r="974" spans="1:43" x14ac:dyDescent="0.35">
      <c r="A974">
        <v>233</v>
      </c>
      <c r="B974">
        <v>27</v>
      </c>
      <c r="C974" t="s">
        <v>148</v>
      </c>
      <c r="D974" t="s">
        <v>145</v>
      </c>
      <c r="E974" t="s">
        <v>4</v>
      </c>
      <c r="F974" t="s">
        <v>38</v>
      </c>
      <c r="G974" t="s">
        <v>43</v>
      </c>
      <c r="H974" t="s">
        <v>82</v>
      </c>
      <c r="I974" t="s">
        <v>43</v>
      </c>
      <c r="J974" t="s">
        <v>146</v>
      </c>
      <c r="K974" t="s">
        <v>42</v>
      </c>
      <c r="L974" t="s">
        <v>147</v>
      </c>
      <c r="M974" t="s">
        <v>48</v>
      </c>
      <c r="N974" t="s">
        <v>160</v>
      </c>
      <c r="O974" t="s">
        <v>41</v>
      </c>
      <c r="P974" t="s">
        <v>144</v>
      </c>
      <c r="Q974">
        <v>16</v>
      </c>
      <c r="R974">
        <v>0</v>
      </c>
      <c r="S974">
        <v>6</v>
      </c>
      <c r="T974">
        <v>1</v>
      </c>
      <c r="U974">
        <v>1</v>
      </c>
      <c r="V974">
        <v>17</v>
      </c>
      <c r="W974">
        <v>51</v>
      </c>
      <c r="X974">
        <v>1157</v>
      </c>
      <c r="Y974">
        <v>13364</v>
      </c>
      <c r="Z974">
        <v>3058</v>
      </c>
      <c r="AA974">
        <v>3</v>
      </c>
      <c r="AB974" s="29">
        <v>44773</v>
      </c>
      <c r="AC974" s="29">
        <v>35028</v>
      </c>
      <c r="AD974" s="29">
        <v>43136</v>
      </c>
      <c r="AE974" s="29"/>
      <c r="AF974">
        <v>4</v>
      </c>
      <c r="AG974" t="s">
        <v>157</v>
      </c>
      <c r="AI974">
        <v>23</v>
      </c>
      <c r="AJ974">
        <v>1</v>
      </c>
      <c r="AK974" t="s">
        <v>162</v>
      </c>
      <c r="AL974" t="s">
        <v>78</v>
      </c>
      <c r="AM974">
        <f t="shared" si="75"/>
        <v>1</v>
      </c>
      <c r="AN974">
        <f t="shared" si="76"/>
        <v>2</v>
      </c>
      <c r="AO974" t="str">
        <f t="shared" si="77"/>
        <v/>
      </c>
      <c r="AP974" t="str">
        <f t="shared" si="78"/>
        <v/>
      </c>
      <c r="AQ974">
        <f t="shared" si="79"/>
        <v>2018</v>
      </c>
    </row>
    <row r="975" spans="1:43" x14ac:dyDescent="0.35">
      <c r="A975">
        <v>1982</v>
      </c>
      <c r="B975">
        <v>23</v>
      </c>
      <c r="C975" t="s">
        <v>148</v>
      </c>
      <c r="D975" t="s">
        <v>145</v>
      </c>
      <c r="E975" t="s">
        <v>4</v>
      </c>
      <c r="F975" t="s">
        <v>36</v>
      </c>
      <c r="G975" t="s">
        <v>44</v>
      </c>
      <c r="H975" t="s">
        <v>82</v>
      </c>
      <c r="I975" t="s">
        <v>43</v>
      </c>
      <c r="J975" t="s">
        <v>155</v>
      </c>
      <c r="K975" t="s">
        <v>44</v>
      </c>
      <c r="L975" t="s">
        <v>147</v>
      </c>
      <c r="M975" t="s">
        <v>50</v>
      </c>
      <c r="N975" t="s">
        <v>95</v>
      </c>
      <c r="P975" t="s">
        <v>148</v>
      </c>
      <c r="Q975">
        <v>13</v>
      </c>
      <c r="R975">
        <v>1</v>
      </c>
      <c r="S975">
        <v>5</v>
      </c>
      <c r="T975">
        <v>1</v>
      </c>
      <c r="U975">
        <v>4</v>
      </c>
      <c r="V975">
        <v>12</v>
      </c>
      <c r="W975">
        <v>78</v>
      </c>
      <c r="X975">
        <v>571</v>
      </c>
      <c r="Y975">
        <v>13672</v>
      </c>
      <c r="Z975">
        <v>2647</v>
      </c>
      <c r="AA975">
        <v>6</v>
      </c>
      <c r="AB975" s="29">
        <v>44773</v>
      </c>
      <c r="AC975" s="29">
        <v>36659</v>
      </c>
      <c r="AD975" s="29">
        <v>43166</v>
      </c>
      <c r="AE975" s="29"/>
      <c r="AF975">
        <v>4</v>
      </c>
      <c r="AG975" t="s">
        <v>157</v>
      </c>
      <c r="AI975">
        <v>19</v>
      </c>
      <c r="AJ975">
        <v>1</v>
      </c>
      <c r="AK975" t="s">
        <v>162</v>
      </c>
      <c r="AL975" t="s">
        <v>78</v>
      </c>
      <c r="AM975">
        <f t="shared" si="75"/>
        <v>1</v>
      </c>
      <c r="AN975">
        <f t="shared" si="76"/>
        <v>3</v>
      </c>
      <c r="AO975" t="str">
        <f t="shared" si="77"/>
        <v/>
      </c>
      <c r="AP975" t="str">
        <f t="shared" si="78"/>
        <v/>
      </c>
      <c r="AQ975">
        <f t="shared" si="79"/>
        <v>2018</v>
      </c>
    </row>
    <row r="976" spans="1:43" x14ac:dyDescent="0.35">
      <c r="A976">
        <v>198</v>
      </c>
      <c r="B976">
        <v>30</v>
      </c>
      <c r="C976" t="s">
        <v>148</v>
      </c>
      <c r="D976" t="s">
        <v>145</v>
      </c>
      <c r="E976" t="s">
        <v>4</v>
      </c>
      <c r="F976" t="s">
        <v>35</v>
      </c>
      <c r="G976" t="s">
        <v>42</v>
      </c>
      <c r="H976" t="s">
        <v>82</v>
      </c>
      <c r="I976" t="s">
        <v>42</v>
      </c>
      <c r="J976" t="s">
        <v>155</v>
      </c>
      <c r="K976" t="s">
        <v>44</v>
      </c>
      <c r="L976" t="s">
        <v>147</v>
      </c>
      <c r="M976" t="s">
        <v>49</v>
      </c>
      <c r="N976" t="s">
        <v>95</v>
      </c>
      <c r="P976" t="s">
        <v>148</v>
      </c>
      <c r="Q976">
        <v>13</v>
      </c>
      <c r="R976">
        <v>0</v>
      </c>
      <c r="S976">
        <v>6</v>
      </c>
      <c r="T976">
        <v>1</v>
      </c>
      <c r="U976">
        <v>2</v>
      </c>
      <c r="V976">
        <v>2</v>
      </c>
      <c r="W976">
        <v>35</v>
      </c>
      <c r="X976">
        <v>1427</v>
      </c>
      <c r="Y976">
        <v>11162</v>
      </c>
      <c r="Z976">
        <v>2720</v>
      </c>
      <c r="AA976">
        <v>3</v>
      </c>
      <c r="AB976" s="29">
        <v>44773</v>
      </c>
      <c r="AC976" s="29">
        <v>33861</v>
      </c>
      <c r="AD976" s="29">
        <v>43169</v>
      </c>
      <c r="AE976" s="29"/>
      <c r="AF976">
        <v>4</v>
      </c>
      <c r="AG976" t="s">
        <v>149</v>
      </c>
      <c r="AI976">
        <v>26</v>
      </c>
      <c r="AJ976">
        <v>1</v>
      </c>
      <c r="AK976" t="s">
        <v>162</v>
      </c>
      <c r="AL976" t="s">
        <v>77</v>
      </c>
      <c r="AM976">
        <f t="shared" si="75"/>
        <v>1</v>
      </c>
      <c r="AN976">
        <f t="shared" si="76"/>
        <v>3</v>
      </c>
      <c r="AO976" t="str">
        <f t="shared" si="77"/>
        <v/>
      </c>
      <c r="AP976" t="str">
        <f t="shared" si="78"/>
        <v/>
      </c>
      <c r="AQ976">
        <f t="shared" si="79"/>
        <v>2018</v>
      </c>
    </row>
    <row r="977" spans="1:43" x14ac:dyDescent="0.35">
      <c r="A977">
        <v>517</v>
      </c>
      <c r="B977">
        <v>42</v>
      </c>
      <c r="C977" t="s">
        <v>148</v>
      </c>
      <c r="D977" t="s">
        <v>145</v>
      </c>
      <c r="E977" t="s">
        <v>4</v>
      </c>
      <c r="F977" t="s">
        <v>37</v>
      </c>
      <c r="G977" t="s">
        <v>42</v>
      </c>
      <c r="H977" t="s">
        <v>81</v>
      </c>
      <c r="I977" t="s">
        <v>43</v>
      </c>
      <c r="J977" t="s">
        <v>155</v>
      </c>
      <c r="K977" t="s">
        <v>41</v>
      </c>
      <c r="L977" t="s">
        <v>147</v>
      </c>
      <c r="M977" t="s">
        <v>49</v>
      </c>
      <c r="N977" t="s">
        <v>96</v>
      </c>
      <c r="O977" t="s">
        <v>41</v>
      </c>
      <c r="P977" t="s">
        <v>148</v>
      </c>
      <c r="Q977">
        <v>16</v>
      </c>
      <c r="R977">
        <v>3</v>
      </c>
      <c r="S977">
        <v>8</v>
      </c>
      <c r="T977">
        <v>1</v>
      </c>
      <c r="U977">
        <v>2</v>
      </c>
      <c r="V977">
        <v>1</v>
      </c>
      <c r="W977">
        <v>95</v>
      </c>
      <c r="X977">
        <v>201</v>
      </c>
      <c r="Y977">
        <v>20490</v>
      </c>
      <c r="Z977">
        <v>2576</v>
      </c>
      <c r="AA977">
        <v>5</v>
      </c>
      <c r="AB977" s="29">
        <v>44773</v>
      </c>
      <c r="AC977" s="29">
        <v>29773</v>
      </c>
      <c r="AD977" s="29">
        <v>43172</v>
      </c>
      <c r="AE977" s="29"/>
      <c r="AF977">
        <v>4</v>
      </c>
      <c r="AG977" t="s">
        <v>153</v>
      </c>
      <c r="AI977">
        <v>38</v>
      </c>
      <c r="AJ977">
        <v>2</v>
      </c>
      <c r="AK977" t="s">
        <v>162</v>
      </c>
      <c r="AL977" t="s">
        <v>77</v>
      </c>
      <c r="AM977">
        <f t="shared" si="75"/>
        <v>1</v>
      </c>
      <c r="AN977">
        <f t="shared" si="76"/>
        <v>3</v>
      </c>
      <c r="AO977" t="str">
        <f t="shared" si="77"/>
        <v/>
      </c>
      <c r="AP977" t="str">
        <f t="shared" si="78"/>
        <v/>
      </c>
      <c r="AQ977">
        <f t="shared" si="79"/>
        <v>2018</v>
      </c>
    </row>
    <row r="978" spans="1:43" x14ac:dyDescent="0.35">
      <c r="A978">
        <v>1083</v>
      </c>
      <c r="B978">
        <v>26</v>
      </c>
      <c r="C978" t="s">
        <v>148</v>
      </c>
      <c r="D978" t="s">
        <v>145</v>
      </c>
      <c r="E978" t="s">
        <v>4</v>
      </c>
      <c r="F978" t="s">
        <v>36</v>
      </c>
      <c r="G978" t="s">
        <v>41</v>
      </c>
      <c r="H978" t="s">
        <v>82</v>
      </c>
      <c r="I978" t="s">
        <v>42</v>
      </c>
      <c r="J978" t="s">
        <v>155</v>
      </c>
      <c r="K978" t="s">
        <v>41</v>
      </c>
      <c r="L978" t="s">
        <v>147</v>
      </c>
      <c r="M978" t="s">
        <v>49</v>
      </c>
      <c r="N978" t="s">
        <v>160</v>
      </c>
      <c r="O978" t="s">
        <v>156</v>
      </c>
      <c r="P978" t="s">
        <v>148</v>
      </c>
      <c r="Q978">
        <v>16</v>
      </c>
      <c r="R978">
        <v>1</v>
      </c>
      <c r="S978">
        <v>6</v>
      </c>
      <c r="T978">
        <v>1</v>
      </c>
      <c r="U978">
        <v>3</v>
      </c>
      <c r="V978">
        <v>1</v>
      </c>
      <c r="W978">
        <v>59</v>
      </c>
      <c r="X978">
        <v>192</v>
      </c>
      <c r="Y978">
        <v>11141</v>
      </c>
      <c r="Z978">
        <v>3955</v>
      </c>
      <c r="AA978">
        <v>2</v>
      </c>
      <c r="AB978" s="29">
        <v>44773</v>
      </c>
      <c r="AC978" s="29">
        <v>35404</v>
      </c>
      <c r="AD978" s="29">
        <v>43191</v>
      </c>
      <c r="AE978" s="29"/>
      <c r="AF978">
        <v>4</v>
      </c>
      <c r="AG978" t="s">
        <v>157</v>
      </c>
      <c r="AI978">
        <v>22</v>
      </c>
      <c r="AJ978">
        <v>2</v>
      </c>
      <c r="AK978" t="s">
        <v>162</v>
      </c>
      <c r="AL978" t="s">
        <v>77</v>
      </c>
      <c r="AM978">
        <f t="shared" si="75"/>
        <v>2</v>
      </c>
      <c r="AN978">
        <f t="shared" si="76"/>
        <v>4</v>
      </c>
      <c r="AO978" t="str">
        <f t="shared" si="77"/>
        <v/>
      </c>
      <c r="AP978" t="str">
        <f t="shared" si="78"/>
        <v/>
      </c>
      <c r="AQ978">
        <f t="shared" si="79"/>
        <v>2018</v>
      </c>
    </row>
    <row r="979" spans="1:43" x14ac:dyDescent="0.35">
      <c r="A979">
        <v>1202</v>
      </c>
      <c r="B979">
        <v>29</v>
      </c>
      <c r="C979" t="s">
        <v>148</v>
      </c>
      <c r="D979" t="s">
        <v>145</v>
      </c>
      <c r="E979" t="s">
        <v>4</v>
      </c>
      <c r="F979" t="s">
        <v>35</v>
      </c>
      <c r="G979" t="s">
        <v>42</v>
      </c>
      <c r="H979" t="s">
        <v>81</v>
      </c>
      <c r="I979" t="s">
        <v>41</v>
      </c>
      <c r="J979" t="s">
        <v>146</v>
      </c>
      <c r="K979" t="s">
        <v>44</v>
      </c>
      <c r="L979" t="s">
        <v>147</v>
      </c>
      <c r="M979" t="s">
        <v>48</v>
      </c>
      <c r="N979" t="s">
        <v>160</v>
      </c>
      <c r="O979" t="s">
        <v>41</v>
      </c>
      <c r="P979" t="s">
        <v>144</v>
      </c>
      <c r="Q979">
        <v>18</v>
      </c>
      <c r="R979">
        <v>0</v>
      </c>
      <c r="S979">
        <v>6</v>
      </c>
      <c r="T979">
        <v>1</v>
      </c>
      <c r="U979">
        <v>3</v>
      </c>
      <c r="V979">
        <v>15</v>
      </c>
      <c r="W979">
        <v>69</v>
      </c>
      <c r="X979">
        <v>942</v>
      </c>
      <c r="Y979">
        <v>26933</v>
      </c>
      <c r="Z979">
        <v>2168</v>
      </c>
      <c r="AA979">
        <v>2</v>
      </c>
      <c r="AB979" s="29">
        <v>44773</v>
      </c>
      <c r="AC979" s="29">
        <v>34486</v>
      </c>
      <c r="AD979" s="29">
        <v>43206</v>
      </c>
      <c r="AE979" s="29"/>
      <c r="AF979">
        <v>4</v>
      </c>
      <c r="AG979" t="s">
        <v>157</v>
      </c>
      <c r="AI979">
        <v>25</v>
      </c>
      <c r="AJ979">
        <v>2</v>
      </c>
      <c r="AK979" t="s">
        <v>162</v>
      </c>
      <c r="AL979" t="s">
        <v>77</v>
      </c>
      <c r="AM979">
        <f t="shared" si="75"/>
        <v>2</v>
      </c>
      <c r="AN979">
        <f t="shared" si="76"/>
        <v>4</v>
      </c>
      <c r="AO979" t="str">
        <f t="shared" si="77"/>
        <v/>
      </c>
      <c r="AP979" t="str">
        <f t="shared" si="78"/>
        <v/>
      </c>
      <c r="AQ979">
        <f t="shared" si="79"/>
        <v>2018</v>
      </c>
    </row>
    <row r="980" spans="1:43" x14ac:dyDescent="0.35">
      <c r="A980">
        <v>505</v>
      </c>
      <c r="B980">
        <v>55</v>
      </c>
      <c r="C980" t="s">
        <v>148</v>
      </c>
      <c r="D980" t="s">
        <v>145</v>
      </c>
      <c r="E980" t="s">
        <v>4</v>
      </c>
      <c r="F980" t="s">
        <v>38</v>
      </c>
      <c r="G980" t="s">
        <v>43</v>
      </c>
      <c r="H980" t="s">
        <v>81</v>
      </c>
      <c r="I980" t="s">
        <v>43</v>
      </c>
      <c r="J980" t="s">
        <v>169</v>
      </c>
      <c r="K980" t="s">
        <v>44</v>
      </c>
      <c r="L980" t="s">
        <v>147</v>
      </c>
      <c r="M980" t="s">
        <v>49</v>
      </c>
      <c r="N980" t="s">
        <v>95</v>
      </c>
      <c r="P980" t="s">
        <v>144</v>
      </c>
      <c r="Q980">
        <v>13</v>
      </c>
      <c r="R980">
        <v>2</v>
      </c>
      <c r="S980">
        <v>30</v>
      </c>
      <c r="T980">
        <v>1</v>
      </c>
      <c r="U980">
        <v>2</v>
      </c>
      <c r="V980">
        <v>2</v>
      </c>
      <c r="W980">
        <v>97</v>
      </c>
      <c r="X980">
        <v>1311</v>
      </c>
      <c r="Y980">
        <v>23258</v>
      </c>
      <c r="Z980">
        <v>16659</v>
      </c>
      <c r="AA980">
        <v>2</v>
      </c>
      <c r="AB980" s="29">
        <v>44773</v>
      </c>
      <c r="AC980" s="29">
        <v>24839</v>
      </c>
      <c r="AD980" s="29">
        <v>43213</v>
      </c>
      <c r="AE980" s="29"/>
      <c r="AF980">
        <v>4</v>
      </c>
      <c r="AG980" t="s">
        <v>167</v>
      </c>
      <c r="AI980">
        <v>51</v>
      </c>
      <c r="AJ980">
        <v>2</v>
      </c>
      <c r="AK980" t="s">
        <v>162</v>
      </c>
      <c r="AL980" t="s">
        <v>77</v>
      </c>
      <c r="AM980">
        <f t="shared" si="75"/>
        <v>2</v>
      </c>
      <c r="AN980">
        <f t="shared" si="76"/>
        <v>4</v>
      </c>
      <c r="AO980" t="str">
        <f t="shared" si="77"/>
        <v/>
      </c>
      <c r="AP980" t="str">
        <f t="shared" si="78"/>
        <v/>
      </c>
      <c r="AQ980">
        <f t="shared" si="79"/>
        <v>2018</v>
      </c>
    </row>
    <row r="981" spans="1:43" x14ac:dyDescent="0.35">
      <c r="A981">
        <v>466</v>
      </c>
      <c r="B981">
        <v>41</v>
      </c>
      <c r="C981" t="s">
        <v>148</v>
      </c>
      <c r="D981" t="s">
        <v>145</v>
      </c>
      <c r="E981" t="s">
        <v>4</v>
      </c>
      <c r="F981" t="s">
        <v>38</v>
      </c>
      <c r="G981" t="s">
        <v>44</v>
      </c>
      <c r="H981" t="s">
        <v>82</v>
      </c>
      <c r="I981" t="s">
        <v>42</v>
      </c>
      <c r="J981" t="s">
        <v>165</v>
      </c>
      <c r="K981" t="s">
        <v>42</v>
      </c>
      <c r="L981" t="s">
        <v>147</v>
      </c>
      <c r="M981" t="s">
        <v>49</v>
      </c>
      <c r="N981" t="s">
        <v>95</v>
      </c>
      <c r="P981" t="s">
        <v>144</v>
      </c>
      <c r="Q981">
        <v>15</v>
      </c>
      <c r="R981">
        <v>6</v>
      </c>
      <c r="S981">
        <v>8</v>
      </c>
      <c r="T981">
        <v>1</v>
      </c>
      <c r="U981">
        <v>2</v>
      </c>
      <c r="V981">
        <v>6</v>
      </c>
      <c r="W981">
        <v>95</v>
      </c>
      <c r="X981">
        <v>483</v>
      </c>
      <c r="Y981">
        <v>10110</v>
      </c>
      <c r="Z981">
        <v>6032</v>
      </c>
      <c r="AA981">
        <v>3</v>
      </c>
      <c r="AB981" s="29">
        <v>44773</v>
      </c>
      <c r="AC981" s="29">
        <v>29853</v>
      </c>
      <c r="AD981" s="29">
        <v>43251</v>
      </c>
      <c r="AE981" s="29"/>
      <c r="AF981">
        <v>4</v>
      </c>
      <c r="AG981" t="s">
        <v>153</v>
      </c>
      <c r="AI981">
        <v>37</v>
      </c>
      <c r="AJ981">
        <v>1</v>
      </c>
      <c r="AK981" t="s">
        <v>162</v>
      </c>
      <c r="AL981" t="s">
        <v>77</v>
      </c>
      <c r="AM981">
        <f t="shared" si="75"/>
        <v>2</v>
      </c>
      <c r="AN981">
        <f t="shared" si="76"/>
        <v>5</v>
      </c>
      <c r="AO981" t="str">
        <f t="shared" si="77"/>
        <v/>
      </c>
      <c r="AP981" t="str">
        <f t="shared" si="78"/>
        <v/>
      </c>
      <c r="AQ981">
        <f t="shared" si="79"/>
        <v>2018</v>
      </c>
    </row>
    <row r="982" spans="1:43" x14ac:dyDescent="0.35">
      <c r="A982">
        <v>110</v>
      </c>
      <c r="B982">
        <v>34</v>
      </c>
      <c r="C982" t="s">
        <v>148</v>
      </c>
      <c r="D982" t="s">
        <v>145</v>
      </c>
      <c r="E982" t="s">
        <v>4</v>
      </c>
      <c r="F982" t="s">
        <v>36</v>
      </c>
      <c r="G982" t="s">
        <v>41</v>
      </c>
      <c r="H982" t="s">
        <v>82</v>
      </c>
      <c r="I982" t="s">
        <v>43</v>
      </c>
      <c r="J982" t="s">
        <v>165</v>
      </c>
      <c r="K982" t="s">
        <v>42</v>
      </c>
      <c r="L982" t="s">
        <v>147</v>
      </c>
      <c r="M982" t="s">
        <v>49</v>
      </c>
      <c r="N982" t="s">
        <v>160</v>
      </c>
      <c r="P982" t="s">
        <v>148</v>
      </c>
      <c r="Q982">
        <v>15</v>
      </c>
      <c r="R982">
        <v>1</v>
      </c>
      <c r="S982">
        <v>5</v>
      </c>
      <c r="T982">
        <v>1</v>
      </c>
      <c r="U982">
        <v>3</v>
      </c>
      <c r="V982">
        <v>1</v>
      </c>
      <c r="W982">
        <v>94</v>
      </c>
      <c r="X982">
        <v>1153</v>
      </c>
      <c r="Y982">
        <v>17736</v>
      </c>
      <c r="Z982">
        <v>4325</v>
      </c>
      <c r="AA982">
        <v>2</v>
      </c>
      <c r="AB982" s="29">
        <v>44773</v>
      </c>
      <c r="AC982" s="29">
        <v>32453</v>
      </c>
      <c r="AD982" s="29">
        <v>43272</v>
      </c>
      <c r="AE982" s="29"/>
      <c r="AF982">
        <v>4</v>
      </c>
      <c r="AG982" t="s">
        <v>149</v>
      </c>
      <c r="AI982">
        <v>30</v>
      </c>
      <c r="AJ982">
        <v>1</v>
      </c>
      <c r="AK982" t="s">
        <v>162</v>
      </c>
      <c r="AL982" t="s">
        <v>78</v>
      </c>
      <c r="AM982">
        <f t="shared" si="75"/>
        <v>2</v>
      </c>
      <c r="AN982">
        <f t="shared" si="76"/>
        <v>6</v>
      </c>
      <c r="AO982" t="str">
        <f t="shared" si="77"/>
        <v/>
      </c>
      <c r="AP982" t="str">
        <f t="shared" si="78"/>
        <v/>
      </c>
      <c r="AQ982">
        <f t="shared" si="79"/>
        <v>2018</v>
      </c>
    </row>
    <row r="983" spans="1:43" x14ac:dyDescent="0.35">
      <c r="A983">
        <v>969</v>
      </c>
      <c r="B983">
        <v>33</v>
      </c>
      <c r="C983" t="s">
        <v>148</v>
      </c>
      <c r="D983" t="s">
        <v>145</v>
      </c>
      <c r="E983" t="s">
        <v>4</v>
      </c>
      <c r="F983" t="s">
        <v>38</v>
      </c>
      <c r="G983" t="s">
        <v>42</v>
      </c>
      <c r="H983" t="s">
        <v>81</v>
      </c>
      <c r="I983" t="s">
        <v>42</v>
      </c>
      <c r="J983" t="s">
        <v>161</v>
      </c>
      <c r="K983" t="s">
        <v>44</v>
      </c>
      <c r="L983" t="s">
        <v>147</v>
      </c>
      <c r="M983" t="s">
        <v>49</v>
      </c>
      <c r="N983" t="s">
        <v>95</v>
      </c>
      <c r="P983" t="s">
        <v>148</v>
      </c>
      <c r="Q983">
        <v>14</v>
      </c>
      <c r="R983">
        <v>0</v>
      </c>
      <c r="S983">
        <v>6</v>
      </c>
      <c r="T983">
        <v>1</v>
      </c>
      <c r="U983">
        <v>4</v>
      </c>
      <c r="V983">
        <v>1</v>
      </c>
      <c r="W983">
        <v>42</v>
      </c>
      <c r="X983">
        <v>1069</v>
      </c>
      <c r="Y983">
        <v>12291</v>
      </c>
      <c r="Z983">
        <v>6949</v>
      </c>
      <c r="AA983">
        <v>3</v>
      </c>
      <c r="AB983" s="29">
        <v>44773</v>
      </c>
      <c r="AC983" s="29">
        <v>32968</v>
      </c>
      <c r="AD983" s="29">
        <v>43275</v>
      </c>
      <c r="AE983" s="29"/>
      <c r="AF983">
        <v>4</v>
      </c>
      <c r="AG983" t="s">
        <v>149</v>
      </c>
      <c r="AI983">
        <v>29</v>
      </c>
      <c r="AJ983">
        <v>2</v>
      </c>
      <c r="AK983" t="s">
        <v>162</v>
      </c>
      <c r="AL983" t="s">
        <v>78</v>
      </c>
      <c r="AM983">
        <f t="shared" si="75"/>
        <v>2</v>
      </c>
      <c r="AN983">
        <f t="shared" si="76"/>
        <v>6</v>
      </c>
      <c r="AO983" t="str">
        <f t="shared" si="77"/>
        <v/>
      </c>
      <c r="AP983" t="str">
        <f t="shared" si="78"/>
        <v/>
      </c>
      <c r="AQ983">
        <f t="shared" si="79"/>
        <v>2018</v>
      </c>
    </row>
    <row r="984" spans="1:43" x14ac:dyDescent="0.35">
      <c r="A984">
        <v>1931</v>
      </c>
      <c r="B984">
        <v>27</v>
      </c>
      <c r="C984" t="s">
        <v>148</v>
      </c>
      <c r="D984" t="s">
        <v>145</v>
      </c>
      <c r="E984" t="s">
        <v>4</v>
      </c>
      <c r="F984" t="s">
        <v>37</v>
      </c>
      <c r="G984" t="s">
        <v>42</v>
      </c>
      <c r="H984" t="s">
        <v>82</v>
      </c>
      <c r="I984" t="s">
        <v>43</v>
      </c>
      <c r="J984" t="s">
        <v>146</v>
      </c>
      <c r="K984" t="s">
        <v>42</v>
      </c>
      <c r="L984" t="s">
        <v>147</v>
      </c>
      <c r="M984" t="s">
        <v>48</v>
      </c>
      <c r="N984" t="s">
        <v>160</v>
      </c>
      <c r="O984" t="s">
        <v>41</v>
      </c>
      <c r="P984" t="s">
        <v>148</v>
      </c>
      <c r="Q984">
        <v>11</v>
      </c>
      <c r="R984">
        <v>1</v>
      </c>
      <c r="S984">
        <v>6</v>
      </c>
      <c r="T984">
        <v>1</v>
      </c>
      <c r="U984">
        <v>2</v>
      </c>
      <c r="V984">
        <v>2</v>
      </c>
      <c r="W984">
        <v>41</v>
      </c>
      <c r="X984">
        <v>1354</v>
      </c>
      <c r="Y984">
        <v>6073</v>
      </c>
      <c r="Z984">
        <v>2226</v>
      </c>
      <c r="AA984">
        <v>3</v>
      </c>
      <c r="AB984" s="29">
        <v>44773</v>
      </c>
      <c r="AC984" s="29">
        <v>34916</v>
      </c>
      <c r="AD984" s="29">
        <v>43297</v>
      </c>
      <c r="AE984" s="29"/>
      <c r="AF984">
        <v>4</v>
      </c>
      <c r="AG984" t="s">
        <v>157</v>
      </c>
      <c r="AI984">
        <v>23</v>
      </c>
      <c r="AJ984">
        <v>1</v>
      </c>
      <c r="AK984" t="s">
        <v>162</v>
      </c>
      <c r="AL984" t="s">
        <v>77</v>
      </c>
      <c r="AM984">
        <f t="shared" si="75"/>
        <v>3</v>
      </c>
      <c r="AN984">
        <f t="shared" si="76"/>
        <v>7</v>
      </c>
      <c r="AO984" t="str">
        <f t="shared" si="77"/>
        <v/>
      </c>
      <c r="AP984" t="str">
        <f t="shared" si="78"/>
        <v/>
      </c>
      <c r="AQ984">
        <f t="shared" si="79"/>
        <v>2018</v>
      </c>
    </row>
    <row r="985" spans="1:43" x14ac:dyDescent="0.35">
      <c r="A985">
        <v>1689</v>
      </c>
      <c r="B985">
        <v>53</v>
      </c>
      <c r="C985" t="s">
        <v>148</v>
      </c>
      <c r="D985" t="s">
        <v>145</v>
      </c>
      <c r="E985" t="s">
        <v>4</v>
      </c>
      <c r="F985" t="s">
        <v>37</v>
      </c>
      <c r="G985" t="s">
        <v>42</v>
      </c>
      <c r="H985" t="s">
        <v>82</v>
      </c>
      <c r="I985" t="s">
        <v>44</v>
      </c>
      <c r="J985" t="s">
        <v>161</v>
      </c>
      <c r="K985" t="s">
        <v>44</v>
      </c>
      <c r="L985" t="s">
        <v>147</v>
      </c>
      <c r="M985" t="s">
        <v>49</v>
      </c>
      <c r="N985" t="s">
        <v>160</v>
      </c>
      <c r="P985" t="s">
        <v>148</v>
      </c>
      <c r="Q985">
        <v>15</v>
      </c>
      <c r="R985">
        <v>3</v>
      </c>
      <c r="S985">
        <v>11</v>
      </c>
      <c r="T985">
        <v>1</v>
      </c>
      <c r="U985">
        <v>2</v>
      </c>
      <c r="V985">
        <v>24</v>
      </c>
      <c r="W985">
        <v>48</v>
      </c>
      <c r="X985">
        <v>1395</v>
      </c>
      <c r="Y985">
        <v>3458</v>
      </c>
      <c r="Z985">
        <v>7005</v>
      </c>
      <c r="AA985">
        <v>2</v>
      </c>
      <c r="AB985" s="29">
        <v>44773</v>
      </c>
      <c r="AC985" s="29">
        <v>25751</v>
      </c>
      <c r="AD985" s="29">
        <v>43309</v>
      </c>
      <c r="AE985" s="29"/>
      <c r="AF985">
        <v>4</v>
      </c>
      <c r="AG985" t="s">
        <v>167</v>
      </c>
      <c r="AI985">
        <v>49</v>
      </c>
      <c r="AJ985">
        <v>1</v>
      </c>
      <c r="AK985" t="s">
        <v>162</v>
      </c>
      <c r="AL985" t="s">
        <v>78</v>
      </c>
      <c r="AM985">
        <f t="shared" si="75"/>
        <v>3</v>
      </c>
      <c r="AN985">
        <f t="shared" si="76"/>
        <v>7</v>
      </c>
      <c r="AO985" t="str">
        <f t="shared" si="77"/>
        <v/>
      </c>
      <c r="AP985" t="str">
        <f t="shared" si="78"/>
        <v/>
      </c>
      <c r="AQ985">
        <f t="shared" si="79"/>
        <v>2018</v>
      </c>
    </row>
    <row r="986" spans="1:43" x14ac:dyDescent="0.35">
      <c r="A986">
        <v>491</v>
      </c>
      <c r="B986">
        <v>50</v>
      </c>
      <c r="C986" t="s">
        <v>148</v>
      </c>
      <c r="D986" t="s">
        <v>145</v>
      </c>
      <c r="E986" t="s">
        <v>4</v>
      </c>
      <c r="F986" t="s">
        <v>38</v>
      </c>
      <c r="G986" t="s">
        <v>44</v>
      </c>
      <c r="H986" t="s">
        <v>82</v>
      </c>
      <c r="I986" t="s">
        <v>42</v>
      </c>
      <c r="J986" t="s">
        <v>161</v>
      </c>
      <c r="K986" t="s">
        <v>44</v>
      </c>
      <c r="L986" t="s">
        <v>147</v>
      </c>
      <c r="M986" t="s">
        <v>49</v>
      </c>
      <c r="N986" t="s">
        <v>95</v>
      </c>
      <c r="P986" t="s">
        <v>148</v>
      </c>
      <c r="Q986">
        <v>15</v>
      </c>
      <c r="R986">
        <v>6</v>
      </c>
      <c r="S986">
        <v>20</v>
      </c>
      <c r="T986">
        <v>1</v>
      </c>
      <c r="U986">
        <v>3</v>
      </c>
      <c r="V986">
        <v>10</v>
      </c>
      <c r="W986">
        <v>100</v>
      </c>
      <c r="X986">
        <v>1046</v>
      </c>
      <c r="Y986">
        <v>2755</v>
      </c>
      <c r="Z986">
        <v>10496</v>
      </c>
      <c r="AA986">
        <v>2</v>
      </c>
      <c r="AB986" s="29">
        <v>44773</v>
      </c>
      <c r="AC986" s="29">
        <v>26634</v>
      </c>
      <c r="AD986" s="29">
        <v>43323</v>
      </c>
      <c r="AE986" s="29"/>
      <c r="AF986">
        <v>4</v>
      </c>
      <c r="AG986" t="s">
        <v>167</v>
      </c>
      <c r="AI986">
        <v>46</v>
      </c>
      <c r="AJ986">
        <v>1</v>
      </c>
      <c r="AK986" t="s">
        <v>162</v>
      </c>
      <c r="AL986" t="s">
        <v>77</v>
      </c>
      <c r="AM986">
        <f t="shared" si="75"/>
        <v>3</v>
      </c>
      <c r="AN986">
        <f t="shared" si="76"/>
        <v>8</v>
      </c>
      <c r="AO986" t="str">
        <f t="shared" si="77"/>
        <v/>
      </c>
      <c r="AP986" t="str">
        <f t="shared" si="78"/>
        <v/>
      </c>
      <c r="AQ986">
        <f t="shared" si="79"/>
        <v>2018</v>
      </c>
    </row>
    <row r="987" spans="1:43" x14ac:dyDescent="0.35">
      <c r="A987">
        <v>2038</v>
      </c>
      <c r="B987">
        <v>32</v>
      </c>
      <c r="C987" t="s">
        <v>148</v>
      </c>
      <c r="D987" t="s">
        <v>145</v>
      </c>
      <c r="E987" t="s">
        <v>4</v>
      </c>
      <c r="F987" t="s">
        <v>38</v>
      </c>
      <c r="G987" t="s">
        <v>44</v>
      </c>
      <c r="H987" t="s">
        <v>82</v>
      </c>
      <c r="I987" t="s">
        <v>43</v>
      </c>
      <c r="J987" t="s">
        <v>146</v>
      </c>
      <c r="K987" t="s">
        <v>41</v>
      </c>
      <c r="L987" t="s">
        <v>147</v>
      </c>
      <c r="M987" t="s">
        <v>49</v>
      </c>
      <c r="N987" t="s">
        <v>95</v>
      </c>
      <c r="P987" t="s">
        <v>148</v>
      </c>
      <c r="Q987">
        <v>14</v>
      </c>
      <c r="R987">
        <v>1</v>
      </c>
      <c r="S987">
        <v>4</v>
      </c>
      <c r="T987">
        <v>1</v>
      </c>
      <c r="U987">
        <v>2</v>
      </c>
      <c r="V987">
        <v>2</v>
      </c>
      <c r="W987">
        <v>78</v>
      </c>
      <c r="X987">
        <v>529</v>
      </c>
      <c r="Y987">
        <v>11288</v>
      </c>
      <c r="Z987">
        <v>2439</v>
      </c>
      <c r="AA987">
        <v>4</v>
      </c>
      <c r="AB987" s="29">
        <v>44773</v>
      </c>
      <c r="AC987" s="29">
        <v>33383</v>
      </c>
      <c r="AD987" s="29">
        <v>43324</v>
      </c>
      <c r="AE987" s="29"/>
      <c r="AF987">
        <v>4</v>
      </c>
      <c r="AG987" t="s">
        <v>149</v>
      </c>
      <c r="AI987">
        <v>28</v>
      </c>
      <c r="AJ987">
        <v>2</v>
      </c>
      <c r="AK987" t="s">
        <v>162</v>
      </c>
      <c r="AL987" t="s">
        <v>77</v>
      </c>
      <c r="AM987">
        <f t="shared" si="75"/>
        <v>3</v>
      </c>
      <c r="AN987">
        <f t="shared" si="76"/>
        <v>8</v>
      </c>
      <c r="AO987" t="str">
        <f t="shared" si="77"/>
        <v/>
      </c>
      <c r="AP987" t="str">
        <f t="shared" si="78"/>
        <v/>
      </c>
      <c r="AQ987">
        <f t="shared" si="79"/>
        <v>2018</v>
      </c>
    </row>
    <row r="988" spans="1:43" x14ac:dyDescent="0.35">
      <c r="A988">
        <v>1019</v>
      </c>
      <c r="B988">
        <v>22</v>
      </c>
      <c r="C988" t="s">
        <v>148</v>
      </c>
      <c r="D988" t="s">
        <v>145</v>
      </c>
      <c r="E988" t="s">
        <v>4</v>
      </c>
      <c r="F988" t="s">
        <v>35</v>
      </c>
      <c r="G988" t="s">
        <v>42</v>
      </c>
      <c r="H988" t="s">
        <v>82</v>
      </c>
      <c r="I988" t="s">
        <v>41</v>
      </c>
      <c r="J988" t="s">
        <v>155</v>
      </c>
      <c r="K988" t="s">
        <v>41</v>
      </c>
      <c r="L988" t="s">
        <v>147</v>
      </c>
      <c r="M988" t="s">
        <v>48</v>
      </c>
      <c r="N988" t="s">
        <v>160</v>
      </c>
      <c r="O988" t="s">
        <v>41</v>
      </c>
      <c r="P988" t="s">
        <v>148</v>
      </c>
      <c r="Q988">
        <v>15</v>
      </c>
      <c r="R988">
        <v>1</v>
      </c>
      <c r="S988">
        <v>4</v>
      </c>
      <c r="T988">
        <v>1</v>
      </c>
      <c r="U988">
        <v>1</v>
      </c>
      <c r="V988">
        <v>8</v>
      </c>
      <c r="W988">
        <v>94</v>
      </c>
      <c r="X988">
        <v>217</v>
      </c>
      <c r="Y988">
        <v>6881</v>
      </c>
      <c r="Z988">
        <v>2451</v>
      </c>
      <c r="AA988">
        <v>3</v>
      </c>
      <c r="AB988" s="29">
        <v>44773</v>
      </c>
      <c r="AC988" s="29">
        <v>36894</v>
      </c>
      <c r="AD988" s="29">
        <v>43329</v>
      </c>
      <c r="AE988" s="29"/>
      <c r="AF988">
        <v>4</v>
      </c>
      <c r="AG988" t="s">
        <v>157</v>
      </c>
      <c r="AI988">
        <v>18</v>
      </c>
      <c r="AJ988">
        <v>1</v>
      </c>
      <c r="AK988" t="s">
        <v>162</v>
      </c>
      <c r="AL988" t="s">
        <v>77</v>
      </c>
      <c r="AM988">
        <f t="shared" si="75"/>
        <v>3</v>
      </c>
      <c r="AN988">
        <f t="shared" si="76"/>
        <v>8</v>
      </c>
      <c r="AO988" t="str">
        <f t="shared" si="77"/>
        <v/>
      </c>
      <c r="AP988" t="str">
        <f t="shared" si="78"/>
        <v/>
      </c>
      <c r="AQ988">
        <f t="shared" si="79"/>
        <v>2018</v>
      </c>
    </row>
    <row r="989" spans="1:43" x14ac:dyDescent="0.35">
      <c r="A989">
        <v>1407</v>
      </c>
      <c r="B989">
        <v>26</v>
      </c>
      <c r="C989" t="s">
        <v>148</v>
      </c>
      <c r="D989" t="s">
        <v>145</v>
      </c>
      <c r="E989" t="s">
        <v>4</v>
      </c>
      <c r="F989" t="s">
        <v>35</v>
      </c>
      <c r="G989" t="s">
        <v>41</v>
      </c>
      <c r="H989" t="s">
        <v>82</v>
      </c>
      <c r="I989" t="s">
        <v>42</v>
      </c>
      <c r="J989" t="s">
        <v>146</v>
      </c>
      <c r="K989" t="s">
        <v>44</v>
      </c>
      <c r="L989" t="s">
        <v>147</v>
      </c>
      <c r="M989" t="s">
        <v>49</v>
      </c>
      <c r="N989" t="s">
        <v>95</v>
      </c>
      <c r="P989" t="s">
        <v>148</v>
      </c>
      <c r="Q989">
        <v>12</v>
      </c>
      <c r="R989">
        <v>0</v>
      </c>
      <c r="S989">
        <v>5</v>
      </c>
      <c r="T989">
        <v>1</v>
      </c>
      <c r="U989">
        <v>1</v>
      </c>
      <c r="V989">
        <v>2</v>
      </c>
      <c r="W989">
        <v>36</v>
      </c>
      <c r="X989">
        <v>683</v>
      </c>
      <c r="Y989">
        <v>4050</v>
      </c>
      <c r="Z989">
        <v>3904</v>
      </c>
      <c r="AA989">
        <v>2</v>
      </c>
      <c r="AB989" s="29">
        <v>44773</v>
      </c>
      <c r="AC989" s="29">
        <v>35559</v>
      </c>
      <c r="AD989" s="29">
        <v>43393</v>
      </c>
      <c r="AE989" s="29"/>
      <c r="AF989">
        <v>4</v>
      </c>
      <c r="AG989" t="s">
        <v>157</v>
      </c>
      <c r="AI989">
        <v>22</v>
      </c>
      <c r="AJ989">
        <v>2</v>
      </c>
      <c r="AK989" t="s">
        <v>162</v>
      </c>
      <c r="AL989" t="s">
        <v>77</v>
      </c>
      <c r="AM989">
        <f t="shared" si="75"/>
        <v>4</v>
      </c>
      <c r="AN989">
        <f t="shared" si="76"/>
        <v>10</v>
      </c>
      <c r="AO989" t="str">
        <f t="shared" si="77"/>
        <v/>
      </c>
      <c r="AP989" t="str">
        <f t="shared" si="78"/>
        <v/>
      </c>
      <c r="AQ989">
        <f t="shared" si="79"/>
        <v>2018</v>
      </c>
    </row>
    <row r="990" spans="1:43" x14ac:dyDescent="0.35">
      <c r="A990">
        <v>250</v>
      </c>
      <c r="B990">
        <v>53</v>
      </c>
      <c r="C990" t="s">
        <v>148</v>
      </c>
      <c r="D990" t="s">
        <v>145</v>
      </c>
      <c r="E990" t="s">
        <v>4</v>
      </c>
      <c r="F990" t="s">
        <v>36</v>
      </c>
      <c r="G990" t="s">
        <v>44</v>
      </c>
      <c r="H990" t="s">
        <v>81</v>
      </c>
      <c r="I990" t="s">
        <v>44</v>
      </c>
      <c r="J990" t="s">
        <v>165</v>
      </c>
      <c r="K990" t="s">
        <v>41</v>
      </c>
      <c r="L990" t="s">
        <v>147</v>
      </c>
      <c r="M990" t="s">
        <v>49</v>
      </c>
      <c r="N990" t="s">
        <v>96</v>
      </c>
      <c r="O990" t="s">
        <v>156</v>
      </c>
      <c r="P990" t="s">
        <v>148</v>
      </c>
      <c r="Q990">
        <v>11</v>
      </c>
      <c r="R990">
        <v>1</v>
      </c>
      <c r="S990">
        <v>5</v>
      </c>
      <c r="T990">
        <v>1</v>
      </c>
      <c r="U990">
        <v>3</v>
      </c>
      <c r="V990">
        <v>13</v>
      </c>
      <c r="W990">
        <v>57</v>
      </c>
      <c r="X990">
        <v>1084</v>
      </c>
      <c r="Y990">
        <v>26250</v>
      </c>
      <c r="Z990">
        <v>4450</v>
      </c>
      <c r="AA990">
        <v>3</v>
      </c>
      <c r="AB990" s="29">
        <v>44773</v>
      </c>
      <c r="AC990" s="29">
        <v>25427</v>
      </c>
      <c r="AD990" s="29">
        <v>43400</v>
      </c>
      <c r="AE990" s="29"/>
      <c r="AF990">
        <v>4</v>
      </c>
      <c r="AG990" t="s">
        <v>167</v>
      </c>
      <c r="AI990">
        <v>49</v>
      </c>
      <c r="AJ990">
        <v>1</v>
      </c>
      <c r="AK990" t="s">
        <v>162</v>
      </c>
      <c r="AL990" t="s">
        <v>77</v>
      </c>
      <c r="AM990">
        <f t="shared" si="75"/>
        <v>4</v>
      </c>
      <c r="AN990">
        <f t="shared" si="76"/>
        <v>10</v>
      </c>
      <c r="AO990" t="str">
        <f t="shared" si="77"/>
        <v/>
      </c>
      <c r="AP990" t="str">
        <f t="shared" si="78"/>
        <v/>
      </c>
      <c r="AQ990">
        <f t="shared" si="79"/>
        <v>2018</v>
      </c>
    </row>
    <row r="991" spans="1:43" x14ac:dyDescent="0.35">
      <c r="A991">
        <v>797</v>
      </c>
      <c r="B991">
        <v>34</v>
      </c>
      <c r="C991" t="s">
        <v>148</v>
      </c>
      <c r="D991" t="s">
        <v>145</v>
      </c>
      <c r="E991" t="s">
        <v>4</v>
      </c>
      <c r="F991" t="s">
        <v>37</v>
      </c>
      <c r="G991" t="s">
        <v>42</v>
      </c>
      <c r="H991" t="s">
        <v>81</v>
      </c>
      <c r="I991" t="s">
        <v>44</v>
      </c>
      <c r="J991" t="s">
        <v>146</v>
      </c>
      <c r="K991" t="s">
        <v>44</v>
      </c>
      <c r="L991" t="s">
        <v>147</v>
      </c>
      <c r="M991" t="s">
        <v>49</v>
      </c>
      <c r="N991" t="s">
        <v>95</v>
      </c>
      <c r="P991" t="s">
        <v>148</v>
      </c>
      <c r="Q991">
        <v>16</v>
      </c>
      <c r="R991">
        <v>2</v>
      </c>
      <c r="S991">
        <v>10</v>
      </c>
      <c r="T991">
        <v>1</v>
      </c>
      <c r="U991">
        <v>3</v>
      </c>
      <c r="V991">
        <v>1</v>
      </c>
      <c r="W991">
        <v>72</v>
      </c>
      <c r="X991">
        <v>182</v>
      </c>
      <c r="Y991">
        <v>13551</v>
      </c>
      <c r="Z991">
        <v>3280</v>
      </c>
      <c r="AA991">
        <v>2</v>
      </c>
      <c r="AB991" s="29">
        <v>44773</v>
      </c>
      <c r="AC991" s="29">
        <v>32619</v>
      </c>
      <c r="AD991" s="29">
        <v>43400</v>
      </c>
      <c r="AE991" s="29"/>
      <c r="AF991">
        <v>4</v>
      </c>
      <c r="AG991" t="s">
        <v>149</v>
      </c>
      <c r="AI991">
        <v>30</v>
      </c>
      <c r="AJ991">
        <v>1</v>
      </c>
      <c r="AK991" t="s">
        <v>162</v>
      </c>
      <c r="AL991" t="s">
        <v>77</v>
      </c>
      <c r="AM991">
        <f t="shared" si="75"/>
        <v>4</v>
      </c>
      <c r="AN991">
        <f t="shared" si="76"/>
        <v>10</v>
      </c>
      <c r="AO991" t="str">
        <f t="shared" si="77"/>
        <v/>
      </c>
      <c r="AP991" t="str">
        <f t="shared" si="78"/>
        <v/>
      </c>
      <c r="AQ991">
        <f t="shared" si="79"/>
        <v>2018</v>
      </c>
    </row>
    <row r="992" spans="1:43" x14ac:dyDescent="0.35">
      <c r="A992">
        <v>2068</v>
      </c>
      <c r="B992">
        <v>34</v>
      </c>
      <c r="C992" t="s">
        <v>148</v>
      </c>
      <c r="D992" t="s">
        <v>145</v>
      </c>
      <c r="E992" t="s">
        <v>4</v>
      </c>
      <c r="F992" t="s">
        <v>38</v>
      </c>
      <c r="G992" t="s">
        <v>42</v>
      </c>
      <c r="H992" t="s">
        <v>82</v>
      </c>
      <c r="I992" t="s">
        <v>44</v>
      </c>
      <c r="J992" t="s">
        <v>155</v>
      </c>
      <c r="K992" t="s">
        <v>43</v>
      </c>
      <c r="L992" t="s">
        <v>147</v>
      </c>
      <c r="M992" t="s">
        <v>50</v>
      </c>
      <c r="N992" t="s">
        <v>160</v>
      </c>
      <c r="P992" t="s">
        <v>148</v>
      </c>
      <c r="Q992">
        <v>12</v>
      </c>
      <c r="R992">
        <v>2</v>
      </c>
      <c r="S992">
        <v>6</v>
      </c>
      <c r="T992">
        <v>1</v>
      </c>
      <c r="U992">
        <v>2</v>
      </c>
      <c r="V992">
        <v>8</v>
      </c>
      <c r="W992">
        <v>82</v>
      </c>
      <c r="X992">
        <v>628</v>
      </c>
      <c r="Y992">
        <v>10228</v>
      </c>
      <c r="Z992">
        <v>4404</v>
      </c>
      <c r="AA992">
        <v>3</v>
      </c>
      <c r="AB992" s="29">
        <v>44773</v>
      </c>
      <c r="AC992" s="29">
        <v>32647</v>
      </c>
      <c r="AD992" s="29">
        <v>43400</v>
      </c>
      <c r="AE992" s="29"/>
      <c r="AF992">
        <v>4</v>
      </c>
      <c r="AG992" t="s">
        <v>149</v>
      </c>
      <c r="AI992">
        <v>30</v>
      </c>
      <c r="AJ992">
        <v>1</v>
      </c>
      <c r="AK992" t="s">
        <v>162</v>
      </c>
      <c r="AL992" t="s">
        <v>77</v>
      </c>
      <c r="AM992">
        <f t="shared" si="75"/>
        <v>4</v>
      </c>
      <c r="AN992">
        <f t="shared" si="76"/>
        <v>10</v>
      </c>
      <c r="AO992" t="str">
        <f t="shared" si="77"/>
        <v/>
      </c>
      <c r="AP992" t="str">
        <f t="shared" si="78"/>
        <v/>
      </c>
      <c r="AQ992">
        <f t="shared" si="79"/>
        <v>2018</v>
      </c>
    </row>
    <row r="993" spans="1:43" x14ac:dyDescent="0.35">
      <c r="A993">
        <v>350</v>
      </c>
      <c r="B993">
        <v>25</v>
      </c>
      <c r="C993" t="s">
        <v>148</v>
      </c>
      <c r="D993" t="s">
        <v>145</v>
      </c>
      <c r="E993" t="s">
        <v>4</v>
      </c>
      <c r="F993" t="s">
        <v>38</v>
      </c>
      <c r="G993" t="s">
        <v>41</v>
      </c>
      <c r="H993" t="s">
        <v>81</v>
      </c>
      <c r="I993" t="s">
        <v>43</v>
      </c>
      <c r="J993" t="s">
        <v>165</v>
      </c>
      <c r="K993" t="s">
        <v>43</v>
      </c>
      <c r="L993" t="s">
        <v>147</v>
      </c>
      <c r="M993" t="s">
        <v>49</v>
      </c>
      <c r="N993" t="s">
        <v>160</v>
      </c>
      <c r="O993" t="s">
        <v>156</v>
      </c>
      <c r="P993" t="s">
        <v>148</v>
      </c>
      <c r="Q993">
        <v>12</v>
      </c>
      <c r="R993">
        <v>0</v>
      </c>
      <c r="S993">
        <v>5</v>
      </c>
      <c r="T993">
        <v>1</v>
      </c>
      <c r="U993">
        <v>2</v>
      </c>
      <c r="V993">
        <v>1</v>
      </c>
      <c r="W993">
        <v>62</v>
      </c>
      <c r="X993">
        <v>685</v>
      </c>
      <c r="Y993">
        <v>7505</v>
      </c>
      <c r="Z993">
        <v>4898</v>
      </c>
      <c r="AA993">
        <v>3</v>
      </c>
      <c r="AB993" s="29">
        <v>44773</v>
      </c>
      <c r="AC993" s="29">
        <v>35871</v>
      </c>
      <c r="AD993" s="29">
        <v>43484</v>
      </c>
      <c r="AE993" s="29"/>
      <c r="AF993">
        <v>4</v>
      </c>
      <c r="AG993" t="s">
        <v>157</v>
      </c>
      <c r="AI993">
        <v>21</v>
      </c>
      <c r="AJ993">
        <v>1</v>
      </c>
      <c r="AK993" t="s">
        <v>162</v>
      </c>
      <c r="AL993" t="s">
        <v>78</v>
      </c>
      <c r="AM993">
        <f t="shared" si="75"/>
        <v>1</v>
      </c>
      <c r="AN993">
        <f t="shared" si="76"/>
        <v>1</v>
      </c>
      <c r="AO993" t="str">
        <f t="shared" si="77"/>
        <v/>
      </c>
      <c r="AP993" t="str">
        <f t="shared" si="78"/>
        <v/>
      </c>
      <c r="AQ993">
        <f t="shared" si="79"/>
        <v>2019</v>
      </c>
    </row>
    <row r="994" spans="1:43" x14ac:dyDescent="0.35">
      <c r="A994">
        <v>40</v>
      </c>
      <c r="B994">
        <v>44</v>
      </c>
      <c r="C994" t="s">
        <v>148</v>
      </c>
      <c r="D994" t="s">
        <v>145</v>
      </c>
      <c r="E994" t="s">
        <v>4</v>
      </c>
      <c r="F994" t="s">
        <v>37</v>
      </c>
      <c r="G994" t="s">
        <v>44</v>
      </c>
      <c r="H994" t="s">
        <v>82</v>
      </c>
      <c r="I994" t="s">
        <v>43</v>
      </c>
      <c r="J994" t="s">
        <v>161</v>
      </c>
      <c r="K994" t="s">
        <v>44</v>
      </c>
      <c r="L994" t="s">
        <v>147</v>
      </c>
      <c r="M994" t="s">
        <v>50</v>
      </c>
      <c r="N994" t="s">
        <v>160</v>
      </c>
      <c r="P994" t="s">
        <v>144</v>
      </c>
      <c r="Q994">
        <v>13</v>
      </c>
      <c r="R994">
        <v>2</v>
      </c>
      <c r="S994">
        <v>9</v>
      </c>
      <c r="T994">
        <v>1</v>
      </c>
      <c r="U994">
        <v>3</v>
      </c>
      <c r="V994">
        <v>10</v>
      </c>
      <c r="W994">
        <v>41</v>
      </c>
      <c r="X994">
        <v>1459</v>
      </c>
      <c r="Y994">
        <v>19121</v>
      </c>
      <c r="Z994">
        <v>6465</v>
      </c>
      <c r="AA994">
        <v>5</v>
      </c>
      <c r="AB994" s="29">
        <v>44773</v>
      </c>
      <c r="AC994" s="29">
        <v>29056</v>
      </c>
      <c r="AD994" s="29">
        <v>43522</v>
      </c>
      <c r="AE994" s="29"/>
      <c r="AF994">
        <v>3</v>
      </c>
      <c r="AG994" t="s">
        <v>153</v>
      </c>
      <c r="AI994">
        <v>41</v>
      </c>
      <c r="AJ994">
        <v>2</v>
      </c>
      <c r="AK994" t="s">
        <v>170</v>
      </c>
      <c r="AL994" t="s">
        <v>77</v>
      </c>
      <c r="AM994">
        <f t="shared" si="75"/>
        <v>1</v>
      </c>
      <c r="AN994">
        <f t="shared" si="76"/>
        <v>2</v>
      </c>
      <c r="AO994" t="str">
        <f t="shared" si="77"/>
        <v/>
      </c>
      <c r="AP994" t="str">
        <f t="shared" si="78"/>
        <v/>
      </c>
      <c r="AQ994">
        <f t="shared" si="79"/>
        <v>2019</v>
      </c>
    </row>
    <row r="995" spans="1:43" x14ac:dyDescent="0.35">
      <c r="A995">
        <v>1998</v>
      </c>
      <c r="B995">
        <v>42</v>
      </c>
      <c r="C995" t="s">
        <v>148</v>
      </c>
      <c r="D995" t="s">
        <v>145</v>
      </c>
      <c r="E995" t="s">
        <v>4</v>
      </c>
      <c r="F995" t="s">
        <v>37</v>
      </c>
      <c r="G995" t="s">
        <v>44</v>
      </c>
      <c r="H995" t="s">
        <v>82</v>
      </c>
      <c r="I995" t="s">
        <v>43</v>
      </c>
      <c r="J995" t="s">
        <v>146</v>
      </c>
      <c r="K995" t="s">
        <v>41</v>
      </c>
      <c r="L995" t="s">
        <v>147</v>
      </c>
      <c r="M995" t="s">
        <v>48</v>
      </c>
      <c r="N995" t="s">
        <v>96</v>
      </c>
      <c r="O995" t="s">
        <v>41</v>
      </c>
      <c r="P995" t="s">
        <v>144</v>
      </c>
      <c r="Q995">
        <v>17</v>
      </c>
      <c r="R995">
        <v>6</v>
      </c>
      <c r="S995">
        <v>9</v>
      </c>
      <c r="T995">
        <v>1</v>
      </c>
      <c r="U995">
        <v>2</v>
      </c>
      <c r="V995">
        <v>18</v>
      </c>
      <c r="W995">
        <v>35</v>
      </c>
      <c r="X995">
        <v>557</v>
      </c>
      <c r="Y995">
        <v>11189</v>
      </c>
      <c r="Z995">
        <v>5410</v>
      </c>
      <c r="AA995">
        <v>3</v>
      </c>
      <c r="AB995" s="29">
        <v>44773</v>
      </c>
      <c r="AC995" s="29">
        <v>29601</v>
      </c>
      <c r="AD995" s="29">
        <v>43529</v>
      </c>
      <c r="AE995" s="29"/>
      <c r="AF995">
        <v>3</v>
      </c>
      <c r="AG995" t="s">
        <v>153</v>
      </c>
      <c r="AI995">
        <v>39</v>
      </c>
      <c r="AJ995">
        <v>2</v>
      </c>
      <c r="AK995" t="s">
        <v>170</v>
      </c>
      <c r="AL995" t="s">
        <v>77</v>
      </c>
      <c r="AM995">
        <f t="shared" si="75"/>
        <v>1</v>
      </c>
      <c r="AN995">
        <f t="shared" si="76"/>
        <v>3</v>
      </c>
      <c r="AO995" t="str">
        <f t="shared" si="77"/>
        <v/>
      </c>
      <c r="AP995" t="str">
        <f t="shared" si="78"/>
        <v/>
      </c>
      <c r="AQ995">
        <f t="shared" si="79"/>
        <v>2019</v>
      </c>
    </row>
    <row r="996" spans="1:43" x14ac:dyDescent="0.35">
      <c r="A996">
        <v>408</v>
      </c>
      <c r="B996">
        <v>51</v>
      </c>
      <c r="C996" t="s">
        <v>148</v>
      </c>
      <c r="D996" t="s">
        <v>145</v>
      </c>
      <c r="E996" t="s">
        <v>4</v>
      </c>
      <c r="F996" t="s">
        <v>38</v>
      </c>
      <c r="G996" t="s">
        <v>44</v>
      </c>
      <c r="H996" t="s">
        <v>82</v>
      </c>
      <c r="I996" t="s">
        <v>41</v>
      </c>
      <c r="J996" t="s">
        <v>165</v>
      </c>
      <c r="K996" t="s">
        <v>42</v>
      </c>
      <c r="L996" t="s">
        <v>147</v>
      </c>
      <c r="M996" t="s">
        <v>49</v>
      </c>
      <c r="N996" t="s">
        <v>96</v>
      </c>
      <c r="O996" t="s">
        <v>41</v>
      </c>
      <c r="P996" t="s">
        <v>148</v>
      </c>
      <c r="Q996">
        <v>18</v>
      </c>
      <c r="R996">
        <v>5</v>
      </c>
      <c r="S996">
        <v>13</v>
      </c>
      <c r="T996">
        <v>1</v>
      </c>
      <c r="U996">
        <v>2</v>
      </c>
      <c r="V996">
        <v>2</v>
      </c>
      <c r="W996">
        <v>84</v>
      </c>
      <c r="X996">
        <v>1302</v>
      </c>
      <c r="Y996">
        <v>16321</v>
      </c>
      <c r="Z996">
        <v>5482</v>
      </c>
      <c r="AA996">
        <v>3</v>
      </c>
      <c r="AB996" s="29">
        <v>44773</v>
      </c>
      <c r="AC996" s="29">
        <v>26246</v>
      </c>
      <c r="AD996" s="29">
        <v>43565</v>
      </c>
      <c r="AE996" s="29"/>
      <c r="AF996">
        <v>3</v>
      </c>
      <c r="AG996" t="s">
        <v>167</v>
      </c>
      <c r="AI996">
        <v>48</v>
      </c>
      <c r="AJ996">
        <v>1</v>
      </c>
      <c r="AK996" t="s">
        <v>170</v>
      </c>
      <c r="AL996" t="s">
        <v>77</v>
      </c>
      <c r="AM996">
        <f t="shared" si="75"/>
        <v>2</v>
      </c>
      <c r="AN996">
        <f t="shared" si="76"/>
        <v>4</v>
      </c>
      <c r="AO996" t="str">
        <f t="shared" si="77"/>
        <v/>
      </c>
      <c r="AP996" t="str">
        <f t="shared" si="78"/>
        <v/>
      </c>
      <c r="AQ996">
        <f t="shared" si="79"/>
        <v>2019</v>
      </c>
    </row>
    <row r="997" spans="1:43" x14ac:dyDescent="0.35">
      <c r="A997">
        <v>522</v>
      </c>
      <c r="B997">
        <v>54</v>
      </c>
      <c r="C997" t="s">
        <v>148</v>
      </c>
      <c r="D997" t="s">
        <v>145</v>
      </c>
      <c r="E997" t="s">
        <v>4</v>
      </c>
      <c r="F997" t="s">
        <v>36</v>
      </c>
      <c r="G997" t="s">
        <v>41</v>
      </c>
      <c r="H997" t="s">
        <v>82</v>
      </c>
      <c r="I997" t="s">
        <v>43</v>
      </c>
      <c r="J997" t="s">
        <v>173</v>
      </c>
      <c r="K997" t="s">
        <v>41</v>
      </c>
      <c r="L997" t="s">
        <v>147</v>
      </c>
      <c r="M997" t="s">
        <v>48</v>
      </c>
      <c r="N997" t="s">
        <v>160</v>
      </c>
      <c r="O997" t="s">
        <v>41</v>
      </c>
      <c r="P997" t="s">
        <v>148</v>
      </c>
      <c r="Q997">
        <v>11</v>
      </c>
      <c r="R997">
        <v>4</v>
      </c>
      <c r="S997">
        <v>24</v>
      </c>
      <c r="T997">
        <v>1</v>
      </c>
      <c r="U997">
        <v>2</v>
      </c>
      <c r="V997">
        <v>5</v>
      </c>
      <c r="W997">
        <v>86</v>
      </c>
      <c r="X997">
        <v>821</v>
      </c>
      <c r="Y997">
        <v>8509</v>
      </c>
      <c r="Z997">
        <v>19406</v>
      </c>
      <c r="AA997">
        <v>4</v>
      </c>
      <c r="AB997" s="29">
        <v>44773</v>
      </c>
      <c r="AC997" s="29">
        <v>25081</v>
      </c>
      <c r="AD997" s="29">
        <v>43577</v>
      </c>
      <c r="AE997" s="29"/>
      <c r="AF997">
        <v>3</v>
      </c>
      <c r="AG997" t="s">
        <v>167</v>
      </c>
      <c r="AI997">
        <v>51</v>
      </c>
      <c r="AJ997">
        <v>1</v>
      </c>
      <c r="AK997" t="s">
        <v>170</v>
      </c>
      <c r="AL997" t="s">
        <v>77</v>
      </c>
      <c r="AM997">
        <f t="shared" si="75"/>
        <v>2</v>
      </c>
      <c r="AN997">
        <f t="shared" si="76"/>
        <v>4</v>
      </c>
      <c r="AO997" t="str">
        <f t="shared" si="77"/>
        <v/>
      </c>
      <c r="AP997" t="str">
        <f t="shared" si="78"/>
        <v/>
      </c>
      <c r="AQ997">
        <f t="shared" si="79"/>
        <v>2019</v>
      </c>
    </row>
    <row r="998" spans="1:43" x14ac:dyDescent="0.35">
      <c r="A998">
        <v>1655</v>
      </c>
      <c r="B998">
        <v>49</v>
      </c>
      <c r="C998" t="s">
        <v>148</v>
      </c>
      <c r="D998" t="s">
        <v>145</v>
      </c>
      <c r="E998" t="s">
        <v>4</v>
      </c>
      <c r="F998" t="s">
        <v>37</v>
      </c>
      <c r="G998" t="s">
        <v>41</v>
      </c>
      <c r="H998" t="s">
        <v>81</v>
      </c>
      <c r="I998" t="s">
        <v>43</v>
      </c>
      <c r="J998" t="s">
        <v>173</v>
      </c>
      <c r="K998" t="s">
        <v>42</v>
      </c>
      <c r="L998" t="s">
        <v>147</v>
      </c>
      <c r="M998" t="s">
        <v>49</v>
      </c>
      <c r="N998" t="s">
        <v>160</v>
      </c>
      <c r="O998" t="s">
        <v>156</v>
      </c>
      <c r="P998" t="s">
        <v>148</v>
      </c>
      <c r="Q998">
        <v>16</v>
      </c>
      <c r="R998">
        <v>3</v>
      </c>
      <c r="S998">
        <v>27</v>
      </c>
      <c r="T998">
        <v>1</v>
      </c>
      <c r="U998">
        <v>2</v>
      </c>
      <c r="V998">
        <v>22</v>
      </c>
      <c r="W998">
        <v>72</v>
      </c>
      <c r="X998">
        <v>301</v>
      </c>
      <c r="Y998">
        <v>3498</v>
      </c>
      <c r="Z998">
        <v>16413</v>
      </c>
      <c r="AA998">
        <v>2</v>
      </c>
      <c r="AB998" s="29">
        <v>44773</v>
      </c>
      <c r="AC998" s="29">
        <v>27033</v>
      </c>
      <c r="AD998" s="29">
        <v>43577</v>
      </c>
      <c r="AE998" s="29"/>
      <c r="AF998">
        <v>3</v>
      </c>
      <c r="AG998" t="s">
        <v>153</v>
      </c>
      <c r="AI998">
        <v>46</v>
      </c>
      <c r="AJ998">
        <v>2</v>
      </c>
      <c r="AK998" t="s">
        <v>170</v>
      </c>
      <c r="AL998" t="s">
        <v>77</v>
      </c>
      <c r="AM998">
        <f t="shared" si="75"/>
        <v>2</v>
      </c>
      <c r="AN998">
        <f t="shared" si="76"/>
        <v>4</v>
      </c>
      <c r="AO998" t="str">
        <f t="shared" si="77"/>
        <v/>
      </c>
      <c r="AP998" t="str">
        <f t="shared" si="78"/>
        <v/>
      </c>
      <c r="AQ998">
        <f t="shared" si="79"/>
        <v>2019</v>
      </c>
    </row>
    <row r="999" spans="1:43" x14ac:dyDescent="0.35">
      <c r="A999">
        <v>1533</v>
      </c>
      <c r="B999">
        <v>23</v>
      </c>
      <c r="C999" t="s">
        <v>148</v>
      </c>
      <c r="D999" t="s">
        <v>145</v>
      </c>
      <c r="E999" t="s">
        <v>4</v>
      </c>
      <c r="F999" t="s">
        <v>35</v>
      </c>
      <c r="G999" t="s">
        <v>41</v>
      </c>
      <c r="H999" t="s">
        <v>82</v>
      </c>
      <c r="I999" t="s">
        <v>43</v>
      </c>
      <c r="J999" t="s">
        <v>155</v>
      </c>
      <c r="K999" t="s">
        <v>43</v>
      </c>
      <c r="L999" t="s">
        <v>147</v>
      </c>
      <c r="M999" t="s">
        <v>49</v>
      </c>
      <c r="N999" t="s">
        <v>95</v>
      </c>
      <c r="P999" t="s">
        <v>148</v>
      </c>
      <c r="Q999">
        <v>14</v>
      </c>
      <c r="R999">
        <v>0</v>
      </c>
      <c r="S999">
        <v>5</v>
      </c>
      <c r="T999">
        <v>1</v>
      </c>
      <c r="U999">
        <v>2</v>
      </c>
      <c r="V999">
        <v>20</v>
      </c>
      <c r="W999">
        <v>97</v>
      </c>
      <c r="X999">
        <v>507</v>
      </c>
      <c r="Y999">
        <v>24812</v>
      </c>
      <c r="Z999">
        <v>2272</v>
      </c>
      <c r="AA999">
        <v>2</v>
      </c>
      <c r="AB999" s="29">
        <v>44773</v>
      </c>
      <c r="AC999" s="29">
        <v>36691</v>
      </c>
      <c r="AD999" s="29">
        <v>43579</v>
      </c>
      <c r="AE999" s="29"/>
      <c r="AF999">
        <v>3</v>
      </c>
      <c r="AG999" t="s">
        <v>157</v>
      </c>
      <c r="AI999">
        <v>20</v>
      </c>
      <c r="AJ999">
        <v>1</v>
      </c>
      <c r="AK999" t="s">
        <v>170</v>
      </c>
      <c r="AL999" t="s">
        <v>77</v>
      </c>
      <c r="AM999">
        <f t="shared" si="75"/>
        <v>2</v>
      </c>
      <c r="AN999">
        <f t="shared" si="76"/>
        <v>4</v>
      </c>
      <c r="AO999" t="str">
        <f t="shared" si="77"/>
        <v/>
      </c>
      <c r="AP999" t="str">
        <f t="shared" si="78"/>
        <v/>
      </c>
      <c r="AQ999">
        <f t="shared" si="79"/>
        <v>2019</v>
      </c>
    </row>
    <row r="1000" spans="1:43" x14ac:dyDescent="0.35">
      <c r="A1000">
        <v>1981</v>
      </c>
      <c r="B1000">
        <v>24</v>
      </c>
      <c r="C1000" t="s">
        <v>148</v>
      </c>
      <c r="D1000" t="s">
        <v>145</v>
      </c>
      <c r="E1000" t="s">
        <v>4</v>
      </c>
      <c r="F1000" t="s">
        <v>36</v>
      </c>
      <c r="G1000" t="s">
        <v>42</v>
      </c>
      <c r="H1000" t="s">
        <v>82</v>
      </c>
      <c r="I1000" t="s">
        <v>42</v>
      </c>
      <c r="J1000" t="s">
        <v>161</v>
      </c>
      <c r="K1000" t="s">
        <v>43</v>
      </c>
      <c r="L1000" t="s">
        <v>147</v>
      </c>
      <c r="M1000" t="s">
        <v>48</v>
      </c>
      <c r="N1000" t="s">
        <v>95</v>
      </c>
      <c r="P1000" t="s">
        <v>148</v>
      </c>
      <c r="Q1000">
        <v>12</v>
      </c>
      <c r="R1000">
        <v>1</v>
      </c>
      <c r="S1000">
        <v>4</v>
      </c>
      <c r="T1000">
        <v>1</v>
      </c>
      <c r="U1000">
        <v>2</v>
      </c>
      <c r="V1000">
        <v>1</v>
      </c>
      <c r="W1000">
        <v>45</v>
      </c>
      <c r="X1000">
        <v>771</v>
      </c>
      <c r="Y1000">
        <v>14120</v>
      </c>
      <c r="Z1000">
        <v>4617</v>
      </c>
      <c r="AA1000">
        <v>2</v>
      </c>
      <c r="AB1000" s="29">
        <v>44773</v>
      </c>
      <c r="AC1000" s="29">
        <v>36225</v>
      </c>
      <c r="AD1000" s="29">
        <v>43586</v>
      </c>
      <c r="AE1000" s="29"/>
      <c r="AF1000">
        <v>3</v>
      </c>
      <c r="AG1000" t="s">
        <v>157</v>
      </c>
      <c r="AI1000">
        <v>21</v>
      </c>
      <c r="AJ1000">
        <v>1</v>
      </c>
      <c r="AK1000" t="s">
        <v>170</v>
      </c>
      <c r="AL1000" t="s">
        <v>78</v>
      </c>
      <c r="AM1000">
        <f t="shared" si="75"/>
        <v>2</v>
      </c>
      <c r="AN1000">
        <f t="shared" si="76"/>
        <v>5</v>
      </c>
      <c r="AO1000" t="str">
        <f t="shared" si="77"/>
        <v/>
      </c>
      <c r="AP1000" t="str">
        <f t="shared" si="78"/>
        <v/>
      </c>
      <c r="AQ1000">
        <f t="shared" si="79"/>
        <v>2019</v>
      </c>
    </row>
    <row r="1001" spans="1:43" x14ac:dyDescent="0.35">
      <c r="A1001">
        <v>700</v>
      </c>
      <c r="B1001">
        <v>27</v>
      </c>
      <c r="C1001" t="s">
        <v>148</v>
      </c>
      <c r="D1001" t="s">
        <v>145</v>
      </c>
      <c r="E1001" t="s">
        <v>4</v>
      </c>
      <c r="F1001" t="s">
        <v>37</v>
      </c>
      <c r="G1001" t="s">
        <v>41</v>
      </c>
      <c r="H1001" t="s">
        <v>82</v>
      </c>
      <c r="I1001" t="s">
        <v>42</v>
      </c>
      <c r="J1001" t="s">
        <v>146</v>
      </c>
      <c r="K1001" t="s">
        <v>44</v>
      </c>
      <c r="L1001" t="s">
        <v>147</v>
      </c>
      <c r="M1001" t="s">
        <v>49</v>
      </c>
      <c r="N1001" t="s">
        <v>95</v>
      </c>
      <c r="P1001" t="s">
        <v>148</v>
      </c>
      <c r="Q1001">
        <v>13</v>
      </c>
      <c r="R1001">
        <v>0</v>
      </c>
      <c r="S1001">
        <v>5</v>
      </c>
      <c r="T1001">
        <v>1</v>
      </c>
      <c r="U1001">
        <v>1</v>
      </c>
      <c r="V1001">
        <v>3</v>
      </c>
      <c r="W1001">
        <v>54</v>
      </c>
      <c r="X1001">
        <v>1115</v>
      </c>
      <c r="Y1001">
        <v>15174</v>
      </c>
      <c r="Z1001">
        <v>2045</v>
      </c>
      <c r="AA1001">
        <v>0</v>
      </c>
      <c r="AB1001" s="29">
        <v>44773</v>
      </c>
      <c r="AC1001" s="29">
        <v>35027</v>
      </c>
      <c r="AD1001" s="29">
        <v>43588</v>
      </c>
      <c r="AE1001" s="29"/>
      <c r="AF1001">
        <v>3</v>
      </c>
      <c r="AG1001" t="s">
        <v>157</v>
      </c>
      <c r="AI1001">
        <v>24</v>
      </c>
      <c r="AJ1001">
        <v>2</v>
      </c>
      <c r="AK1001" t="s">
        <v>170</v>
      </c>
      <c r="AL1001" t="s">
        <v>77</v>
      </c>
      <c r="AM1001">
        <f t="shared" si="75"/>
        <v>2</v>
      </c>
      <c r="AN1001">
        <f t="shared" si="76"/>
        <v>5</v>
      </c>
      <c r="AO1001" t="str">
        <f t="shared" si="77"/>
        <v/>
      </c>
      <c r="AP1001" t="str">
        <f t="shared" si="78"/>
        <v/>
      </c>
      <c r="AQ1001">
        <f t="shared" si="79"/>
        <v>2019</v>
      </c>
    </row>
    <row r="1002" spans="1:43" x14ac:dyDescent="0.35">
      <c r="A1002">
        <v>1694</v>
      </c>
      <c r="B1002">
        <v>55</v>
      </c>
      <c r="C1002" t="s">
        <v>148</v>
      </c>
      <c r="D1002" t="s">
        <v>145</v>
      </c>
      <c r="E1002" t="s">
        <v>4</v>
      </c>
      <c r="F1002" t="s">
        <v>38</v>
      </c>
      <c r="G1002" t="s">
        <v>41</v>
      </c>
      <c r="H1002" t="s">
        <v>82</v>
      </c>
      <c r="I1002" t="s">
        <v>42</v>
      </c>
      <c r="J1002" t="s">
        <v>146</v>
      </c>
      <c r="K1002" t="s">
        <v>42</v>
      </c>
      <c r="L1002" t="s">
        <v>147</v>
      </c>
      <c r="M1002" t="s">
        <v>49</v>
      </c>
      <c r="N1002" t="s">
        <v>96</v>
      </c>
      <c r="O1002" t="s">
        <v>41</v>
      </c>
      <c r="P1002" t="s">
        <v>148</v>
      </c>
      <c r="Q1002">
        <v>12</v>
      </c>
      <c r="R1002">
        <v>5</v>
      </c>
      <c r="S1002">
        <v>8</v>
      </c>
      <c r="T1002">
        <v>1</v>
      </c>
      <c r="U1002">
        <v>2</v>
      </c>
      <c r="V1002">
        <v>22</v>
      </c>
      <c r="W1002">
        <v>94</v>
      </c>
      <c r="X1002">
        <v>1441</v>
      </c>
      <c r="Y1002">
        <v>23737</v>
      </c>
      <c r="Z1002">
        <v>3537</v>
      </c>
      <c r="AA1002">
        <v>1</v>
      </c>
      <c r="AB1002" s="29">
        <v>44773</v>
      </c>
      <c r="AC1002" s="29">
        <v>24783</v>
      </c>
      <c r="AD1002" s="29">
        <v>43606</v>
      </c>
      <c r="AE1002" s="29"/>
      <c r="AF1002">
        <v>3</v>
      </c>
      <c r="AG1002" t="s">
        <v>167</v>
      </c>
      <c r="AI1002">
        <v>52</v>
      </c>
      <c r="AJ1002">
        <v>1</v>
      </c>
      <c r="AK1002" t="s">
        <v>170</v>
      </c>
      <c r="AL1002" t="s">
        <v>77</v>
      </c>
      <c r="AM1002">
        <f t="shared" si="75"/>
        <v>2</v>
      </c>
      <c r="AN1002">
        <f t="shared" si="76"/>
        <v>5</v>
      </c>
      <c r="AO1002" t="str">
        <f t="shared" si="77"/>
        <v/>
      </c>
      <c r="AP1002" t="str">
        <f t="shared" si="78"/>
        <v/>
      </c>
      <c r="AQ1002">
        <f t="shared" si="79"/>
        <v>2019</v>
      </c>
    </row>
    <row r="1003" spans="1:43" x14ac:dyDescent="0.35">
      <c r="A1003">
        <v>2020</v>
      </c>
      <c r="B1003">
        <v>44</v>
      </c>
      <c r="C1003" t="s">
        <v>148</v>
      </c>
      <c r="D1003" t="s">
        <v>145</v>
      </c>
      <c r="E1003" t="s">
        <v>4</v>
      </c>
      <c r="F1003" t="s">
        <v>38</v>
      </c>
      <c r="G1003" t="s">
        <v>42</v>
      </c>
      <c r="H1003" t="s">
        <v>82</v>
      </c>
      <c r="I1003" t="s">
        <v>43</v>
      </c>
      <c r="J1003" t="s">
        <v>146</v>
      </c>
      <c r="K1003" t="s">
        <v>44</v>
      </c>
      <c r="L1003" t="s">
        <v>147</v>
      </c>
      <c r="M1003" t="s">
        <v>49</v>
      </c>
      <c r="N1003" t="s">
        <v>95</v>
      </c>
      <c r="P1003" t="s">
        <v>144</v>
      </c>
      <c r="Q1003">
        <v>12</v>
      </c>
      <c r="R1003">
        <v>6</v>
      </c>
      <c r="S1003">
        <v>6</v>
      </c>
      <c r="T1003">
        <v>1</v>
      </c>
      <c r="U1003">
        <v>2</v>
      </c>
      <c r="V1003">
        <v>1</v>
      </c>
      <c r="W1003">
        <v>42</v>
      </c>
      <c r="X1003">
        <v>1037</v>
      </c>
      <c r="Y1003">
        <v>13422</v>
      </c>
      <c r="Z1003">
        <v>2436</v>
      </c>
      <c r="AA1003">
        <v>2</v>
      </c>
      <c r="AB1003" s="29">
        <v>44773</v>
      </c>
      <c r="AC1003" s="29">
        <v>28884</v>
      </c>
      <c r="AD1003" s="29">
        <v>43622</v>
      </c>
      <c r="AE1003" s="29"/>
      <c r="AF1003">
        <v>3</v>
      </c>
      <c r="AG1003" t="s">
        <v>153</v>
      </c>
      <c r="AI1003">
        <v>41</v>
      </c>
      <c r="AJ1003">
        <v>2</v>
      </c>
      <c r="AK1003" t="s">
        <v>170</v>
      </c>
      <c r="AL1003" t="s">
        <v>77</v>
      </c>
      <c r="AM1003">
        <f t="shared" si="75"/>
        <v>2</v>
      </c>
      <c r="AN1003">
        <f t="shared" si="76"/>
        <v>6</v>
      </c>
      <c r="AO1003" t="str">
        <f t="shared" si="77"/>
        <v/>
      </c>
      <c r="AP1003" t="str">
        <f t="shared" si="78"/>
        <v/>
      </c>
      <c r="AQ1003">
        <f t="shared" si="79"/>
        <v>2019</v>
      </c>
    </row>
    <row r="1004" spans="1:43" x14ac:dyDescent="0.35">
      <c r="A1004">
        <v>434</v>
      </c>
      <c r="B1004">
        <v>27</v>
      </c>
      <c r="C1004" t="s">
        <v>148</v>
      </c>
      <c r="D1004" t="s">
        <v>145</v>
      </c>
      <c r="E1004" t="s">
        <v>4</v>
      </c>
      <c r="F1004" t="s">
        <v>38</v>
      </c>
      <c r="G1004" t="s">
        <v>43</v>
      </c>
      <c r="H1004" t="s">
        <v>81</v>
      </c>
      <c r="I1004" t="s">
        <v>43</v>
      </c>
      <c r="J1004" t="s">
        <v>146</v>
      </c>
      <c r="K1004" t="s">
        <v>42</v>
      </c>
      <c r="L1004" t="s">
        <v>147</v>
      </c>
      <c r="M1004" t="s">
        <v>48</v>
      </c>
      <c r="N1004" t="s">
        <v>95</v>
      </c>
      <c r="P1004" t="s">
        <v>144</v>
      </c>
      <c r="Q1004">
        <v>12</v>
      </c>
      <c r="R1004">
        <v>1</v>
      </c>
      <c r="S1004">
        <v>4</v>
      </c>
      <c r="T1004">
        <v>1</v>
      </c>
      <c r="U1004">
        <v>2</v>
      </c>
      <c r="V1004">
        <v>5</v>
      </c>
      <c r="W1004">
        <v>85</v>
      </c>
      <c r="X1004">
        <v>1220</v>
      </c>
      <c r="Y1004">
        <v>20938</v>
      </c>
      <c r="Z1004">
        <v>2478</v>
      </c>
      <c r="AA1004">
        <v>2</v>
      </c>
      <c r="AB1004" s="29">
        <v>44773</v>
      </c>
      <c r="AC1004" s="29">
        <v>35031</v>
      </c>
      <c r="AD1004" s="29">
        <v>43623</v>
      </c>
      <c r="AE1004" s="29"/>
      <c r="AF1004">
        <v>3</v>
      </c>
      <c r="AG1004" t="s">
        <v>157</v>
      </c>
      <c r="AI1004">
        <v>24</v>
      </c>
      <c r="AJ1004">
        <v>1</v>
      </c>
      <c r="AK1004" t="s">
        <v>170</v>
      </c>
      <c r="AL1004" t="s">
        <v>77</v>
      </c>
      <c r="AM1004">
        <f t="shared" si="75"/>
        <v>2</v>
      </c>
      <c r="AN1004">
        <f t="shared" si="76"/>
        <v>6</v>
      </c>
      <c r="AO1004" t="str">
        <f t="shared" si="77"/>
        <v/>
      </c>
      <c r="AP1004" t="str">
        <f t="shared" si="78"/>
        <v/>
      </c>
      <c r="AQ1004">
        <f t="shared" si="79"/>
        <v>2019</v>
      </c>
    </row>
    <row r="1005" spans="1:43" x14ac:dyDescent="0.35">
      <c r="A1005">
        <v>2052</v>
      </c>
      <c r="B1005">
        <v>35</v>
      </c>
      <c r="C1005" t="s">
        <v>148</v>
      </c>
      <c r="D1005" t="s">
        <v>145</v>
      </c>
      <c r="E1005" t="s">
        <v>4</v>
      </c>
      <c r="F1005" t="s">
        <v>37</v>
      </c>
      <c r="G1005" t="s">
        <v>43</v>
      </c>
      <c r="H1005" t="s">
        <v>81</v>
      </c>
      <c r="I1005" t="s">
        <v>41</v>
      </c>
      <c r="J1005" t="s">
        <v>146</v>
      </c>
      <c r="K1005" t="s">
        <v>44</v>
      </c>
      <c r="L1005" t="s">
        <v>147</v>
      </c>
      <c r="M1005" t="s">
        <v>49</v>
      </c>
      <c r="N1005" t="s">
        <v>160</v>
      </c>
      <c r="O1005" t="s">
        <v>41</v>
      </c>
      <c r="P1005" t="s">
        <v>148</v>
      </c>
      <c r="Q1005">
        <v>12</v>
      </c>
      <c r="R1005">
        <v>1</v>
      </c>
      <c r="S1005">
        <v>4</v>
      </c>
      <c r="T1005">
        <v>1</v>
      </c>
      <c r="U1005">
        <v>1</v>
      </c>
      <c r="V1005">
        <v>1</v>
      </c>
      <c r="W1005">
        <v>62</v>
      </c>
      <c r="X1005">
        <v>287</v>
      </c>
      <c r="Y1005">
        <v>8952</v>
      </c>
      <c r="Z1005">
        <v>2977</v>
      </c>
      <c r="AA1005">
        <v>5</v>
      </c>
      <c r="AB1005" s="29">
        <v>44773</v>
      </c>
      <c r="AC1005" s="29">
        <v>32043</v>
      </c>
      <c r="AD1005" s="29">
        <v>43638</v>
      </c>
      <c r="AE1005" s="29"/>
      <c r="AF1005">
        <v>3</v>
      </c>
      <c r="AG1005" t="s">
        <v>149</v>
      </c>
      <c r="AI1005">
        <v>32</v>
      </c>
      <c r="AJ1005">
        <v>1</v>
      </c>
      <c r="AK1005" t="s">
        <v>170</v>
      </c>
      <c r="AL1005" t="s">
        <v>77</v>
      </c>
      <c r="AM1005">
        <f t="shared" si="75"/>
        <v>2</v>
      </c>
      <c r="AN1005">
        <f t="shared" si="76"/>
        <v>6</v>
      </c>
      <c r="AO1005" t="str">
        <f t="shared" si="77"/>
        <v/>
      </c>
      <c r="AP1005" t="str">
        <f t="shared" si="78"/>
        <v/>
      </c>
      <c r="AQ1005">
        <f t="shared" si="79"/>
        <v>2019</v>
      </c>
    </row>
    <row r="1006" spans="1:43" x14ac:dyDescent="0.35">
      <c r="A1006">
        <v>1358</v>
      </c>
      <c r="B1006">
        <v>25</v>
      </c>
      <c r="C1006" t="s">
        <v>148</v>
      </c>
      <c r="D1006" t="s">
        <v>145</v>
      </c>
      <c r="E1006" t="s">
        <v>4</v>
      </c>
      <c r="F1006" t="s">
        <v>35</v>
      </c>
      <c r="G1006" t="s">
        <v>44</v>
      </c>
      <c r="H1006" t="s">
        <v>82</v>
      </c>
      <c r="I1006" t="s">
        <v>43</v>
      </c>
      <c r="J1006" t="s">
        <v>155</v>
      </c>
      <c r="K1006" t="s">
        <v>44</v>
      </c>
      <c r="L1006" t="s">
        <v>147</v>
      </c>
      <c r="M1006" t="s">
        <v>48</v>
      </c>
      <c r="N1006" t="s">
        <v>160</v>
      </c>
      <c r="O1006" t="s">
        <v>43</v>
      </c>
      <c r="P1006" t="s">
        <v>148</v>
      </c>
      <c r="Q1006">
        <v>11</v>
      </c>
      <c r="R1006">
        <v>3</v>
      </c>
      <c r="S1006">
        <v>7</v>
      </c>
      <c r="T1006">
        <v>1</v>
      </c>
      <c r="U1006">
        <v>2</v>
      </c>
      <c r="V1006">
        <v>19</v>
      </c>
      <c r="W1006">
        <v>67</v>
      </c>
      <c r="X1006">
        <v>882</v>
      </c>
      <c r="Y1006">
        <v>9075</v>
      </c>
      <c r="Z1006">
        <v>3669</v>
      </c>
      <c r="AA1006">
        <v>6</v>
      </c>
      <c r="AB1006" s="29">
        <v>44773</v>
      </c>
      <c r="AC1006" s="29">
        <v>35735</v>
      </c>
      <c r="AD1006" s="29">
        <v>43690</v>
      </c>
      <c r="AE1006" s="29"/>
      <c r="AF1006">
        <v>3</v>
      </c>
      <c r="AG1006" t="s">
        <v>157</v>
      </c>
      <c r="AI1006">
        <v>22</v>
      </c>
      <c r="AJ1006">
        <v>1</v>
      </c>
      <c r="AK1006" t="s">
        <v>170</v>
      </c>
      <c r="AL1006" t="s">
        <v>77</v>
      </c>
      <c r="AM1006">
        <f t="shared" si="75"/>
        <v>3</v>
      </c>
      <c r="AN1006">
        <f t="shared" si="76"/>
        <v>8</v>
      </c>
      <c r="AO1006" t="str">
        <f t="shared" si="77"/>
        <v/>
      </c>
      <c r="AP1006" t="str">
        <f t="shared" si="78"/>
        <v/>
      </c>
      <c r="AQ1006">
        <f t="shared" si="79"/>
        <v>2019</v>
      </c>
    </row>
    <row r="1007" spans="1:43" x14ac:dyDescent="0.35">
      <c r="A1007">
        <v>1735</v>
      </c>
      <c r="B1007">
        <v>23</v>
      </c>
      <c r="C1007" t="s">
        <v>148</v>
      </c>
      <c r="D1007" t="s">
        <v>145</v>
      </c>
      <c r="E1007" t="s">
        <v>4</v>
      </c>
      <c r="F1007" t="s">
        <v>35</v>
      </c>
      <c r="G1007" t="s">
        <v>43</v>
      </c>
      <c r="H1007" t="s">
        <v>81</v>
      </c>
      <c r="I1007" t="s">
        <v>43</v>
      </c>
      <c r="J1007" t="s">
        <v>155</v>
      </c>
      <c r="K1007" t="s">
        <v>42</v>
      </c>
      <c r="L1007" t="s">
        <v>147</v>
      </c>
      <c r="M1007" t="s">
        <v>47</v>
      </c>
      <c r="N1007" t="s">
        <v>95</v>
      </c>
      <c r="P1007" t="s">
        <v>148</v>
      </c>
      <c r="Q1007">
        <v>13</v>
      </c>
      <c r="R1007">
        <v>1</v>
      </c>
      <c r="S1007">
        <v>3</v>
      </c>
      <c r="T1007">
        <v>1</v>
      </c>
      <c r="U1007">
        <v>2</v>
      </c>
      <c r="V1007">
        <v>4</v>
      </c>
      <c r="W1007">
        <v>51</v>
      </c>
      <c r="X1007">
        <v>160</v>
      </c>
      <c r="Y1007">
        <v>12862</v>
      </c>
      <c r="Z1007">
        <v>3295</v>
      </c>
      <c r="AA1007">
        <v>3</v>
      </c>
      <c r="AB1007" s="29">
        <v>44773</v>
      </c>
      <c r="AC1007" s="29">
        <v>36495</v>
      </c>
      <c r="AD1007" s="29">
        <v>43709</v>
      </c>
      <c r="AE1007" s="29"/>
      <c r="AF1007">
        <v>3</v>
      </c>
      <c r="AG1007" t="s">
        <v>157</v>
      </c>
      <c r="AI1007">
        <v>20</v>
      </c>
      <c r="AJ1007">
        <v>1</v>
      </c>
      <c r="AK1007" t="s">
        <v>170</v>
      </c>
      <c r="AL1007" t="s">
        <v>77</v>
      </c>
      <c r="AM1007">
        <f t="shared" si="75"/>
        <v>3</v>
      </c>
      <c r="AN1007">
        <f t="shared" si="76"/>
        <v>9</v>
      </c>
      <c r="AO1007" t="str">
        <f t="shared" si="77"/>
        <v/>
      </c>
      <c r="AP1007" t="str">
        <f t="shared" si="78"/>
        <v/>
      </c>
      <c r="AQ1007">
        <f t="shared" si="79"/>
        <v>2019</v>
      </c>
    </row>
    <row r="1008" spans="1:43" x14ac:dyDescent="0.35">
      <c r="A1008">
        <v>379</v>
      </c>
      <c r="B1008">
        <v>21</v>
      </c>
      <c r="C1008" t="s">
        <v>148</v>
      </c>
      <c r="D1008" t="s">
        <v>145</v>
      </c>
      <c r="E1008" t="s">
        <v>4</v>
      </c>
      <c r="F1008" t="s">
        <v>36</v>
      </c>
      <c r="G1008" t="s">
        <v>44</v>
      </c>
      <c r="H1008" t="s">
        <v>82</v>
      </c>
      <c r="I1008" t="s">
        <v>42</v>
      </c>
      <c r="J1008" t="s">
        <v>146</v>
      </c>
      <c r="K1008" t="s">
        <v>43</v>
      </c>
      <c r="L1008" t="s">
        <v>147</v>
      </c>
      <c r="M1008" t="s">
        <v>50</v>
      </c>
      <c r="N1008" t="s">
        <v>95</v>
      </c>
      <c r="P1008" t="s">
        <v>148</v>
      </c>
      <c r="Q1008">
        <v>17</v>
      </c>
      <c r="R1008">
        <v>1</v>
      </c>
      <c r="S1008">
        <v>3</v>
      </c>
      <c r="T1008">
        <v>1</v>
      </c>
      <c r="U1008">
        <v>0</v>
      </c>
      <c r="V1008">
        <v>3</v>
      </c>
      <c r="W1008">
        <v>100</v>
      </c>
      <c r="X1008">
        <v>996</v>
      </c>
      <c r="Y1008">
        <v>10531</v>
      </c>
      <c r="Z1008">
        <v>3230</v>
      </c>
      <c r="AA1008">
        <v>4</v>
      </c>
      <c r="AB1008" s="29">
        <v>44773</v>
      </c>
      <c r="AC1008" s="29">
        <v>37222</v>
      </c>
      <c r="AD1008" s="29">
        <v>43718</v>
      </c>
      <c r="AE1008" s="29"/>
      <c r="AF1008">
        <v>3</v>
      </c>
      <c r="AG1008" t="s">
        <v>157</v>
      </c>
      <c r="AI1008">
        <v>18</v>
      </c>
      <c r="AJ1008">
        <v>1</v>
      </c>
      <c r="AK1008" t="s">
        <v>170</v>
      </c>
      <c r="AL1008" t="s">
        <v>77</v>
      </c>
      <c r="AM1008">
        <f t="shared" si="75"/>
        <v>3</v>
      </c>
      <c r="AN1008">
        <f t="shared" si="76"/>
        <v>9</v>
      </c>
      <c r="AO1008" t="str">
        <f t="shared" si="77"/>
        <v/>
      </c>
      <c r="AP1008" t="str">
        <f t="shared" si="78"/>
        <v/>
      </c>
      <c r="AQ1008">
        <f t="shared" si="79"/>
        <v>2019</v>
      </c>
    </row>
    <row r="1009" spans="1:43" x14ac:dyDescent="0.35">
      <c r="A1009">
        <v>332</v>
      </c>
      <c r="B1009">
        <v>39</v>
      </c>
      <c r="C1009" t="s">
        <v>148</v>
      </c>
      <c r="D1009" t="s">
        <v>145</v>
      </c>
      <c r="E1009" t="s">
        <v>4</v>
      </c>
      <c r="F1009" t="s">
        <v>37</v>
      </c>
      <c r="G1009" t="s">
        <v>43</v>
      </c>
      <c r="H1009" t="s">
        <v>81</v>
      </c>
      <c r="I1009" t="s">
        <v>43</v>
      </c>
      <c r="J1009" t="s">
        <v>155</v>
      </c>
      <c r="K1009" t="s">
        <v>43</v>
      </c>
      <c r="L1009" t="s">
        <v>147</v>
      </c>
      <c r="M1009" t="s">
        <v>49</v>
      </c>
      <c r="N1009" t="s">
        <v>96</v>
      </c>
      <c r="O1009" t="s">
        <v>43</v>
      </c>
      <c r="P1009" t="s">
        <v>148</v>
      </c>
      <c r="Q1009">
        <v>14</v>
      </c>
      <c r="R1009">
        <v>7</v>
      </c>
      <c r="S1009">
        <v>7</v>
      </c>
      <c r="T1009">
        <v>1</v>
      </c>
      <c r="U1009">
        <v>2</v>
      </c>
      <c r="V1009">
        <v>1</v>
      </c>
      <c r="W1009">
        <v>96</v>
      </c>
      <c r="X1009">
        <v>1431</v>
      </c>
      <c r="Y1009">
        <v>15417</v>
      </c>
      <c r="Z1009">
        <v>2232</v>
      </c>
      <c r="AA1009">
        <v>1</v>
      </c>
      <c r="AB1009" s="29">
        <v>44773</v>
      </c>
      <c r="AC1009" s="29">
        <v>30591</v>
      </c>
      <c r="AD1009" s="29">
        <v>43754</v>
      </c>
      <c r="AE1009" s="29"/>
      <c r="AF1009">
        <v>3</v>
      </c>
      <c r="AG1009" t="s">
        <v>149</v>
      </c>
      <c r="AI1009">
        <v>36</v>
      </c>
      <c r="AJ1009">
        <v>2</v>
      </c>
      <c r="AK1009" t="s">
        <v>170</v>
      </c>
      <c r="AL1009" t="s">
        <v>77</v>
      </c>
      <c r="AM1009">
        <f t="shared" si="75"/>
        <v>4</v>
      </c>
      <c r="AN1009">
        <f t="shared" si="76"/>
        <v>10</v>
      </c>
      <c r="AO1009" t="str">
        <f t="shared" si="77"/>
        <v/>
      </c>
      <c r="AP1009" t="str">
        <f t="shared" si="78"/>
        <v/>
      </c>
      <c r="AQ1009">
        <f t="shared" si="79"/>
        <v>2019</v>
      </c>
    </row>
    <row r="1010" spans="1:43" x14ac:dyDescent="0.35">
      <c r="A1010">
        <v>1474</v>
      </c>
      <c r="B1010">
        <v>40</v>
      </c>
      <c r="C1010" t="s">
        <v>148</v>
      </c>
      <c r="D1010" t="s">
        <v>145</v>
      </c>
      <c r="E1010" t="s">
        <v>4</v>
      </c>
      <c r="F1010" t="s">
        <v>38</v>
      </c>
      <c r="G1010" t="s">
        <v>43</v>
      </c>
      <c r="H1010" t="s">
        <v>82</v>
      </c>
      <c r="I1010" t="s">
        <v>43</v>
      </c>
      <c r="J1010" t="s">
        <v>146</v>
      </c>
      <c r="K1010" t="s">
        <v>43</v>
      </c>
      <c r="L1010" t="s">
        <v>147</v>
      </c>
      <c r="M1010" t="s">
        <v>50</v>
      </c>
      <c r="N1010" t="s">
        <v>96</v>
      </c>
      <c r="O1010" t="s">
        <v>41</v>
      </c>
      <c r="P1010" t="s">
        <v>148</v>
      </c>
      <c r="Q1010">
        <v>14</v>
      </c>
      <c r="R1010">
        <v>2</v>
      </c>
      <c r="S1010">
        <v>8</v>
      </c>
      <c r="T1010">
        <v>1</v>
      </c>
      <c r="U1010">
        <v>2</v>
      </c>
      <c r="V1010">
        <v>2</v>
      </c>
      <c r="W1010">
        <v>68</v>
      </c>
      <c r="X1010">
        <v>896</v>
      </c>
      <c r="Y1010">
        <v>8045</v>
      </c>
      <c r="Z1010">
        <v>2345</v>
      </c>
      <c r="AA1010">
        <v>3</v>
      </c>
      <c r="AB1010" s="29">
        <v>44773</v>
      </c>
      <c r="AC1010" s="29">
        <v>30355</v>
      </c>
      <c r="AD1010" s="29">
        <v>43768</v>
      </c>
      <c r="AE1010" s="29"/>
      <c r="AF1010">
        <v>3</v>
      </c>
      <c r="AG1010" t="s">
        <v>153</v>
      </c>
      <c r="AI1010">
        <v>37</v>
      </c>
      <c r="AJ1010">
        <v>2</v>
      </c>
      <c r="AK1010" t="s">
        <v>170</v>
      </c>
      <c r="AL1010" t="s">
        <v>77</v>
      </c>
      <c r="AM1010">
        <f t="shared" si="75"/>
        <v>4</v>
      </c>
      <c r="AN1010">
        <f t="shared" si="76"/>
        <v>10</v>
      </c>
      <c r="AO1010" t="str">
        <f t="shared" si="77"/>
        <v/>
      </c>
      <c r="AP1010" t="str">
        <f t="shared" si="78"/>
        <v/>
      </c>
      <c r="AQ1010">
        <f t="shared" si="79"/>
        <v>2019</v>
      </c>
    </row>
    <row r="1011" spans="1:43" x14ac:dyDescent="0.35">
      <c r="A1011">
        <v>482</v>
      </c>
      <c r="B1011">
        <v>57</v>
      </c>
      <c r="C1011" t="s">
        <v>148</v>
      </c>
      <c r="D1011" t="s">
        <v>145</v>
      </c>
      <c r="E1011" t="s">
        <v>4</v>
      </c>
      <c r="F1011" t="s">
        <v>37</v>
      </c>
      <c r="G1011" t="s">
        <v>44</v>
      </c>
      <c r="H1011" t="s">
        <v>82</v>
      </c>
      <c r="I1011" t="s">
        <v>43</v>
      </c>
      <c r="J1011" t="s">
        <v>161</v>
      </c>
      <c r="K1011" t="s">
        <v>43</v>
      </c>
      <c r="L1011" t="s">
        <v>147</v>
      </c>
      <c r="M1011" t="s">
        <v>49</v>
      </c>
      <c r="N1011" t="s">
        <v>160</v>
      </c>
      <c r="P1011" t="s">
        <v>148</v>
      </c>
      <c r="Q1011">
        <v>11</v>
      </c>
      <c r="R1011">
        <v>2</v>
      </c>
      <c r="S1011">
        <v>15</v>
      </c>
      <c r="T1011">
        <v>1</v>
      </c>
      <c r="U1011">
        <v>2</v>
      </c>
      <c r="V1011">
        <v>1</v>
      </c>
      <c r="W1011">
        <v>88</v>
      </c>
      <c r="X1011">
        <v>593</v>
      </c>
      <c r="Y1011">
        <v>2967</v>
      </c>
      <c r="Z1011">
        <v>6755</v>
      </c>
      <c r="AA1011">
        <v>2</v>
      </c>
      <c r="AB1011" s="29">
        <v>44773</v>
      </c>
      <c r="AC1011" s="29">
        <v>24057</v>
      </c>
      <c r="AD1011" s="29">
        <v>43772</v>
      </c>
      <c r="AE1011" s="29"/>
      <c r="AF1011">
        <v>3</v>
      </c>
      <c r="AG1011" t="s">
        <v>167</v>
      </c>
      <c r="AI1011">
        <v>54</v>
      </c>
      <c r="AJ1011">
        <v>1</v>
      </c>
      <c r="AK1011" t="s">
        <v>170</v>
      </c>
      <c r="AL1011" t="s">
        <v>77</v>
      </c>
      <c r="AM1011">
        <f t="shared" si="75"/>
        <v>4</v>
      </c>
      <c r="AN1011">
        <f t="shared" si="76"/>
        <v>11</v>
      </c>
      <c r="AO1011" t="str">
        <f t="shared" si="77"/>
        <v/>
      </c>
      <c r="AP1011" t="str">
        <f t="shared" si="78"/>
        <v/>
      </c>
      <c r="AQ1011">
        <f t="shared" si="79"/>
        <v>2019</v>
      </c>
    </row>
    <row r="1012" spans="1:43" x14ac:dyDescent="0.35">
      <c r="A1012">
        <v>1430</v>
      </c>
      <c r="B1012">
        <v>31</v>
      </c>
      <c r="C1012" t="s">
        <v>148</v>
      </c>
      <c r="D1012" t="s">
        <v>145</v>
      </c>
      <c r="E1012" t="s">
        <v>4</v>
      </c>
      <c r="F1012" t="s">
        <v>34</v>
      </c>
      <c r="G1012" t="s">
        <v>41</v>
      </c>
      <c r="H1012" t="s">
        <v>81</v>
      </c>
      <c r="I1012" t="s">
        <v>43</v>
      </c>
      <c r="J1012" t="s">
        <v>173</v>
      </c>
      <c r="K1012" t="s">
        <v>42</v>
      </c>
      <c r="L1012" t="s">
        <v>147</v>
      </c>
      <c r="M1012" t="s">
        <v>50</v>
      </c>
      <c r="N1012" t="s">
        <v>95</v>
      </c>
      <c r="P1012" t="s">
        <v>148</v>
      </c>
      <c r="Q1012">
        <v>11</v>
      </c>
      <c r="R1012">
        <v>3</v>
      </c>
      <c r="S1012">
        <v>9</v>
      </c>
      <c r="T1012">
        <v>1</v>
      </c>
      <c r="U1012">
        <v>0</v>
      </c>
      <c r="V1012">
        <v>8</v>
      </c>
      <c r="W1012">
        <v>93</v>
      </c>
      <c r="X1012">
        <v>182</v>
      </c>
      <c r="Y1012">
        <v>8847</v>
      </c>
      <c r="Z1012">
        <v>16422</v>
      </c>
      <c r="AA1012">
        <v>3</v>
      </c>
      <c r="AB1012" s="29">
        <v>44773</v>
      </c>
      <c r="AC1012" s="29">
        <v>33755</v>
      </c>
      <c r="AD1012" s="29">
        <v>43785</v>
      </c>
      <c r="AE1012" s="29"/>
      <c r="AF1012">
        <v>3</v>
      </c>
      <c r="AG1012" t="s">
        <v>149</v>
      </c>
      <c r="AI1012">
        <v>28</v>
      </c>
      <c r="AJ1012">
        <v>1</v>
      </c>
      <c r="AK1012" t="s">
        <v>170</v>
      </c>
      <c r="AL1012" t="s">
        <v>78</v>
      </c>
      <c r="AM1012">
        <f t="shared" si="75"/>
        <v>4</v>
      </c>
      <c r="AN1012">
        <f t="shared" si="76"/>
        <v>11</v>
      </c>
      <c r="AO1012" t="str">
        <f t="shared" si="77"/>
        <v/>
      </c>
      <c r="AP1012" t="str">
        <f t="shared" si="78"/>
        <v/>
      </c>
      <c r="AQ1012">
        <f t="shared" si="79"/>
        <v>2019</v>
      </c>
    </row>
    <row r="1013" spans="1:43" x14ac:dyDescent="0.35">
      <c r="A1013">
        <v>1614</v>
      </c>
      <c r="B1013">
        <v>36</v>
      </c>
      <c r="C1013" t="s">
        <v>148</v>
      </c>
      <c r="D1013" t="s">
        <v>145</v>
      </c>
      <c r="E1013" t="s">
        <v>4</v>
      </c>
      <c r="F1013" t="s">
        <v>37</v>
      </c>
      <c r="G1013" t="s">
        <v>43</v>
      </c>
      <c r="H1013" t="s">
        <v>81</v>
      </c>
      <c r="I1013" t="s">
        <v>43</v>
      </c>
      <c r="J1013" t="s">
        <v>165</v>
      </c>
      <c r="K1013" t="s">
        <v>43</v>
      </c>
      <c r="L1013" t="s">
        <v>147</v>
      </c>
      <c r="M1013" t="s">
        <v>49</v>
      </c>
      <c r="N1013" t="s">
        <v>160</v>
      </c>
      <c r="O1013" t="s">
        <v>156</v>
      </c>
      <c r="P1013" t="s">
        <v>144</v>
      </c>
      <c r="Q1013">
        <v>12</v>
      </c>
      <c r="R1013">
        <v>9</v>
      </c>
      <c r="S1013">
        <v>7</v>
      </c>
      <c r="T1013">
        <v>1</v>
      </c>
      <c r="U1013">
        <v>1</v>
      </c>
      <c r="V1013">
        <v>12</v>
      </c>
      <c r="W1013">
        <v>76</v>
      </c>
      <c r="X1013">
        <v>559</v>
      </c>
      <c r="Y1013">
        <v>12421</v>
      </c>
      <c r="Z1013">
        <v>4663</v>
      </c>
      <c r="AA1013">
        <v>2</v>
      </c>
      <c r="AB1013" s="29">
        <v>44773</v>
      </c>
      <c r="AC1013" s="29">
        <v>31755</v>
      </c>
      <c r="AD1013" s="29">
        <v>43785</v>
      </c>
      <c r="AE1013" s="29"/>
      <c r="AF1013">
        <v>3</v>
      </c>
      <c r="AG1013" t="s">
        <v>149</v>
      </c>
      <c r="AI1013">
        <v>33</v>
      </c>
      <c r="AJ1013">
        <v>1</v>
      </c>
      <c r="AK1013" t="s">
        <v>170</v>
      </c>
      <c r="AL1013" t="s">
        <v>77</v>
      </c>
      <c r="AM1013">
        <f t="shared" si="75"/>
        <v>4</v>
      </c>
      <c r="AN1013">
        <f t="shared" si="76"/>
        <v>11</v>
      </c>
      <c r="AO1013" t="str">
        <f t="shared" si="77"/>
        <v/>
      </c>
      <c r="AP1013" t="str">
        <f t="shared" si="78"/>
        <v/>
      </c>
      <c r="AQ1013">
        <f t="shared" si="79"/>
        <v>2019</v>
      </c>
    </row>
    <row r="1014" spans="1:43" x14ac:dyDescent="0.35">
      <c r="A1014">
        <v>1465</v>
      </c>
      <c r="B1014">
        <v>45</v>
      </c>
      <c r="C1014" t="s">
        <v>148</v>
      </c>
      <c r="D1014" t="s">
        <v>145</v>
      </c>
      <c r="E1014" t="s">
        <v>4</v>
      </c>
      <c r="F1014" t="s">
        <v>38</v>
      </c>
      <c r="G1014" t="s">
        <v>42</v>
      </c>
      <c r="H1014" t="s">
        <v>82</v>
      </c>
      <c r="I1014" t="s">
        <v>43</v>
      </c>
      <c r="J1014" t="s">
        <v>165</v>
      </c>
      <c r="K1014" t="s">
        <v>44</v>
      </c>
      <c r="L1014" t="s">
        <v>147</v>
      </c>
      <c r="M1014" t="s">
        <v>50</v>
      </c>
      <c r="N1014" t="s">
        <v>160</v>
      </c>
      <c r="O1014" t="s">
        <v>156</v>
      </c>
      <c r="P1014" t="s">
        <v>144</v>
      </c>
      <c r="Q1014">
        <v>18</v>
      </c>
      <c r="R1014">
        <v>4</v>
      </c>
      <c r="S1014">
        <v>10</v>
      </c>
      <c r="T1014">
        <v>1</v>
      </c>
      <c r="U1014">
        <v>2</v>
      </c>
      <c r="V1014">
        <v>29</v>
      </c>
      <c r="W1014">
        <v>55</v>
      </c>
      <c r="X1014">
        <v>1448</v>
      </c>
      <c r="Y1014">
        <v>14720</v>
      </c>
      <c r="Z1014">
        <v>9380</v>
      </c>
      <c r="AA1014">
        <v>4</v>
      </c>
      <c r="AB1014" s="29">
        <v>44773</v>
      </c>
      <c r="AC1014" s="29">
        <v>28583</v>
      </c>
      <c r="AD1014" s="29">
        <v>43794</v>
      </c>
      <c r="AE1014" s="29"/>
      <c r="AF1014">
        <v>3</v>
      </c>
      <c r="AG1014" t="s">
        <v>153</v>
      </c>
      <c r="AI1014">
        <v>42</v>
      </c>
      <c r="AJ1014">
        <v>1</v>
      </c>
      <c r="AK1014" t="s">
        <v>170</v>
      </c>
      <c r="AL1014" t="s">
        <v>77</v>
      </c>
      <c r="AM1014">
        <f t="shared" si="75"/>
        <v>4</v>
      </c>
      <c r="AN1014">
        <f t="shared" si="76"/>
        <v>11</v>
      </c>
      <c r="AO1014" t="str">
        <f t="shared" si="77"/>
        <v/>
      </c>
      <c r="AP1014" t="str">
        <f t="shared" si="78"/>
        <v/>
      </c>
      <c r="AQ1014">
        <f t="shared" si="79"/>
        <v>2019</v>
      </c>
    </row>
    <row r="1015" spans="1:43" x14ac:dyDescent="0.35">
      <c r="A1015">
        <v>1099</v>
      </c>
      <c r="B1015">
        <v>33</v>
      </c>
      <c r="C1015" t="s">
        <v>148</v>
      </c>
      <c r="D1015" t="s">
        <v>145</v>
      </c>
      <c r="E1015" t="s">
        <v>4</v>
      </c>
      <c r="F1015" t="s">
        <v>38</v>
      </c>
      <c r="G1015" t="s">
        <v>44</v>
      </c>
      <c r="H1015" t="s">
        <v>82</v>
      </c>
      <c r="I1015" t="s">
        <v>42</v>
      </c>
      <c r="J1015" t="s">
        <v>161</v>
      </c>
      <c r="K1015" t="s">
        <v>44</v>
      </c>
      <c r="L1015" t="s">
        <v>147</v>
      </c>
      <c r="M1015" t="s">
        <v>49</v>
      </c>
      <c r="N1015" t="s">
        <v>96</v>
      </c>
      <c r="O1015" t="s">
        <v>41</v>
      </c>
      <c r="P1015" t="s">
        <v>148</v>
      </c>
      <c r="Q1015">
        <v>15</v>
      </c>
      <c r="R1015">
        <v>4</v>
      </c>
      <c r="S1015">
        <v>9</v>
      </c>
      <c r="T1015">
        <v>1</v>
      </c>
      <c r="U1015">
        <v>2</v>
      </c>
      <c r="V1015">
        <v>5</v>
      </c>
      <c r="W1015">
        <v>34</v>
      </c>
      <c r="X1015">
        <v>654</v>
      </c>
      <c r="Y1015">
        <v>21214</v>
      </c>
      <c r="Z1015">
        <v>7119</v>
      </c>
      <c r="AA1015">
        <v>2</v>
      </c>
      <c r="AB1015" s="29">
        <v>44773</v>
      </c>
      <c r="AC1015" s="29">
        <v>32755</v>
      </c>
      <c r="AD1015" s="29">
        <v>43803</v>
      </c>
      <c r="AE1015" s="29"/>
      <c r="AF1015">
        <v>3</v>
      </c>
      <c r="AG1015" t="s">
        <v>149</v>
      </c>
      <c r="AI1015">
        <v>30</v>
      </c>
      <c r="AJ1015">
        <v>1</v>
      </c>
      <c r="AK1015" t="s">
        <v>170</v>
      </c>
      <c r="AL1015" t="s">
        <v>77</v>
      </c>
      <c r="AM1015">
        <f t="shared" si="75"/>
        <v>4</v>
      </c>
      <c r="AN1015">
        <f t="shared" si="76"/>
        <v>12</v>
      </c>
      <c r="AO1015" t="str">
        <f t="shared" si="77"/>
        <v/>
      </c>
      <c r="AP1015" t="str">
        <f t="shared" si="78"/>
        <v/>
      </c>
      <c r="AQ1015">
        <f t="shared" si="79"/>
        <v>2019</v>
      </c>
    </row>
    <row r="1016" spans="1:43" x14ac:dyDescent="0.35">
      <c r="A1016">
        <v>447</v>
      </c>
      <c r="B1016">
        <v>47</v>
      </c>
      <c r="C1016" t="s">
        <v>148</v>
      </c>
      <c r="D1016" t="s">
        <v>145</v>
      </c>
      <c r="E1016" t="s">
        <v>4</v>
      </c>
      <c r="F1016" t="s">
        <v>34</v>
      </c>
      <c r="G1016" t="s">
        <v>44</v>
      </c>
      <c r="H1016" t="s">
        <v>82</v>
      </c>
      <c r="I1016" t="s">
        <v>43</v>
      </c>
      <c r="J1016" t="s">
        <v>173</v>
      </c>
      <c r="K1016" t="s">
        <v>43</v>
      </c>
      <c r="L1016" t="s">
        <v>147</v>
      </c>
      <c r="M1016" t="s">
        <v>49</v>
      </c>
      <c r="N1016" t="s">
        <v>160</v>
      </c>
      <c r="O1016" t="s">
        <v>41</v>
      </c>
      <c r="P1016" t="s">
        <v>148</v>
      </c>
      <c r="Q1016">
        <v>11</v>
      </c>
      <c r="R1016">
        <v>4</v>
      </c>
      <c r="S1016">
        <v>21</v>
      </c>
      <c r="T1016">
        <v>1</v>
      </c>
      <c r="U1016">
        <v>1</v>
      </c>
      <c r="V1016">
        <v>5</v>
      </c>
      <c r="W1016">
        <v>42</v>
      </c>
      <c r="X1016">
        <v>1482</v>
      </c>
      <c r="Y1016">
        <v>16375</v>
      </c>
      <c r="Z1016">
        <v>18300</v>
      </c>
      <c r="AA1016">
        <v>2</v>
      </c>
      <c r="AB1016" s="29">
        <v>44773</v>
      </c>
      <c r="AC1016" s="29">
        <v>27647</v>
      </c>
      <c r="AD1016" s="29">
        <v>43817</v>
      </c>
      <c r="AE1016" s="29"/>
      <c r="AF1016">
        <v>3</v>
      </c>
      <c r="AG1016" t="s">
        <v>153</v>
      </c>
      <c r="AI1016">
        <v>44</v>
      </c>
      <c r="AJ1016">
        <v>2</v>
      </c>
      <c r="AK1016" t="s">
        <v>170</v>
      </c>
      <c r="AL1016" t="s">
        <v>77</v>
      </c>
      <c r="AM1016">
        <f t="shared" si="75"/>
        <v>4</v>
      </c>
      <c r="AN1016">
        <f t="shared" si="76"/>
        <v>12</v>
      </c>
      <c r="AO1016" t="str">
        <f t="shared" si="77"/>
        <v/>
      </c>
      <c r="AP1016" t="str">
        <f t="shared" si="78"/>
        <v/>
      </c>
      <c r="AQ1016">
        <f t="shared" si="79"/>
        <v>2019</v>
      </c>
    </row>
    <row r="1017" spans="1:43" x14ac:dyDescent="0.35">
      <c r="A1017">
        <v>495</v>
      </c>
      <c r="B1017">
        <v>29</v>
      </c>
      <c r="C1017" t="s">
        <v>148</v>
      </c>
      <c r="D1017" t="s">
        <v>145</v>
      </c>
      <c r="E1017" t="s">
        <v>4</v>
      </c>
      <c r="F1017" t="s">
        <v>38</v>
      </c>
      <c r="G1017" t="s">
        <v>44</v>
      </c>
      <c r="H1017" t="s">
        <v>82</v>
      </c>
      <c r="I1017" t="s">
        <v>43</v>
      </c>
      <c r="J1017" t="s">
        <v>146</v>
      </c>
      <c r="K1017" t="s">
        <v>44</v>
      </c>
      <c r="L1017" t="s">
        <v>147</v>
      </c>
      <c r="M1017" t="s">
        <v>49</v>
      </c>
      <c r="N1017" t="s">
        <v>95</v>
      </c>
      <c r="P1017" t="s">
        <v>148</v>
      </c>
      <c r="Q1017">
        <v>16</v>
      </c>
      <c r="R1017">
        <v>9</v>
      </c>
      <c r="S1017">
        <v>6</v>
      </c>
      <c r="T1017">
        <v>1</v>
      </c>
      <c r="U1017">
        <v>2</v>
      </c>
      <c r="V1017">
        <v>23</v>
      </c>
      <c r="W1017">
        <v>54</v>
      </c>
      <c r="X1017">
        <v>1283</v>
      </c>
      <c r="Y1017">
        <v>18168</v>
      </c>
      <c r="Z1017">
        <v>2201</v>
      </c>
      <c r="AA1017">
        <v>4</v>
      </c>
      <c r="AB1017" s="29">
        <v>44773</v>
      </c>
      <c r="AC1017" s="29">
        <v>34517</v>
      </c>
      <c r="AD1017" s="29">
        <v>43836</v>
      </c>
      <c r="AE1017" s="29"/>
      <c r="AF1017">
        <v>3</v>
      </c>
      <c r="AG1017" t="s">
        <v>157</v>
      </c>
      <c r="AI1017">
        <v>26</v>
      </c>
      <c r="AJ1017">
        <v>2</v>
      </c>
      <c r="AK1017" t="s">
        <v>170</v>
      </c>
      <c r="AL1017" t="s">
        <v>78</v>
      </c>
      <c r="AM1017">
        <f t="shared" si="75"/>
        <v>1</v>
      </c>
      <c r="AN1017">
        <f t="shared" si="76"/>
        <v>1</v>
      </c>
      <c r="AO1017" t="str">
        <f t="shared" si="77"/>
        <v/>
      </c>
      <c r="AP1017" t="str">
        <f t="shared" si="78"/>
        <v/>
      </c>
      <c r="AQ1017">
        <f t="shared" si="79"/>
        <v>2020</v>
      </c>
    </row>
    <row r="1018" spans="1:43" x14ac:dyDescent="0.35">
      <c r="A1018">
        <v>1501</v>
      </c>
      <c r="B1018">
        <v>55</v>
      </c>
      <c r="C1018" t="s">
        <v>148</v>
      </c>
      <c r="D1018" t="s">
        <v>145</v>
      </c>
      <c r="E1018" t="s">
        <v>4</v>
      </c>
      <c r="F1018" t="s">
        <v>37</v>
      </c>
      <c r="G1018" t="s">
        <v>44</v>
      </c>
      <c r="H1018" t="s">
        <v>82</v>
      </c>
      <c r="I1018" t="s">
        <v>43</v>
      </c>
      <c r="J1018" t="s">
        <v>161</v>
      </c>
      <c r="K1018" t="s">
        <v>43</v>
      </c>
      <c r="L1018" t="s">
        <v>147</v>
      </c>
      <c r="M1018" t="s">
        <v>49</v>
      </c>
      <c r="N1018" t="s">
        <v>160</v>
      </c>
      <c r="P1018" t="s">
        <v>144</v>
      </c>
      <c r="Q1018">
        <v>16</v>
      </c>
      <c r="R1018">
        <v>0</v>
      </c>
      <c r="S1018">
        <v>4</v>
      </c>
      <c r="T1018">
        <v>1</v>
      </c>
      <c r="U1018">
        <v>2</v>
      </c>
      <c r="V1018">
        <v>4</v>
      </c>
      <c r="W1018">
        <v>30</v>
      </c>
      <c r="X1018">
        <v>1229</v>
      </c>
      <c r="Y1018">
        <v>16143</v>
      </c>
      <c r="Z1018">
        <v>4035</v>
      </c>
      <c r="AA1018">
        <v>2</v>
      </c>
      <c r="AB1018" s="29">
        <v>44773</v>
      </c>
      <c r="AC1018" s="29">
        <v>24746</v>
      </c>
      <c r="AD1018" s="29">
        <v>43838</v>
      </c>
      <c r="AE1018" s="29"/>
      <c r="AF1018">
        <v>2</v>
      </c>
      <c r="AG1018" t="s">
        <v>167</v>
      </c>
      <c r="AI1018">
        <v>53</v>
      </c>
      <c r="AJ1018">
        <v>1</v>
      </c>
      <c r="AK1018" t="s">
        <v>170</v>
      </c>
      <c r="AL1018" t="s">
        <v>77</v>
      </c>
      <c r="AM1018">
        <f t="shared" si="75"/>
        <v>1</v>
      </c>
      <c r="AN1018">
        <f t="shared" si="76"/>
        <v>1</v>
      </c>
      <c r="AO1018" t="str">
        <f t="shared" si="77"/>
        <v/>
      </c>
      <c r="AP1018" t="str">
        <f t="shared" si="78"/>
        <v/>
      </c>
      <c r="AQ1018">
        <f t="shared" si="79"/>
        <v>2020</v>
      </c>
    </row>
    <row r="1019" spans="1:43" x14ac:dyDescent="0.35">
      <c r="A1019">
        <v>1317</v>
      </c>
      <c r="B1019">
        <v>50</v>
      </c>
      <c r="C1019" t="s">
        <v>148</v>
      </c>
      <c r="D1019" t="s">
        <v>145</v>
      </c>
      <c r="E1019" t="s">
        <v>4</v>
      </c>
      <c r="F1019" t="s">
        <v>38</v>
      </c>
      <c r="G1019" t="s">
        <v>44</v>
      </c>
      <c r="H1019" t="s">
        <v>81</v>
      </c>
      <c r="I1019" t="s">
        <v>43</v>
      </c>
      <c r="J1019" t="s">
        <v>173</v>
      </c>
      <c r="K1019" t="s">
        <v>41</v>
      </c>
      <c r="L1019" t="s">
        <v>147</v>
      </c>
      <c r="M1019" t="s">
        <v>49</v>
      </c>
      <c r="N1019" t="s">
        <v>160</v>
      </c>
      <c r="P1019" t="s">
        <v>144</v>
      </c>
      <c r="Q1019">
        <v>11</v>
      </c>
      <c r="R1019">
        <v>4</v>
      </c>
      <c r="S1019">
        <v>25</v>
      </c>
      <c r="T1019">
        <v>1</v>
      </c>
      <c r="U1019">
        <v>2</v>
      </c>
      <c r="V1019">
        <v>28</v>
      </c>
      <c r="W1019">
        <v>43</v>
      </c>
      <c r="X1019">
        <v>1322</v>
      </c>
      <c r="Y1019">
        <v>22422</v>
      </c>
      <c r="Z1019">
        <v>16880</v>
      </c>
      <c r="AA1019">
        <v>2</v>
      </c>
      <c r="AB1019" s="29">
        <v>44773</v>
      </c>
      <c r="AC1019" s="29">
        <v>26583</v>
      </c>
      <c r="AD1019" s="29">
        <v>43875</v>
      </c>
      <c r="AE1019" s="29"/>
      <c r="AF1019">
        <v>2</v>
      </c>
      <c r="AG1019" t="s">
        <v>167</v>
      </c>
      <c r="AI1019">
        <v>48</v>
      </c>
      <c r="AJ1019">
        <v>1</v>
      </c>
      <c r="AK1019" t="s">
        <v>170</v>
      </c>
      <c r="AL1019" t="s">
        <v>77</v>
      </c>
      <c r="AM1019">
        <f t="shared" si="75"/>
        <v>1</v>
      </c>
      <c r="AN1019">
        <f t="shared" si="76"/>
        <v>2</v>
      </c>
      <c r="AO1019" t="str">
        <f t="shared" si="77"/>
        <v/>
      </c>
      <c r="AP1019" t="str">
        <f t="shared" si="78"/>
        <v/>
      </c>
      <c r="AQ1019">
        <f t="shared" si="79"/>
        <v>2020</v>
      </c>
    </row>
    <row r="1020" spans="1:43" x14ac:dyDescent="0.35">
      <c r="A1020">
        <v>1301</v>
      </c>
      <c r="B1020">
        <v>28</v>
      </c>
      <c r="C1020" t="s">
        <v>148</v>
      </c>
      <c r="D1020" t="s">
        <v>145</v>
      </c>
      <c r="E1020" t="s">
        <v>4</v>
      </c>
      <c r="F1020" t="s">
        <v>38</v>
      </c>
      <c r="G1020" t="s">
        <v>44</v>
      </c>
      <c r="H1020" t="s">
        <v>82</v>
      </c>
      <c r="I1020" t="s">
        <v>43</v>
      </c>
      <c r="J1020" t="s">
        <v>146</v>
      </c>
      <c r="K1020" t="s">
        <v>41</v>
      </c>
      <c r="L1020" t="s">
        <v>147</v>
      </c>
      <c r="M1020" t="s">
        <v>48</v>
      </c>
      <c r="N1020" t="s">
        <v>95</v>
      </c>
      <c r="P1020" t="s">
        <v>148</v>
      </c>
      <c r="Q1020">
        <v>11</v>
      </c>
      <c r="R1020">
        <v>2</v>
      </c>
      <c r="S1020">
        <v>5</v>
      </c>
      <c r="T1020">
        <v>1</v>
      </c>
      <c r="U1020">
        <v>2</v>
      </c>
      <c r="V1020">
        <v>1</v>
      </c>
      <c r="W1020">
        <v>84</v>
      </c>
      <c r="X1020">
        <v>640</v>
      </c>
      <c r="Y1020">
        <v>4732</v>
      </c>
      <c r="Z1020">
        <v>2080</v>
      </c>
      <c r="AA1020">
        <v>2</v>
      </c>
      <c r="AB1020" s="29">
        <v>44773</v>
      </c>
      <c r="AC1020" s="29">
        <v>34552</v>
      </c>
      <c r="AD1020" s="29">
        <v>43891</v>
      </c>
      <c r="AE1020" s="29"/>
      <c r="AF1020">
        <v>2</v>
      </c>
      <c r="AG1020" t="s">
        <v>157</v>
      </c>
      <c r="AI1020">
        <v>26</v>
      </c>
      <c r="AJ1020">
        <v>1</v>
      </c>
      <c r="AK1020" t="s">
        <v>170</v>
      </c>
      <c r="AL1020" t="s">
        <v>78</v>
      </c>
      <c r="AM1020">
        <f t="shared" si="75"/>
        <v>1</v>
      </c>
      <c r="AN1020">
        <f t="shared" si="76"/>
        <v>3</v>
      </c>
      <c r="AO1020" t="str">
        <f t="shared" si="77"/>
        <v/>
      </c>
      <c r="AP1020" t="str">
        <f t="shared" si="78"/>
        <v/>
      </c>
      <c r="AQ1020">
        <f t="shared" si="79"/>
        <v>2020</v>
      </c>
    </row>
    <row r="1021" spans="1:43" x14ac:dyDescent="0.35">
      <c r="A1021">
        <v>24</v>
      </c>
      <c r="B1021">
        <v>38</v>
      </c>
      <c r="C1021" t="s">
        <v>148</v>
      </c>
      <c r="D1021" t="s">
        <v>145</v>
      </c>
      <c r="E1021" t="s">
        <v>4</v>
      </c>
      <c r="F1021" t="s">
        <v>38</v>
      </c>
      <c r="G1021" t="s">
        <v>44</v>
      </c>
      <c r="H1021" t="s">
        <v>82</v>
      </c>
      <c r="I1021" t="s">
        <v>43</v>
      </c>
      <c r="J1021" t="s">
        <v>146</v>
      </c>
      <c r="K1021" t="s">
        <v>44</v>
      </c>
      <c r="L1021" t="s">
        <v>147</v>
      </c>
      <c r="M1021" t="s">
        <v>49</v>
      </c>
      <c r="N1021" t="s">
        <v>95</v>
      </c>
      <c r="P1021" t="s">
        <v>144</v>
      </c>
      <c r="Q1021">
        <v>11</v>
      </c>
      <c r="R1021">
        <v>5</v>
      </c>
      <c r="S1021">
        <v>6</v>
      </c>
      <c r="T1021">
        <v>1</v>
      </c>
      <c r="U1021">
        <v>2</v>
      </c>
      <c r="V1021">
        <v>2</v>
      </c>
      <c r="W1021">
        <v>45</v>
      </c>
      <c r="X1021">
        <v>371</v>
      </c>
      <c r="Y1021">
        <v>4306</v>
      </c>
      <c r="Z1021">
        <v>3944</v>
      </c>
      <c r="AA1021">
        <v>3</v>
      </c>
      <c r="AB1021" s="29">
        <v>44773</v>
      </c>
      <c r="AC1021" s="29">
        <v>31201</v>
      </c>
      <c r="AD1021" s="29">
        <v>43892</v>
      </c>
      <c r="AE1021" s="29"/>
      <c r="AF1021">
        <v>2</v>
      </c>
      <c r="AG1021" t="s">
        <v>149</v>
      </c>
      <c r="AI1021">
        <v>36</v>
      </c>
      <c r="AJ1021">
        <v>1</v>
      </c>
      <c r="AK1021" t="s">
        <v>170</v>
      </c>
      <c r="AL1021" t="s">
        <v>77</v>
      </c>
      <c r="AM1021">
        <f t="shared" si="75"/>
        <v>1</v>
      </c>
      <c r="AN1021">
        <f t="shared" si="76"/>
        <v>3</v>
      </c>
      <c r="AO1021" t="str">
        <f t="shared" si="77"/>
        <v/>
      </c>
      <c r="AP1021" t="str">
        <f t="shared" si="78"/>
        <v/>
      </c>
      <c r="AQ1021">
        <f t="shared" si="79"/>
        <v>2020</v>
      </c>
    </row>
    <row r="1022" spans="1:43" x14ac:dyDescent="0.35">
      <c r="A1022">
        <v>247</v>
      </c>
      <c r="B1022">
        <v>34</v>
      </c>
      <c r="C1022" t="s">
        <v>148</v>
      </c>
      <c r="D1022" t="s">
        <v>145</v>
      </c>
      <c r="E1022" t="s">
        <v>4</v>
      </c>
      <c r="F1022" t="s">
        <v>36</v>
      </c>
      <c r="G1022" t="s">
        <v>44</v>
      </c>
      <c r="H1022" t="s">
        <v>81</v>
      </c>
      <c r="I1022" t="s">
        <v>43</v>
      </c>
      <c r="J1022" t="s">
        <v>146</v>
      </c>
      <c r="K1022" t="s">
        <v>42</v>
      </c>
      <c r="L1022" t="s">
        <v>147</v>
      </c>
      <c r="M1022" t="s">
        <v>49</v>
      </c>
      <c r="N1022" t="s">
        <v>95</v>
      </c>
      <c r="P1022" t="s">
        <v>148</v>
      </c>
      <c r="Q1022">
        <v>15</v>
      </c>
      <c r="R1022">
        <v>2</v>
      </c>
      <c r="S1022">
        <v>9</v>
      </c>
      <c r="T1022">
        <v>1</v>
      </c>
      <c r="U1022">
        <v>2</v>
      </c>
      <c r="V1022">
        <v>27</v>
      </c>
      <c r="W1022">
        <v>95</v>
      </c>
      <c r="X1022">
        <v>629</v>
      </c>
      <c r="Y1022">
        <v>5711</v>
      </c>
      <c r="Z1022">
        <v>2311</v>
      </c>
      <c r="AA1022">
        <v>3</v>
      </c>
      <c r="AB1022" s="29">
        <v>44773</v>
      </c>
      <c r="AC1022" s="29">
        <v>32498</v>
      </c>
      <c r="AD1022" s="29">
        <v>43895</v>
      </c>
      <c r="AE1022" s="29"/>
      <c r="AF1022">
        <v>2</v>
      </c>
      <c r="AG1022" t="s">
        <v>149</v>
      </c>
      <c r="AI1022">
        <v>32</v>
      </c>
      <c r="AJ1022">
        <v>2</v>
      </c>
      <c r="AK1022" t="s">
        <v>170</v>
      </c>
      <c r="AL1022" t="s">
        <v>77</v>
      </c>
      <c r="AM1022">
        <f t="shared" si="75"/>
        <v>1</v>
      </c>
      <c r="AN1022">
        <f t="shared" si="76"/>
        <v>3</v>
      </c>
      <c r="AO1022" t="str">
        <f t="shared" si="77"/>
        <v/>
      </c>
      <c r="AP1022" t="str">
        <f t="shared" si="78"/>
        <v/>
      </c>
      <c r="AQ1022">
        <f t="shared" si="79"/>
        <v>2020</v>
      </c>
    </row>
    <row r="1023" spans="1:43" x14ac:dyDescent="0.35">
      <c r="A1023">
        <v>1249</v>
      </c>
      <c r="B1023">
        <v>29</v>
      </c>
      <c r="C1023" t="s">
        <v>148</v>
      </c>
      <c r="D1023" t="s">
        <v>145</v>
      </c>
      <c r="E1023" t="s">
        <v>4</v>
      </c>
      <c r="F1023" t="s">
        <v>38</v>
      </c>
      <c r="G1023" t="s">
        <v>41</v>
      </c>
      <c r="H1023" t="s">
        <v>81</v>
      </c>
      <c r="I1023" t="s">
        <v>43</v>
      </c>
      <c r="J1023" t="s">
        <v>146</v>
      </c>
      <c r="K1023" t="s">
        <v>44</v>
      </c>
      <c r="L1023" t="s">
        <v>147</v>
      </c>
      <c r="M1023" t="s">
        <v>49</v>
      </c>
      <c r="N1023" t="s">
        <v>96</v>
      </c>
      <c r="O1023" t="s">
        <v>43</v>
      </c>
      <c r="P1023" t="s">
        <v>148</v>
      </c>
      <c r="Q1023">
        <v>15</v>
      </c>
      <c r="R1023">
        <v>1</v>
      </c>
      <c r="S1023">
        <v>3</v>
      </c>
      <c r="T1023">
        <v>1</v>
      </c>
      <c r="U1023">
        <v>2</v>
      </c>
      <c r="V1023">
        <v>1</v>
      </c>
      <c r="W1023">
        <v>97</v>
      </c>
      <c r="X1023">
        <v>1010</v>
      </c>
      <c r="Y1023">
        <v>5598</v>
      </c>
      <c r="Z1023">
        <v>3760</v>
      </c>
      <c r="AA1023">
        <v>5</v>
      </c>
      <c r="AB1023" s="29">
        <v>44773</v>
      </c>
      <c r="AC1023" s="29">
        <v>34271</v>
      </c>
      <c r="AD1023" s="29">
        <v>43902</v>
      </c>
      <c r="AE1023" s="29"/>
      <c r="AF1023">
        <v>2</v>
      </c>
      <c r="AG1023" t="s">
        <v>157</v>
      </c>
      <c r="AI1023">
        <v>27</v>
      </c>
      <c r="AJ1023">
        <v>1</v>
      </c>
      <c r="AK1023" t="s">
        <v>170</v>
      </c>
      <c r="AL1023" t="s">
        <v>77</v>
      </c>
      <c r="AM1023">
        <f t="shared" si="75"/>
        <v>1</v>
      </c>
      <c r="AN1023">
        <f t="shared" si="76"/>
        <v>3</v>
      </c>
      <c r="AO1023" t="str">
        <f t="shared" si="77"/>
        <v/>
      </c>
      <c r="AP1023" t="str">
        <f t="shared" si="78"/>
        <v/>
      </c>
      <c r="AQ1023">
        <f t="shared" si="79"/>
        <v>2020</v>
      </c>
    </row>
    <row r="1024" spans="1:43" x14ac:dyDescent="0.35">
      <c r="A1024">
        <v>1564</v>
      </c>
      <c r="B1024">
        <v>35</v>
      </c>
      <c r="C1024" t="s">
        <v>148</v>
      </c>
      <c r="D1024" t="s">
        <v>145</v>
      </c>
      <c r="E1024" t="s">
        <v>4</v>
      </c>
      <c r="F1024" t="s">
        <v>38</v>
      </c>
      <c r="G1024" t="s">
        <v>44</v>
      </c>
      <c r="H1024" t="s">
        <v>82</v>
      </c>
      <c r="I1024" t="s">
        <v>42</v>
      </c>
      <c r="J1024" t="s">
        <v>155</v>
      </c>
      <c r="K1024" t="s">
        <v>41</v>
      </c>
      <c r="L1024" t="s">
        <v>147</v>
      </c>
      <c r="M1024" t="s">
        <v>49</v>
      </c>
      <c r="N1024" t="s">
        <v>95</v>
      </c>
      <c r="P1024" t="s">
        <v>148</v>
      </c>
      <c r="Q1024">
        <v>19</v>
      </c>
      <c r="R1024">
        <v>1</v>
      </c>
      <c r="S1024">
        <v>3</v>
      </c>
      <c r="T1024">
        <v>1</v>
      </c>
      <c r="U1024">
        <v>2</v>
      </c>
      <c r="V1024">
        <v>1</v>
      </c>
      <c r="W1024">
        <v>68</v>
      </c>
      <c r="X1024">
        <v>992</v>
      </c>
      <c r="Y1024">
        <v>21731</v>
      </c>
      <c r="Z1024">
        <v>2450</v>
      </c>
      <c r="AA1024">
        <v>3</v>
      </c>
      <c r="AB1024" s="29">
        <v>44773</v>
      </c>
      <c r="AC1024" s="29">
        <v>32135</v>
      </c>
      <c r="AD1024" s="29">
        <v>43907</v>
      </c>
      <c r="AE1024" s="29"/>
      <c r="AF1024">
        <v>2</v>
      </c>
      <c r="AG1024" t="s">
        <v>149</v>
      </c>
      <c r="AI1024">
        <v>33</v>
      </c>
      <c r="AJ1024">
        <v>1</v>
      </c>
      <c r="AK1024" t="s">
        <v>170</v>
      </c>
      <c r="AL1024" t="s">
        <v>77</v>
      </c>
      <c r="AM1024">
        <f t="shared" si="75"/>
        <v>1</v>
      </c>
      <c r="AN1024">
        <f t="shared" si="76"/>
        <v>3</v>
      </c>
      <c r="AO1024" t="str">
        <f t="shared" si="77"/>
        <v/>
      </c>
      <c r="AP1024" t="str">
        <f t="shared" si="78"/>
        <v/>
      </c>
      <c r="AQ1024">
        <f t="shared" si="79"/>
        <v>2020</v>
      </c>
    </row>
    <row r="1025" spans="1:43" x14ac:dyDescent="0.35">
      <c r="A1025">
        <v>611</v>
      </c>
      <c r="B1025">
        <v>29</v>
      </c>
      <c r="C1025" t="s">
        <v>148</v>
      </c>
      <c r="D1025" t="s">
        <v>145</v>
      </c>
      <c r="E1025" t="s">
        <v>4</v>
      </c>
      <c r="F1025" t="s">
        <v>38</v>
      </c>
      <c r="G1025" t="s">
        <v>44</v>
      </c>
      <c r="H1025" t="s">
        <v>82</v>
      </c>
      <c r="I1025" t="s">
        <v>43</v>
      </c>
      <c r="J1025" t="s">
        <v>165</v>
      </c>
      <c r="K1025" t="s">
        <v>44</v>
      </c>
      <c r="L1025" t="s">
        <v>147</v>
      </c>
      <c r="M1025" t="s">
        <v>50</v>
      </c>
      <c r="N1025" t="s">
        <v>96</v>
      </c>
      <c r="O1025" t="s">
        <v>156</v>
      </c>
      <c r="P1025" t="s">
        <v>148</v>
      </c>
      <c r="Q1025">
        <v>12</v>
      </c>
      <c r="R1025">
        <v>4</v>
      </c>
      <c r="S1025">
        <v>8</v>
      </c>
      <c r="T1025">
        <v>1</v>
      </c>
      <c r="U1025">
        <v>2</v>
      </c>
      <c r="V1025">
        <v>19</v>
      </c>
      <c r="W1025">
        <v>34</v>
      </c>
      <c r="X1025">
        <v>232</v>
      </c>
      <c r="Y1025">
        <v>22645</v>
      </c>
      <c r="Z1025">
        <v>4262</v>
      </c>
      <c r="AA1025">
        <v>2</v>
      </c>
      <c r="AB1025" s="29">
        <v>44773</v>
      </c>
      <c r="AC1025" s="29">
        <v>34505</v>
      </c>
      <c r="AD1025" s="29">
        <v>43942</v>
      </c>
      <c r="AE1025" s="29"/>
      <c r="AF1025">
        <v>2</v>
      </c>
      <c r="AG1025" t="s">
        <v>157</v>
      </c>
      <c r="AI1025">
        <v>27</v>
      </c>
      <c r="AJ1025">
        <v>1</v>
      </c>
      <c r="AK1025" t="s">
        <v>170</v>
      </c>
      <c r="AL1025" t="s">
        <v>78</v>
      </c>
      <c r="AM1025">
        <f t="shared" si="75"/>
        <v>2</v>
      </c>
      <c r="AN1025">
        <f t="shared" si="76"/>
        <v>4</v>
      </c>
      <c r="AO1025" t="str">
        <f t="shared" si="77"/>
        <v/>
      </c>
      <c r="AP1025" t="str">
        <f t="shared" si="78"/>
        <v/>
      </c>
      <c r="AQ1025">
        <f t="shared" si="79"/>
        <v>2020</v>
      </c>
    </row>
    <row r="1026" spans="1:43" x14ac:dyDescent="0.35">
      <c r="A1026">
        <v>2007</v>
      </c>
      <c r="B1026">
        <v>22</v>
      </c>
      <c r="C1026" t="s">
        <v>148</v>
      </c>
      <c r="D1026" t="s">
        <v>145</v>
      </c>
      <c r="E1026" t="s">
        <v>4</v>
      </c>
      <c r="F1026" t="s">
        <v>36</v>
      </c>
      <c r="G1026" t="s">
        <v>44</v>
      </c>
      <c r="H1026" t="s">
        <v>82</v>
      </c>
      <c r="I1026" t="s">
        <v>43</v>
      </c>
      <c r="J1026" t="s">
        <v>146</v>
      </c>
      <c r="K1026" t="s">
        <v>43</v>
      </c>
      <c r="L1026" t="s">
        <v>147</v>
      </c>
      <c r="M1026" t="s">
        <v>50</v>
      </c>
      <c r="N1026" t="s">
        <v>95</v>
      </c>
      <c r="P1026" t="s">
        <v>148</v>
      </c>
      <c r="Q1026">
        <v>12</v>
      </c>
      <c r="R1026">
        <v>0</v>
      </c>
      <c r="S1026">
        <v>4</v>
      </c>
      <c r="T1026">
        <v>1</v>
      </c>
      <c r="U1026">
        <v>2</v>
      </c>
      <c r="V1026">
        <v>1</v>
      </c>
      <c r="W1026">
        <v>63</v>
      </c>
      <c r="X1026">
        <v>581</v>
      </c>
      <c r="Y1026">
        <v>17624</v>
      </c>
      <c r="Z1026">
        <v>3375</v>
      </c>
      <c r="AA1026">
        <v>2</v>
      </c>
      <c r="AB1026" s="29">
        <v>44773</v>
      </c>
      <c r="AC1026" s="29">
        <v>36801</v>
      </c>
      <c r="AD1026" s="29">
        <v>43992</v>
      </c>
      <c r="AE1026" s="29"/>
      <c r="AF1026">
        <v>2</v>
      </c>
      <c r="AG1026" t="s">
        <v>157</v>
      </c>
      <c r="AI1026">
        <v>20</v>
      </c>
      <c r="AJ1026">
        <v>1</v>
      </c>
      <c r="AK1026" t="s">
        <v>170</v>
      </c>
      <c r="AL1026" t="s">
        <v>77</v>
      </c>
      <c r="AM1026">
        <f t="shared" ref="AM1026:AM1089" si="80">ROUNDUP(MONTH(AD1026)/3,0)</f>
        <v>2</v>
      </c>
      <c r="AN1026">
        <f t="shared" ref="AN1026:AN1089" si="81">MONTH(AD1026)</f>
        <v>6</v>
      </c>
      <c r="AO1026" t="str">
        <f t="shared" ref="AO1026:AO1089" si="82">IF(C1026="Yes",ROUNDUP(MONTH(AE1026)/3,0),"")</f>
        <v/>
      </c>
      <c r="AP1026" t="str">
        <f t="shared" ref="AP1026:AP1089" si="83">IF(C1026="Yes",MONTH(AE1026),"")</f>
        <v/>
      </c>
      <c r="AQ1026">
        <f t="shared" ref="AQ1026:AQ1089" si="84">YEAR(AD1026)</f>
        <v>2020</v>
      </c>
    </row>
    <row r="1027" spans="1:43" x14ac:dyDescent="0.35">
      <c r="A1027">
        <v>511</v>
      </c>
      <c r="B1027">
        <v>22</v>
      </c>
      <c r="C1027" t="s">
        <v>148</v>
      </c>
      <c r="D1027" t="s">
        <v>145</v>
      </c>
      <c r="E1027" t="s">
        <v>4</v>
      </c>
      <c r="F1027" t="s">
        <v>38</v>
      </c>
      <c r="G1027" t="s">
        <v>41</v>
      </c>
      <c r="H1027" t="s">
        <v>81</v>
      </c>
      <c r="I1027" t="s">
        <v>43</v>
      </c>
      <c r="J1027" t="s">
        <v>146</v>
      </c>
      <c r="K1027" t="s">
        <v>42</v>
      </c>
      <c r="L1027" t="s">
        <v>147</v>
      </c>
      <c r="M1027" t="s">
        <v>49</v>
      </c>
      <c r="N1027" t="s">
        <v>160</v>
      </c>
      <c r="O1027" t="s">
        <v>41</v>
      </c>
      <c r="P1027" t="s">
        <v>148</v>
      </c>
      <c r="Q1027">
        <v>13</v>
      </c>
      <c r="R1027">
        <v>1</v>
      </c>
      <c r="S1027">
        <v>2</v>
      </c>
      <c r="T1027">
        <v>1</v>
      </c>
      <c r="U1027">
        <v>2</v>
      </c>
      <c r="V1027">
        <v>11</v>
      </c>
      <c r="W1027">
        <v>43</v>
      </c>
      <c r="X1027">
        <v>253</v>
      </c>
      <c r="Y1027">
        <v>24440</v>
      </c>
      <c r="Z1027">
        <v>2244</v>
      </c>
      <c r="AA1027">
        <v>1</v>
      </c>
      <c r="AB1027" s="29">
        <v>44773</v>
      </c>
      <c r="AC1027" s="29">
        <v>36931</v>
      </c>
      <c r="AD1027" s="29">
        <v>44111</v>
      </c>
      <c r="AE1027" s="29"/>
      <c r="AF1027">
        <v>2</v>
      </c>
      <c r="AG1027" t="s">
        <v>157</v>
      </c>
      <c r="AI1027">
        <v>20</v>
      </c>
      <c r="AJ1027">
        <v>2</v>
      </c>
      <c r="AK1027" t="s">
        <v>170</v>
      </c>
      <c r="AL1027" t="s">
        <v>77</v>
      </c>
      <c r="AM1027">
        <f t="shared" si="80"/>
        <v>4</v>
      </c>
      <c r="AN1027">
        <f t="shared" si="81"/>
        <v>10</v>
      </c>
      <c r="AO1027" t="str">
        <f t="shared" si="82"/>
        <v/>
      </c>
      <c r="AP1027" t="str">
        <f t="shared" si="83"/>
        <v/>
      </c>
      <c r="AQ1027">
        <f t="shared" si="84"/>
        <v>2020</v>
      </c>
    </row>
    <row r="1028" spans="1:43" x14ac:dyDescent="0.35">
      <c r="A1028">
        <v>1198</v>
      </c>
      <c r="B1028">
        <v>20</v>
      </c>
      <c r="C1028" t="s">
        <v>148</v>
      </c>
      <c r="D1028" t="s">
        <v>145</v>
      </c>
      <c r="E1028" t="s">
        <v>4</v>
      </c>
      <c r="F1028" t="s">
        <v>38</v>
      </c>
      <c r="G1028" t="s">
        <v>41</v>
      </c>
      <c r="H1028" t="s">
        <v>82</v>
      </c>
      <c r="I1028" t="s">
        <v>42</v>
      </c>
      <c r="J1028" t="s">
        <v>155</v>
      </c>
      <c r="K1028" t="s">
        <v>43</v>
      </c>
      <c r="L1028" t="s">
        <v>147</v>
      </c>
      <c r="M1028" t="s">
        <v>48</v>
      </c>
      <c r="N1028" t="s">
        <v>95</v>
      </c>
      <c r="P1028" t="s">
        <v>148</v>
      </c>
      <c r="Q1028">
        <v>12</v>
      </c>
      <c r="R1028">
        <v>1</v>
      </c>
      <c r="S1028">
        <v>2</v>
      </c>
      <c r="T1028">
        <v>1</v>
      </c>
      <c r="U1028">
        <v>2</v>
      </c>
      <c r="V1028">
        <v>3</v>
      </c>
      <c r="W1028">
        <v>87</v>
      </c>
      <c r="X1028">
        <v>805</v>
      </c>
      <c r="Y1028">
        <v>12828</v>
      </c>
      <c r="Z1028">
        <v>3033</v>
      </c>
      <c r="AA1028">
        <v>2</v>
      </c>
      <c r="AB1028" s="29">
        <v>44773</v>
      </c>
      <c r="AC1028" s="29">
        <v>37574</v>
      </c>
      <c r="AD1028" s="29">
        <v>44128</v>
      </c>
      <c r="AE1028" s="29"/>
      <c r="AF1028">
        <v>2</v>
      </c>
      <c r="AG1028" t="s">
        <v>157</v>
      </c>
      <c r="AI1028">
        <v>18</v>
      </c>
      <c r="AJ1028">
        <v>1</v>
      </c>
      <c r="AK1028" t="s">
        <v>170</v>
      </c>
      <c r="AL1028" t="s">
        <v>77</v>
      </c>
      <c r="AM1028">
        <f t="shared" si="80"/>
        <v>4</v>
      </c>
      <c r="AN1028">
        <f t="shared" si="81"/>
        <v>10</v>
      </c>
      <c r="AO1028" t="str">
        <f t="shared" si="82"/>
        <v/>
      </c>
      <c r="AP1028" t="str">
        <f t="shared" si="83"/>
        <v/>
      </c>
      <c r="AQ1028">
        <f t="shared" si="84"/>
        <v>2020</v>
      </c>
    </row>
    <row r="1029" spans="1:43" x14ac:dyDescent="0.35">
      <c r="A1029">
        <v>393</v>
      </c>
      <c r="B1029">
        <v>38</v>
      </c>
      <c r="C1029" t="s">
        <v>148</v>
      </c>
      <c r="D1029" t="s">
        <v>145</v>
      </c>
      <c r="E1029" t="s">
        <v>4</v>
      </c>
      <c r="F1029" t="s">
        <v>37</v>
      </c>
      <c r="G1029" t="s">
        <v>44</v>
      </c>
      <c r="H1029" t="s">
        <v>82</v>
      </c>
      <c r="I1029" t="s">
        <v>43</v>
      </c>
      <c r="J1029" t="s">
        <v>161</v>
      </c>
      <c r="K1029" t="s">
        <v>44</v>
      </c>
      <c r="L1029" t="s">
        <v>147</v>
      </c>
      <c r="M1029" t="s">
        <v>49</v>
      </c>
      <c r="N1029" t="s">
        <v>96</v>
      </c>
      <c r="O1029" t="s">
        <v>41</v>
      </c>
      <c r="P1029" t="s">
        <v>148</v>
      </c>
      <c r="Q1029">
        <v>14</v>
      </c>
      <c r="R1029">
        <v>9</v>
      </c>
      <c r="S1029">
        <v>10</v>
      </c>
      <c r="T1029">
        <v>1</v>
      </c>
      <c r="U1029">
        <v>2</v>
      </c>
      <c r="V1029">
        <v>23</v>
      </c>
      <c r="W1029">
        <v>82</v>
      </c>
      <c r="X1029">
        <v>688</v>
      </c>
      <c r="Y1029">
        <v>18899</v>
      </c>
      <c r="Z1029">
        <v>5745</v>
      </c>
      <c r="AA1029">
        <v>2</v>
      </c>
      <c r="AB1029" s="29">
        <v>44773</v>
      </c>
      <c r="AC1029" s="29">
        <v>30959</v>
      </c>
      <c r="AD1029" s="29">
        <v>44132</v>
      </c>
      <c r="AE1029" s="29"/>
      <c r="AF1029">
        <v>2</v>
      </c>
      <c r="AG1029" t="s">
        <v>149</v>
      </c>
      <c r="AI1029">
        <v>36</v>
      </c>
      <c r="AJ1029">
        <v>2</v>
      </c>
      <c r="AK1029" t="s">
        <v>170</v>
      </c>
      <c r="AL1029" t="s">
        <v>77</v>
      </c>
      <c r="AM1029">
        <f t="shared" si="80"/>
        <v>4</v>
      </c>
      <c r="AN1029">
        <f t="shared" si="81"/>
        <v>10</v>
      </c>
      <c r="AO1029" t="str">
        <f t="shared" si="82"/>
        <v/>
      </c>
      <c r="AP1029" t="str">
        <f t="shared" si="83"/>
        <v/>
      </c>
      <c r="AQ1029">
        <f t="shared" si="84"/>
        <v>2020</v>
      </c>
    </row>
    <row r="1030" spans="1:43" x14ac:dyDescent="0.35">
      <c r="A1030">
        <v>426</v>
      </c>
      <c r="B1030">
        <v>31</v>
      </c>
      <c r="C1030" t="s">
        <v>148</v>
      </c>
      <c r="D1030" t="s">
        <v>145</v>
      </c>
      <c r="E1030" t="s">
        <v>4</v>
      </c>
      <c r="F1030" t="s">
        <v>37</v>
      </c>
      <c r="G1030" t="s">
        <v>43</v>
      </c>
      <c r="H1030" t="s">
        <v>82</v>
      </c>
      <c r="I1030" t="s">
        <v>43</v>
      </c>
      <c r="J1030" t="s">
        <v>146</v>
      </c>
      <c r="K1030" t="s">
        <v>44</v>
      </c>
      <c r="L1030" t="s">
        <v>147</v>
      </c>
      <c r="M1030" t="s">
        <v>47</v>
      </c>
      <c r="N1030" t="s">
        <v>96</v>
      </c>
      <c r="O1030" t="s">
        <v>41</v>
      </c>
      <c r="P1030" t="s">
        <v>144</v>
      </c>
      <c r="Q1030">
        <v>18</v>
      </c>
      <c r="R1030">
        <v>0</v>
      </c>
      <c r="S1030">
        <v>3</v>
      </c>
      <c r="T1030">
        <v>1</v>
      </c>
      <c r="U1030">
        <v>1</v>
      </c>
      <c r="V1030">
        <v>2</v>
      </c>
      <c r="W1030">
        <v>32</v>
      </c>
      <c r="X1030">
        <v>192</v>
      </c>
      <c r="Y1030">
        <v>7747</v>
      </c>
      <c r="Z1030">
        <v>2695</v>
      </c>
      <c r="AA1030">
        <v>2</v>
      </c>
      <c r="AB1030" s="29">
        <v>44773</v>
      </c>
      <c r="AC1030" s="29">
        <v>33538</v>
      </c>
      <c r="AD1030" s="29">
        <v>44239</v>
      </c>
      <c r="AE1030" s="29"/>
      <c r="AF1030">
        <v>1</v>
      </c>
      <c r="AG1030" t="s">
        <v>149</v>
      </c>
      <c r="AI1030">
        <v>30</v>
      </c>
      <c r="AJ1030">
        <v>2</v>
      </c>
      <c r="AK1030" t="s">
        <v>170</v>
      </c>
      <c r="AL1030" t="s">
        <v>77</v>
      </c>
      <c r="AM1030">
        <f t="shared" si="80"/>
        <v>1</v>
      </c>
      <c r="AN1030">
        <f t="shared" si="81"/>
        <v>2</v>
      </c>
      <c r="AO1030" t="str">
        <f t="shared" si="82"/>
        <v/>
      </c>
      <c r="AP1030" t="str">
        <f t="shared" si="83"/>
        <v/>
      </c>
      <c r="AQ1030">
        <f t="shared" si="84"/>
        <v>2021</v>
      </c>
    </row>
    <row r="1031" spans="1:43" x14ac:dyDescent="0.35">
      <c r="A1031">
        <v>18</v>
      </c>
      <c r="B1031">
        <v>34</v>
      </c>
      <c r="C1031" t="s">
        <v>148</v>
      </c>
      <c r="D1031" t="s">
        <v>145</v>
      </c>
      <c r="E1031" t="s">
        <v>4</v>
      </c>
      <c r="F1031" t="s">
        <v>36</v>
      </c>
      <c r="G1031" t="s">
        <v>42</v>
      </c>
      <c r="H1031" t="s">
        <v>82</v>
      </c>
      <c r="I1031" t="s">
        <v>43</v>
      </c>
      <c r="J1031" t="s">
        <v>155</v>
      </c>
      <c r="K1031" t="s">
        <v>44</v>
      </c>
      <c r="L1031" t="s">
        <v>147</v>
      </c>
      <c r="M1031" t="s">
        <v>49</v>
      </c>
      <c r="N1031" t="s">
        <v>96</v>
      </c>
      <c r="O1031" t="s">
        <v>41</v>
      </c>
      <c r="P1031" t="s">
        <v>148</v>
      </c>
      <c r="Q1031">
        <v>11</v>
      </c>
      <c r="R1031">
        <v>0</v>
      </c>
      <c r="S1031">
        <v>3</v>
      </c>
      <c r="T1031">
        <v>1</v>
      </c>
      <c r="U1031">
        <v>1</v>
      </c>
      <c r="V1031">
        <v>19</v>
      </c>
      <c r="W1031">
        <v>93</v>
      </c>
      <c r="X1031">
        <v>1346</v>
      </c>
      <c r="Y1031">
        <v>8758</v>
      </c>
      <c r="Z1031">
        <v>2661</v>
      </c>
      <c r="AA1031">
        <v>2</v>
      </c>
      <c r="AB1031" s="29">
        <v>44773</v>
      </c>
      <c r="AC1031" s="29">
        <v>32712</v>
      </c>
      <c r="AD1031" s="29">
        <v>44266</v>
      </c>
      <c r="AE1031" s="29"/>
      <c r="AF1031">
        <v>1</v>
      </c>
      <c r="AG1031" t="s">
        <v>149</v>
      </c>
      <c r="AI1031">
        <v>33</v>
      </c>
      <c r="AJ1031">
        <v>1</v>
      </c>
      <c r="AK1031" t="s">
        <v>170</v>
      </c>
      <c r="AL1031" t="s">
        <v>77</v>
      </c>
      <c r="AM1031">
        <f t="shared" si="80"/>
        <v>1</v>
      </c>
      <c r="AN1031">
        <f t="shared" si="81"/>
        <v>3</v>
      </c>
      <c r="AO1031" t="str">
        <f t="shared" si="82"/>
        <v/>
      </c>
      <c r="AP1031" t="str">
        <f t="shared" si="83"/>
        <v/>
      </c>
      <c r="AQ1031">
        <f t="shared" si="84"/>
        <v>2021</v>
      </c>
    </row>
    <row r="1032" spans="1:43" x14ac:dyDescent="0.35">
      <c r="A1032">
        <v>241</v>
      </c>
      <c r="B1032">
        <v>56</v>
      </c>
      <c r="C1032" t="s">
        <v>148</v>
      </c>
      <c r="D1032" t="s">
        <v>145</v>
      </c>
      <c r="E1032" t="s">
        <v>4</v>
      </c>
      <c r="F1032" t="s">
        <v>38</v>
      </c>
      <c r="G1032" t="s">
        <v>43</v>
      </c>
      <c r="H1032" t="s">
        <v>81</v>
      </c>
      <c r="I1032" t="s">
        <v>43</v>
      </c>
      <c r="J1032" t="s">
        <v>146</v>
      </c>
      <c r="K1032" t="s">
        <v>41</v>
      </c>
      <c r="L1032" t="s">
        <v>147</v>
      </c>
      <c r="M1032" t="s">
        <v>49</v>
      </c>
      <c r="N1032" t="s">
        <v>96</v>
      </c>
      <c r="O1032" t="s">
        <v>41</v>
      </c>
      <c r="P1032" t="s">
        <v>144</v>
      </c>
      <c r="Q1032">
        <v>18</v>
      </c>
      <c r="R1032">
        <v>4</v>
      </c>
      <c r="S1032">
        <v>19</v>
      </c>
      <c r="T1032">
        <v>1</v>
      </c>
      <c r="U1032">
        <v>1</v>
      </c>
      <c r="V1032">
        <v>8</v>
      </c>
      <c r="W1032">
        <v>67</v>
      </c>
      <c r="X1032">
        <v>713</v>
      </c>
      <c r="Y1032">
        <v>13939</v>
      </c>
      <c r="Z1032">
        <v>4257</v>
      </c>
      <c r="AA1032">
        <v>3</v>
      </c>
      <c r="AB1032" s="29">
        <v>44773</v>
      </c>
      <c r="AC1032" s="29">
        <v>24556</v>
      </c>
      <c r="AD1032" s="29">
        <v>44305</v>
      </c>
      <c r="AE1032" s="29"/>
      <c r="AF1032">
        <v>1</v>
      </c>
      <c r="AG1032" t="s">
        <v>167</v>
      </c>
      <c r="AI1032">
        <v>55</v>
      </c>
      <c r="AJ1032">
        <v>1</v>
      </c>
      <c r="AK1032" t="s">
        <v>170</v>
      </c>
      <c r="AL1032" t="s">
        <v>78</v>
      </c>
      <c r="AM1032">
        <f t="shared" si="80"/>
        <v>2</v>
      </c>
      <c r="AN1032">
        <f t="shared" si="81"/>
        <v>4</v>
      </c>
      <c r="AO1032" t="str">
        <f t="shared" si="82"/>
        <v/>
      </c>
      <c r="AP1032" t="str">
        <f t="shared" si="83"/>
        <v/>
      </c>
      <c r="AQ1032">
        <f t="shared" si="84"/>
        <v>2021</v>
      </c>
    </row>
    <row r="1033" spans="1:43" x14ac:dyDescent="0.35">
      <c r="A1033">
        <v>7</v>
      </c>
      <c r="B1033">
        <v>27</v>
      </c>
      <c r="C1033" t="s">
        <v>148</v>
      </c>
      <c r="D1033" t="s">
        <v>145</v>
      </c>
      <c r="E1033" t="s">
        <v>4</v>
      </c>
      <c r="F1033" t="s">
        <v>35</v>
      </c>
      <c r="G1033" t="s">
        <v>41</v>
      </c>
      <c r="H1033" t="s">
        <v>82</v>
      </c>
      <c r="I1033" t="s">
        <v>43</v>
      </c>
      <c r="J1033" t="s">
        <v>155</v>
      </c>
      <c r="K1033" t="s">
        <v>42</v>
      </c>
      <c r="L1033" t="s">
        <v>147</v>
      </c>
      <c r="M1033" t="s">
        <v>49</v>
      </c>
      <c r="N1033" t="s">
        <v>160</v>
      </c>
      <c r="O1033" t="s">
        <v>41</v>
      </c>
      <c r="P1033" t="s">
        <v>148</v>
      </c>
      <c r="Q1033">
        <v>12</v>
      </c>
      <c r="R1033">
        <v>9</v>
      </c>
      <c r="S1033">
        <v>6</v>
      </c>
      <c r="T1033">
        <v>1</v>
      </c>
      <c r="U1033">
        <v>1</v>
      </c>
      <c r="V1033">
        <v>2</v>
      </c>
      <c r="W1033">
        <v>40</v>
      </c>
      <c r="X1033">
        <v>591</v>
      </c>
      <c r="Y1033">
        <v>16632</v>
      </c>
      <c r="Z1033">
        <v>3468</v>
      </c>
      <c r="AA1033">
        <v>3</v>
      </c>
      <c r="AB1033" s="29">
        <v>44773</v>
      </c>
      <c r="AC1033" s="29">
        <v>35156</v>
      </c>
      <c r="AD1033" s="29">
        <v>44317</v>
      </c>
      <c r="AE1033" s="29"/>
      <c r="AF1033">
        <v>1</v>
      </c>
      <c r="AG1033" t="s">
        <v>157</v>
      </c>
      <c r="AI1033">
        <v>26</v>
      </c>
      <c r="AJ1033">
        <v>1</v>
      </c>
      <c r="AK1033" t="s">
        <v>170</v>
      </c>
      <c r="AL1033" t="s">
        <v>78</v>
      </c>
      <c r="AM1033">
        <f t="shared" si="80"/>
        <v>2</v>
      </c>
      <c r="AN1033">
        <f t="shared" si="81"/>
        <v>5</v>
      </c>
      <c r="AO1033" t="str">
        <f t="shared" si="82"/>
        <v/>
      </c>
      <c r="AP1033" t="str">
        <f t="shared" si="83"/>
        <v/>
      </c>
      <c r="AQ1033">
        <f t="shared" si="84"/>
        <v>2021</v>
      </c>
    </row>
    <row r="1034" spans="1:43" x14ac:dyDescent="0.35">
      <c r="A1034">
        <v>1308</v>
      </c>
      <c r="B1034">
        <v>58</v>
      </c>
      <c r="C1034" t="s">
        <v>148</v>
      </c>
      <c r="D1034" t="s">
        <v>145</v>
      </c>
      <c r="E1034" t="s">
        <v>4</v>
      </c>
      <c r="F1034" t="s">
        <v>37</v>
      </c>
      <c r="G1034" t="s">
        <v>41</v>
      </c>
      <c r="H1034" t="s">
        <v>82</v>
      </c>
      <c r="I1034" t="s">
        <v>43</v>
      </c>
      <c r="J1034" t="s">
        <v>146</v>
      </c>
      <c r="K1034" t="s">
        <v>43</v>
      </c>
      <c r="L1034" t="s">
        <v>147</v>
      </c>
      <c r="M1034" t="s">
        <v>49</v>
      </c>
      <c r="N1034" t="s">
        <v>96</v>
      </c>
      <c r="O1034" t="s">
        <v>156</v>
      </c>
      <c r="P1034" t="s">
        <v>148</v>
      </c>
      <c r="Q1034">
        <v>12</v>
      </c>
      <c r="R1034">
        <v>1</v>
      </c>
      <c r="S1034">
        <v>2</v>
      </c>
      <c r="T1034">
        <v>1</v>
      </c>
      <c r="U1034">
        <v>1</v>
      </c>
      <c r="V1034">
        <v>23</v>
      </c>
      <c r="W1034">
        <v>88</v>
      </c>
      <c r="X1034">
        <v>848</v>
      </c>
      <c r="Y1034">
        <v>26076</v>
      </c>
      <c r="Z1034">
        <v>2372</v>
      </c>
      <c r="AA1034">
        <v>3</v>
      </c>
      <c r="AB1034" s="29">
        <v>44773</v>
      </c>
      <c r="AC1034" s="29">
        <v>23922</v>
      </c>
      <c r="AD1034" s="29">
        <v>44340</v>
      </c>
      <c r="AE1034" s="29"/>
      <c r="AF1034">
        <v>1</v>
      </c>
      <c r="AG1034" t="s">
        <v>167</v>
      </c>
      <c r="AI1034">
        <v>57</v>
      </c>
      <c r="AJ1034">
        <v>1</v>
      </c>
      <c r="AK1034" t="s">
        <v>170</v>
      </c>
      <c r="AL1034" t="s">
        <v>77</v>
      </c>
      <c r="AM1034">
        <f t="shared" si="80"/>
        <v>2</v>
      </c>
      <c r="AN1034">
        <f t="shared" si="81"/>
        <v>5</v>
      </c>
      <c r="AO1034" t="str">
        <f t="shared" si="82"/>
        <v/>
      </c>
      <c r="AP1034" t="str">
        <f t="shared" si="83"/>
        <v/>
      </c>
      <c r="AQ1034">
        <f t="shared" si="84"/>
        <v>2021</v>
      </c>
    </row>
    <row r="1035" spans="1:43" x14ac:dyDescent="0.35">
      <c r="A1035">
        <v>769</v>
      </c>
      <c r="B1035">
        <v>53</v>
      </c>
      <c r="C1035" t="s">
        <v>148</v>
      </c>
      <c r="D1035" t="s">
        <v>145</v>
      </c>
      <c r="E1035" t="s">
        <v>4</v>
      </c>
      <c r="F1035" t="s">
        <v>38</v>
      </c>
      <c r="G1035" t="s">
        <v>44</v>
      </c>
      <c r="H1035" t="s">
        <v>82</v>
      </c>
      <c r="I1035" t="s">
        <v>43</v>
      </c>
      <c r="J1035" t="s">
        <v>155</v>
      </c>
      <c r="K1035" t="s">
        <v>44</v>
      </c>
      <c r="L1035" t="s">
        <v>147</v>
      </c>
      <c r="M1035" t="s">
        <v>49</v>
      </c>
      <c r="N1035" t="s">
        <v>95</v>
      </c>
      <c r="P1035" t="s">
        <v>148</v>
      </c>
      <c r="Q1035">
        <v>17</v>
      </c>
      <c r="R1035">
        <v>2</v>
      </c>
      <c r="S1035">
        <v>19</v>
      </c>
      <c r="T1035">
        <v>1</v>
      </c>
      <c r="U1035">
        <v>1</v>
      </c>
      <c r="V1035">
        <v>6</v>
      </c>
      <c r="W1035">
        <v>86</v>
      </c>
      <c r="X1035">
        <v>346</v>
      </c>
      <c r="Y1035">
        <v>10919</v>
      </c>
      <c r="Z1035">
        <v>2450</v>
      </c>
      <c r="AA1035">
        <v>4</v>
      </c>
      <c r="AB1035" s="29">
        <v>44773</v>
      </c>
      <c r="AC1035" s="29">
        <v>25571</v>
      </c>
      <c r="AD1035" s="29">
        <v>44350</v>
      </c>
      <c r="AE1035" s="29"/>
      <c r="AF1035">
        <v>1</v>
      </c>
      <c r="AG1035" t="s">
        <v>167</v>
      </c>
      <c r="AI1035">
        <v>52</v>
      </c>
      <c r="AJ1035">
        <v>1</v>
      </c>
      <c r="AK1035" t="s">
        <v>170</v>
      </c>
      <c r="AL1035" t="s">
        <v>77</v>
      </c>
      <c r="AM1035">
        <f t="shared" si="80"/>
        <v>2</v>
      </c>
      <c r="AN1035">
        <f t="shared" si="81"/>
        <v>6</v>
      </c>
      <c r="AO1035" t="str">
        <f t="shared" si="82"/>
        <v/>
      </c>
      <c r="AP1035" t="str">
        <f t="shared" si="83"/>
        <v/>
      </c>
      <c r="AQ1035">
        <f t="shared" si="84"/>
        <v>2021</v>
      </c>
    </row>
    <row r="1036" spans="1:43" x14ac:dyDescent="0.35">
      <c r="A1036">
        <v>1623</v>
      </c>
      <c r="B1036">
        <v>21</v>
      </c>
      <c r="C1036" t="s">
        <v>148</v>
      </c>
      <c r="D1036" t="s">
        <v>145</v>
      </c>
      <c r="E1036" t="s">
        <v>4</v>
      </c>
      <c r="F1036" t="s">
        <v>35</v>
      </c>
      <c r="G1036" t="s">
        <v>43</v>
      </c>
      <c r="H1036" t="s">
        <v>82</v>
      </c>
      <c r="I1036" t="s">
        <v>43</v>
      </c>
      <c r="J1036" t="s">
        <v>146</v>
      </c>
      <c r="K1036" t="s">
        <v>44</v>
      </c>
      <c r="L1036" t="s">
        <v>147</v>
      </c>
      <c r="M1036" t="s">
        <v>49</v>
      </c>
      <c r="N1036" t="s">
        <v>95</v>
      </c>
      <c r="P1036" t="s">
        <v>148</v>
      </c>
      <c r="Q1036">
        <v>18</v>
      </c>
      <c r="R1036">
        <v>1</v>
      </c>
      <c r="S1036">
        <v>3</v>
      </c>
      <c r="T1036">
        <v>1</v>
      </c>
      <c r="U1036">
        <v>1</v>
      </c>
      <c r="V1036">
        <v>5</v>
      </c>
      <c r="W1036">
        <v>97</v>
      </c>
      <c r="X1036">
        <v>546</v>
      </c>
      <c r="Y1036">
        <v>26009</v>
      </c>
      <c r="Z1036">
        <v>3117</v>
      </c>
      <c r="AA1036">
        <v>2</v>
      </c>
      <c r="AB1036" s="29">
        <v>44773</v>
      </c>
      <c r="AC1036" s="29">
        <v>37163</v>
      </c>
      <c r="AD1036" s="29">
        <v>44351</v>
      </c>
      <c r="AE1036" s="29"/>
      <c r="AF1036">
        <v>1</v>
      </c>
      <c r="AG1036" t="s">
        <v>157</v>
      </c>
      <c r="AI1036">
        <v>20</v>
      </c>
      <c r="AJ1036">
        <v>1</v>
      </c>
      <c r="AK1036" t="s">
        <v>170</v>
      </c>
      <c r="AL1036" t="s">
        <v>77</v>
      </c>
      <c r="AM1036">
        <f t="shared" si="80"/>
        <v>2</v>
      </c>
      <c r="AN1036">
        <f t="shared" si="81"/>
        <v>6</v>
      </c>
      <c r="AO1036" t="str">
        <f t="shared" si="82"/>
        <v/>
      </c>
      <c r="AP1036" t="str">
        <f t="shared" si="83"/>
        <v/>
      </c>
      <c r="AQ1036">
        <f t="shared" si="84"/>
        <v>2021</v>
      </c>
    </row>
    <row r="1037" spans="1:43" x14ac:dyDescent="0.35">
      <c r="A1037">
        <v>1022</v>
      </c>
      <c r="B1037">
        <v>48</v>
      </c>
      <c r="C1037" t="s">
        <v>148</v>
      </c>
      <c r="D1037" t="s">
        <v>145</v>
      </c>
      <c r="E1037" t="s">
        <v>4</v>
      </c>
      <c r="F1037" t="s">
        <v>38</v>
      </c>
      <c r="G1037" t="s">
        <v>41</v>
      </c>
      <c r="H1037" t="s">
        <v>82</v>
      </c>
      <c r="I1037" t="s">
        <v>42</v>
      </c>
      <c r="J1037" t="s">
        <v>161</v>
      </c>
      <c r="K1037" t="s">
        <v>43</v>
      </c>
      <c r="L1037" t="s">
        <v>147</v>
      </c>
      <c r="M1037" t="s">
        <v>49</v>
      </c>
      <c r="N1037" t="s">
        <v>95</v>
      </c>
      <c r="P1037" t="s">
        <v>148</v>
      </c>
      <c r="Q1037">
        <v>13</v>
      </c>
      <c r="R1037">
        <v>2</v>
      </c>
      <c r="S1037">
        <v>19</v>
      </c>
      <c r="T1037">
        <v>1</v>
      </c>
      <c r="U1037">
        <v>1</v>
      </c>
      <c r="V1037">
        <v>6</v>
      </c>
      <c r="W1037">
        <v>97</v>
      </c>
      <c r="X1037">
        <v>277</v>
      </c>
      <c r="Y1037">
        <v>13119</v>
      </c>
      <c r="Z1037">
        <v>4240</v>
      </c>
      <c r="AA1037">
        <v>0</v>
      </c>
      <c r="AB1037" s="29">
        <v>44773</v>
      </c>
      <c r="AC1037" s="29">
        <v>27264</v>
      </c>
      <c r="AD1037" s="29">
        <v>44353</v>
      </c>
      <c r="AE1037" s="29"/>
      <c r="AF1037">
        <v>1</v>
      </c>
      <c r="AG1037" t="s">
        <v>153</v>
      </c>
      <c r="AI1037">
        <v>47</v>
      </c>
      <c r="AJ1037">
        <v>1</v>
      </c>
      <c r="AK1037" t="s">
        <v>170</v>
      </c>
      <c r="AL1037" t="s">
        <v>77</v>
      </c>
      <c r="AM1037">
        <f t="shared" si="80"/>
        <v>2</v>
      </c>
      <c r="AN1037">
        <f t="shared" si="81"/>
        <v>6</v>
      </c>
      <c r="AO1037" t="str">
        <f t="shared" si="82"/>
        <v/>
      </c>
      <c r="AP1037" t="str">
        <f t="shared" si="83"/>
        <v/>
      </c>
      <c r="AQ1037">
        <f t="shared" si="84"/>
        <v>2021</v>
      </c>
    </row>
    <row r="1038" spans="1:43" x14ac:dyDescent="0.35">
      <c r="A1038">
        <v>1674</v>
      </c>
      <c r="B1038">
        <v>49</v>
      </c>
      <c r="C1038" t="s">
        <v>148</v>
      </c>
      <c r="D1038" t="s">
        <v>145</v>
      </c>
      <c r="E1038" t="s">
        <v>4</v>
      </c>
      <c r="F1038" t="s">
        <v>38</v>
      </c>
      <c r="G1038" t="s">
        <v>44</v>
      </c>
      <c r="H1038" t="s">
        <v>81</v>
      </c>
      <c r="I1038" t="s">
        <v>43</v>
      </c>
      <c r="J1038" t="s">
        <v>155</v>
      </c>
      <c r="K1038" t="s">
        <v>41</v>
      </c>
      <c r="L1038" t="s">
        <v>147</v>
      </c>
      <c r="M1038" t="s">
        <v>48</v>
      </c>
      <c r="N1038" t="s">
        <v>96</v>
      </c>
      <c r="O1038" t="s">
        <v>41</v>
      </c>
      <c r="P1038" t="s">
        <v>144</v>
      </c>
      <c r="Q1038">
        <v>16</v>
      </c>
      <c r="R1038">
        <v>4</v>
      </c>
      <c r="S1038">
        <v>17</v>
      </c>
      <c r="T1038">
        <v>1</v>
      </c>
      <c r="U1038">
        <v>1</v>
      </c>
      <c r="V1038">
        <v>16</v>
      </c>
      <c r="W1038">
        <v>74</v>
      </c>
      <c r="X1038">
        <v>464</v>
      </c>
      <c r="Y1038">
        <v>24941</v>
      </c>
      <c r="Z1038">
        <v>2587</v>
      </c>
      <c r="AA1038">
        <v>2</v>
      </c>
      <c r="AB1038" s="29">
        <v>44773</v>
      </c>
      <c r="AC1038" s="29">
        <v>27110</v>
      </c>
      <c r="AD1038" s="29">
        <v>44360</v>
      </c>
      <c r="AE1038" s="29"/>
      <c r="AF1038">
        <v>1</v>
      </c>
      <c r="AG1038" t="s">
        <v>153</v>
      </c>
      <c r="AI1038">
        <v>48</v>
      </c>
      <c r="AJ1038">
        <v>1</v>
      </c>
      <c r="AK1038" t="s">
        <v>170</v>
      </c>
      <c r="AL1038" t="s">
        <v>77</v>
      </c>
      <c r="AM1038">
        <f t="shared" si="80"/>
        <v>2</v>
      </c>
      <c r="AN1038">
        <f t="shared" si="81"/>
        <v>6</v>
      </c>
      <c r="AO1038" t="str">
        <f t="shared" si="82"/>
        <v/>
      </c>
      <c r="AP1038" t="str">
        <f t="shared" si="83"/>
        <v/>
      </c>
      <c r="AQ1038">
        <f t="shared" si="84"/>
        <v>2021</v>
      </c>
    </row>
    <row r="1039" spans="1:43" x14ac:dyDescent="0.35">
      <c r="A1039">
        <v>1903</v>
      </c>
      <c r="B1039">
        <v>44</v>
      </c>
      <c r="C1039" t="s">
        <v>148</v>
      </c>
      <c r="D1039" t="s">
        <v>145</v>
      </c>
      <c r="E1039" t="s">
        <v>4</v>
      </c>
      <c r="F1039" t="s">
        <v>37</v>
      </c>
      <c r="G1039" t="s">
        <v>42</v>
      </c>
      <c r="H1039" t="s">
        <v>82</v>
      </c>
      <c r="I1039" t="s">
        <v>44</v>
      </c>
      <c r="J1039" t="s">
        <v>161</v>
      </c>
      <c r="K1039" t="s">
        <v>41</v>
      </c>
      <c r="L1039" t="s">
        <v>147</v>
      </c>
      <c r="M1039" t="s">
        <v>49</v>
      </c>
      <c r="N1039" t="s">
        <v>160</v>
      </c>
      <c r="O1039" t="s">
        <v>41</v>
      </c>
      <c r="P1039" t="s">
        <v>148</v>
      </c>
      <c r="Q1039">
        <v>15</v>
      </c>
      <c r="R1039">
        <v>2</v>
      </c>
      <c r="S1039">
        <v>10</v>
      </c>
      <c r="T1039">
        <v>1</v>
      </c>
      <c r="U1039">
        <v>1</v>
      </c>
      <c r="V1039">
        <v>1</v>
      </c>
      <c r="W1039">
        <v>78</v>
      </c>
      <c r="X1039">
        <v>170</v>
      </c>
      <c r="Y1039">
        <v>9364</v>
      </c>
      <c r="Z1039">
        <v>5033</v>
      </c>
      <c r="AA1039">
        <v>5</v>
      </c>
      <c r="AB1039" s="29">
        <v>44773</v>
      </c>
      <c r="AC1039" s="29">
        <v>28929</v>
      </c>
      <c r="AD1039" s="29">
        <v>44363</v>
      </c>
      <c r="AE1039" s="29"/>
      <c r="AF1039">
        <v>1</v>
      </c>
      <c r="AG1039" t="s">
        <v>153</v>
      </c>
      <c r="AI1039">
        <v>43</v>
      </c>
      <c r="AJ1039">
        <v>2</v>
      </c>
      <c r="AK1039" t="s">
        <v>170</v>
      </c>
      <c r="AL1039" t="s">
        <v>78</v>
      </c>
      <c r="AM1039">
        <f t="shared" si="80"/>
        <v>2</v>
      </c>
      <c r="AN1039">
        <f t="shared" si="81"/>
        <v>6</v>
      </c>
      <c r="AO1039" t="str">
        <f t="shared" si="82"/>
        <v/>
      </c>
      <c r="AP1039" t="str">
        <f t="shared" si="83"/>
        <v/>
      </c>
      <c r="AQ1039">
        <f t="shared" si="84"/>
        <v>2021</v>
      </c>
    </row>
    <row r="1040" spans="1:43" x14ac:dyDescent="0.35">
      <c r="A1040">
        <v>1580</v>
      </c>
      <c r="B1040">
        <v>34</v>
      </c>
      <c r="C1040" t="s">
        <v>148</v>
      </c>
      <c r="D1040" t="s">
        <v>145</v>
      </c>
      <c r="E1040" t="s">
        <v>4</v>
      </c>
      <c r="F1040" t="s">
        <v>37</v>
      </c>
      <c r="G1040" t="s">
        <v>42</v>
      </c>
      <c r="H1040" t="s">
        <v>82</v>
      </c>
      <c r="I1040" t="s">
        <v>43</v>
      </c>
      <c r="J1040" t="s">
        <v>146</v>
      </c>
      <c r="K1040" t="s">
        <v>44</v>
      </c>
      <c r="L1040" t="s">
        <v>147</v>
      </c>
      <c r="M1040" t="s">
        <v>48</v>
      </c>
      <c r="N1040" t="s">
        <v>160</v>
      </c>
      <c r="O1040" t="s">
        <v>41</v>
      </c>
      <c r="P1040" t="s">
        <v>148</v>
      </c>
      <c r="Q1040">
        <v>17</v>
      </c>
      <c r="R1040">
        <v>9</v>
      </c>
      <c r="S1040">
        <v>9</v>
      </c>
      <c r="T1040">
        <v>1</v>
      </c>
      <c r="U1040">
        <v>1</v>
      </c>
      <c r="V1040">
        <v>1</v>
      </c>
      <c r="W1040">
        <v>45</v>
      </c>
      <c r="X1040">
        <v>1351</v>
      </c>
      <c r="Y1040">
        <v>13008</v>
      </c>
      <c r="Z1040">
        <v>5484</v>
      </c>
      <c r="AA1040">
        <v>3</v>
      </c>
      <c r="AB1040" s="29">
        <v>44773</v>
      </c>
      <c r="AC1040" s="29">
        <v>32615</v>
      </c>
      <c r="AD1040" s="29">
        <v>44368</v>
      </c>
      <c r="AE1040" s="29"/>
      <c r="AF1040">
        <v>1</v>
      </c>
      <c r="AG1040" t="s">
        <v>149</v>
      </c>
      <c r="AI1040">
        <v>33</v>
      </c>
      <c r="AJ1040">
        <v>1</v>
      </c>
      <c r="AK1040" t="s">
        <v>170</v>
      </c>
      <c r="AL1040" t="s">
        <v>78</v>
      </c>
      <c r="AM1040">
        <f t="shared" si="80"/>
        <v>2</v>
      </c>
      <c r="AN1040">
        <f t="shared" si="81"/>
        <v>6</v>
      </c>
      <c r="AO1040" t="str">
        <f t="shared" si="82"/>
        <v/>
      </c>
      <c r="AP1040" t="str">
        <f t="shared" si="83"/>
        <v/>
      </c>
      <c r="AQ1040">
        <f t="shared" si="84"/>
        <v>2021</v>
      </c>
    </row>
    <row r="1041" spans="1:43" x14ac:dyDescent="0.35">
      <c r="A1041">
        <v>1025</v>
      </c>
      <c r="B1041">
        <v>41</v>
      </c>
      <c r="C1041" t="s">
        <v>148</v>
      </c>
      <c r="D1041" t="s">
        <v>145</v>
      </c>
      <c r="E1041" t="s">
        <v>4</v>
      </c>
      <c r="F1041" t="s">
        <v>36</v>
      </c>
      <c r="G1041" t="s">
        <v>44</v>
      </c>
      <c r="H1041" t="s">
        <v>81</v>
      </c>
      <c r="I1041" t="s">
        <v>43</v>
      </c>
      <c r="J1041" t="s">
        <v>165</v>
      </c>
      <c r="K1041" t="s">
        <v>43</v>
      </c>
      <c r="L1041" t="s">
        <v>147</v>
      </c>
      <c r="M1041" t="s">
        <v>49</v>
      </c>
      <c r="N1041" t="s">
        <v>95</v>
      </c>
      <c r="P1041" t="s">
        <v>148</v>
      </c>
      <c r="Q1041">
        <v>14</v>
      </c>
      <c r="R1041">
        <v>6</v>
      </c>
      <c r="S1041">
        <v>8</v>
      </c>
      <c r="T1041">
        <v>1</v>
      </c>
      <c r="U1041">
        <v>1</v>
      </c>
      <c r="V1041">
        <v>7</v>
      </c>
      <c r="W1041">
        <v>42</v>
      </c>
      <c r="X1041">
        <v>549</v>
      </c>
      <c r="Y1041">
        <v>23371</v>
      </c>
      <c r="Z1041">
        <v>5003</v>
      </c>
      <c r="AA1041">
        <v>6</v>
      </c>
      <c r="AB1041" s="29">
        <v>44773</v>
      </c>
      <c r="AC1041" s="29">
        <v>30049</v>
      </c>
      <c r="AD1041" s="29">
        <v>44378</v>
      </c>
      <c r="AE1041" s="29"/>
      <c r="AF1041">
        <v>1</v>
      </c>
      <c r="AG1041" t="s">
        <v>153</v>
      </c>
      <c r="AI1041">
        <v>40</v>
      </c>
      <c r="AJ1041">
        <v>1</v>
      </c>
      <c r="AK1041" t="s">
        <v>170</v>
      </c>
      <c r="AL1041" t="s">
        <v>77</v>
      </c>
      <c r="AM1041">
        <f t="shared" si="80"/>
        <v>3</v>
      </c>
      <c r="AN1041">
        <f t="shared" si="81"/>
        <v>7</v>
      </c>
      <c r="AO1041" t="str">
        <f t="shared" si="82"/>
        <v/>
      </c>
      <c r="AP1041" t="str">
        <f t="shared" si="83"/>
        <v/>
      </c>
      <c r="AQ1041">
        <f t="shared" si="84"/>
        <v>2021</v>
      </c>
    </row>
    <row r="1042" spans="1:43" x14ac:dyDescent="0.35">
      <c r="A1042">
        <v>1856</v>
      </c>
      <c r="B1042">
        <v>47</v>
      </c>
      <c r="C1042" t="s">
        <v>148</v>
      </c>
      <c r="D1042" t="s">
        <v>145</v>
      </c>
      <c r="E1042" t="s">
        <v>4</v>
      </c>
      <c r="F1042" t="s">
        <v>37</v>
      </c>
      <c r="G1042" t="s">
        <v>42</v>
      </c>
      <c r="H1042" t="s">
        <v>81</v>
      </c>
      <c r="I1042" t="s">
        <v>43</v>
      </c>
      <c r="J1042" t="s">
        <v>155</v>
      </c>
      <c r="K1042" t="s">
        <v>43</v>
      </c>
      <c r="L1042" t="s">
        <v>147</v>
      </c>
      <c r="M1042" t="s">
        <v>49</v>
      </c>
      <c r="N1042" t="s">
        <v>95</v>
      </c>
      <c r="P1042" t="s">
        <v>148</v>
      </c>
      <c r="Q1042">
        <v>12</v>
      </c>
      <c r="R1042">
        <v>4</v>
      </c>
      <c r="S1042">
        <v>7</v>
      </c>
      <c r="T1042">
        <v>1</v>
      </c>
      <c r="U1042">
        <v>0</v>
      </c>
      <c r="V1042">
        <v>9</v>
      </c>
      <c r="W1042">
        <v>64</v>
      </c>
      <c r="X1042">
        <v>207</v>
      </c>
      <c r="Y1042">
        <v>5411</v>
      </c>
      <c r="Z1042">
        <v>2105</v>
      </c>
      <c r="AA1042">
        <v>2</v>
      </c>
      <c r="AB1042" s="29">
        <v>44773</v>
      </c>
      <c r="AC1042" s="29">
        <v>27935</v>
      </c>
      <c r="AD1042" s="29">
        <v>44388</v>
      </c>
      <c r="AE1042" s="29"/>
      <c r="AF1042">
        <v>1</v>
      </c>
      <c r="AG1042" t="s">
        <v>153</v>
      </c>
      <c r="AI1042">
        <v>46</v>
      </c>
      <c r="AJ1042">
        <v>1</v>
      </c>
      <c r="AK1042" t="s">
        <v>170</v>
      </c>
      <c r="AL1042" t="s">
        <v>77</v>
      </c>
      <c r="AM1042">
        <f t="shared" si="80"/>
        <v>3</v>
      </c>
      <c r="AN1042">
        <f t="shared" si="81"/>
        <v>7</v>
      </c>
      <c r="AO1042" t="str">
        <f t="shared" si="82"/>
        <v/>
      </c>
      <c r="AP1042" t="str">
        <f t="shared" si="83"/>
        <v/>
      </c>
      <c r="AQ1042">
        <f t="shared" si="84"/>
        <v>2021</v>
      </c>
    </row>
    <row r="1043" spans="1:43" x14ac:dyDescent="0.35">
      <c r="A1043">
        <v>1766</v>
      </c>
      <c r="B1043">
        <v>38</v>
      </c>
      <c r="C1043" t="s">
        <v>148</v>
      </c>
      <c r="D1043" t="s">
        <v>145</v>
      </c>
      <c r="E1043" t="s">
        <v>4</v>
      </c>
      <c r="F1043" t="s">
        <v>38</v>
      </c>
      <c r="G1043" t="s">
        <v>42</v>
      </c>
      <c r="H1043" t="s">
        <v>82</v>
      </c>
      <c r="I1043" t="s">
        <v>41</v>
      </c>
      <c r="J1043" t="s">
        <v>161</v>
      </c>
      <c r="K1043" t="s">
        <v>44</v>
      </c>
      <c r="L1043" t="s">
        <v>147</v>
      </c>
      <c r="M1043" t="s">
        <v>49</v>
      </c>
      <c r="N1043" t="s">
        <v>160</v>
      </c>
      <c r="O1043" t="s">
        <v>41</v>
      </c>
      <c r="P1043" t="s">
        <v>144</v>
      </c>
      <c r="Q1043">
        <v>16</v>
      </c>
      <c r="R1043">
        <v>3</v>
      </c>
      <c r="S1043">
        <v>15</v>
      </c>
      <c r="T1043">
        <v>1</v>
      </c>
      <c r="U1043">
        <v>0</v>
      </c>
      <c r="V1043">
        <v>18</v>
      </c>
      <c r="W1043">
        <v>60</v>
      </c>
      <c r="X1043">
        <v>833</v>
      </c>
      <c r="Y1043">
        <v>24539</v>
      </c>
      <c r="Z1043">
        <v>5811</v>
      </c>
      <c r="AA1043">
        <v>2</v>
      </c>
      <c r="AB1043" s="29">
        <v>44773</v>
      </c>
      <c r="AC1043" s="29">
        <v>31210</v>
      </c>
      <c r="AD1043" s="29">
        <v>44500</v>
      </c>
      <c r="AE1043" s="29"/>
      <c r="AF1043">
        <v>1</v>
      </c>
      <c r="AG1043" t="s">
        <v>149</v>
      </c>
      <c r="AI1043">
        <v>37</v>
      </c>
      <c r="AJ1043">
        <v>1</v>
      </c>
      <c r="AK1043" t="s">
        <v>170</v>
      </c>
      <c r="AL1043" t="s">
        <v>77</v>
      </c>
      <c r="AM1043">
        <f t="shared" si="80"/>
        <v>4</v>
      </c>
      <c r="AN1043">
        <f t="shared" si="81"/>
        <v>10</v>
      </c>
      <c r="AO1043" t="str">
        <f t="shared" si="82"/>
        <v/>
      </c>
      <c r="AP1043" t="str">
        <f t="shared" si="83"/>
        <v/>
      </c>
      <c r="AQ1043">
        <f t="shared" si="84"/>
        <v>2021</v>
      </c>
    </row>
    <row r="1044" spans="1:43" x14ac:dyDescent="0.35">
      <c r="A1044">
        <v>1578</v>
      </c>
      <c r="B1044">
        <v>55</v>
      </c>
      <c r="C1044" t="s">
        <v>148</v>
      </c>
      <c r="D1044" t="s">
        <v>145</v>
      </c>
      <c r="E1044" t="s">
        <v>158</v>
      </c>
      <c r="F1044" t="s">
        <v>34</v>
      </c>
      <c r="G1044" t="s">
        <v>43</v>
      </c>
      <c r="H1044" t="s">
        <v>82</v>
      </c>
      <c r="I1044" t="s">
        <v>42</v>
      </c>
      <c r="J1044" t="s">
        <v>169</v>
      </c>
      <c r="K1044" t="s">
        <v>44</v>
      </c>
      <c r="L1044" t="s">
        <v>152</v>
      </c>
      <c r="M1044" t="s">
        <v>49</v>
      </c>
      <c r="N1044" t="s">
        <v>160</v>
      </c>
      <c r="O1044" t="s">
        <v>41</v>
      </c>
      <c r="P1044" t="s">
        <v>148</v>
      </c>
      <c r="Q1044">
        <v>21</v>
      </c>
      <c r="R1044">
        <v>1</v>
      </c>
      <c r="S1044">
        <v>36</v>
      </c>
      <c r="T1044">
        <v>3</v>
      </c>
      <c r="U1044">
        <v>3</v>
      </c>
      <c r="V1044">
        <v>26</v>
      </c>
      <c r="W1044">
        <v>60</v>
      </c>
      <c r="X1044">
        <v>685</v>
      </c>
      <c r="Y1044">
        <v>23037</v>
      </c>
      <c r="Z1044">
        <v>19586</v>
      </c>
      <c r="AA1044">
        <v>3</v>
      </c>
      <c r="AB1044" s="29">
        <v>44773</v>
      </c>
      <c r="AC1044" s="29">
        <v>24724</v>
      </c>
      <c r="AD1044" s="29">
        <v>43586</v>
      </c>
      <c r="AE1044" s="29"/>
      <c r="AF1044">
        <v>3</v>
      </c>
      <c r="AG1044" t="s">
        <v>167</v>
      </c>
      <c r="AI1044">
        <v>52</v>
      </c>
      <c r="AJ1044">
        <v>1</v>
      </c>
      <c r="AK1044" t="s">
        <v>170</v>
      </c>
      <c r="AL1044" t="s">
        <v>77</v>
      </c>
      <c r="AM1044">
        <f t="shared" si="80"/>
        <v>2</v>
      </c>
      <c r="AN1044">
        <f t="shared" si="81"/>
        <v>5</v>
      </c>
      <c r="AO1044" t="str">
        <f t="shared" si="82"/>
        <v/>
      </c>
      <c r="AP1044" t="str">
        <f t="shared" si="83"/>
        <v/>
      </c>
      <c r="AQ1044">
        <f t="shared" si="84"/>
        <v>2019</v>
      </c>
    </row>
    <row r="1045" spans="1:43" x14ac:dyDescent="0.35">
      <c r="A1045">
        <v>1282</v>
      </c>
      <c r="B1045">
        <v>51</v>
      </c>
      <c r="C1045" t="s">
        <v>148</v>
      </c>
      <c r="D1045" t="s">
        <v>151</v>
      </c>
      <c r="E1045" t="s">
        <v>158</v>
      </c>
      <c r="F1045" t="s">
        <v>38</v>
      </c>
      <c r="G1045" t="s">
        <v>44</v>
      </c>
      <c r="H1045" t="s">
        <v>82</v>
      </c>
      <c r="I1045" t="s">
        <v>43</v>
      </c>
      <c r="J1045" t="s">
        <v>169</v>
      </c>
      <c r="K1045" t="s">
        <v>42</v>
      </c>
      <c r="L1045" t="s">
        <v>152</v>
      </c>
      <c r="M1045" t="s">
        <v>48</v>
      </c>
      <c r="N1045" t="s">
        <v>96</v>
      </c>
      <c r="O1045" t="s">
        <v>41</v>
      </c>
      <c r="P1045" t="s">
        <v>144</v>
      </c>
      <c r="Q1045">
        <v>24</v>
      </c>
      <c r="R1045">
        <v>4</v>
      </c>
      <c r="S1045">
        <v>31</v>
      </c>
      <c r="T1045">
        <v>11</v>
      </c>
      <c r="U1045">
        <v>10</v>
      </c>
      <c r="V1045">
        <v>9</v>
      </c>
      <c r="W1045">
        <v>83</v>
      </c>
      <c r="X1045">
        <v>237</v>
      </c>
      <c r="Y1045">
        <v>19196</v>
      </c>
      <c r="Z1045">
        <v>19847</v>
      </c>
      <c r="AA1045">
        <v>5</v>
      </c>
      <c r="AB1045" s="29">
        <v>44773</v>
      </c>
      <c r="AC1045" s="29">
        <v>26189</v>
      </c>
      <c r="AD1045" s="29">
        <v>34499</v>
      </c>
      <c r="AE1045" s="29"/>
      <c r="AF1045">
        <v>28</v>
      </c>
      <c r="AG1045" t="s">
        <v>167</v>
      </c>
      <c r="AI1045">
        <v>23</v>
      </c>
      <c r="AJ1045">
        <v>1</v>
      </c>
      <c r="AK1045" t="s">
        <v>163</v>
      </c>
      <c r="AL1045" t="s">
        <v>77</v>
      </c>
      <c r="AM1045">
        <f t="shared" si="80"/>
        <v>2</v>
      </c>
      <c r="AN1045">
        <f t="shared" si="81"/>
        <v>6</v>
      </c>
      <c r="AO1045" t="str">
        <f t="shared" si="82"/>
        <v/>
      </c>
      <c r="AP1045" t="str">
        <f t="shared" si="83"/>
        <v/>
      </c>
      <c r="AQ1045">
        <f t="shared" si="84"/>
        <v>1994</v>
      </c>
    </row>
    <row r="1046" spans="1:43" x14ac:dyDescent="0.35">
      <c r="A1046">
        <v>1204</v>
      </c>
      <c r="B1046">
        <v>46</v>
      </c>
      <c r="C1046" t="s">
        <v>148</v>
      </c>
      <c r="D1046" t="s">
        <v>145</v>
      </c>
      <c r="E1046" t="s">
        <v>158</v>
      </c>
      <c r="F1046" t="s">
        <v>38</v>
      </c>
      <c r="G1046" t="s">
        <v>43</v>
      </c>
      <c r="H1046" t="s">
        <v>81</v>
      </c>
      <c r="I1046" t="s">
        <v>43</v>
      </c>
      <c r="J1046" t="s">
        <v>169</v>
      </c>
      <c r="K1046" t="s">
        <v>41</v>
      </c>
      <c r="L1046" t="s">
        <v>152</v>
      </c>
      <c r="M1046" t="s">
        <v>49</v>
      </c>
      <c r="N1046" t="s">
        <v>160</v>
      </c>
      <c r="P1046" t="s">
        <v>148</v>
      </c>
      <c r="Q1046">
        <v>23</v>
      </c>
      <c r="R1046">
        <v>8</v>
      </c>
      <c r="S1046">
        <v>28</v>
      </c>
      <c r="T1046">
        <v>15</v>
      </c>
      <c r="U1046">
        <v>9</v>
      </c>
      <c r="V1046">
        <v>2</v>
      </c>
      <c r="W1046">
        <v>69</v>
      </c>
      <c r="X1046">
        <v>1402</v>
      </c>
      <c r="Y1046">
        <v>24097</v>
      </c>
      <c r="Z1046">
        <v>17048</v>
      </c>
      <c r="AA1046">
        <v>2</v>
      </c>
      <c r="AB1046" s="29">
        <v>44773</v>
      </c>
      <c r="AC1046" s="29">
        <v>28025</v>
      </c>
      <c r="AD1046" s="29">
        <v>35612</v>
      </c>
      <c r="AE1046" s="29"/>
      <c r="AF1046">
        <v>25</v>
      </c>
      <c r="AG1046" t="s">
        <v>153</v>
      </c>
      <c r="AI1046">
        <v>21</v>
      </c>
      <c r="AJ1046">
        <v>1</v>
      </c>
      <c r="AK1046" t="s">
        <v>163</v>
      </c>
      <c r="AL1046" t="s">
        <v>77</v>
      </c>
      <c r="AM1046">
        <f t="shared" si="80"/>
        <v>3</v>
      </c>
      <c r="AN1046">
        <f t="shared" si="81"/>
        <v>7</v>
      </c>
      <c r="AO1046" t="str">
        <f t="shared" si="82"/>
        <v/>
      </c>
      <c r="AP1046" t="str">
        <f t="shared" si="83"/>
        <v/>
      </c>
      <c r="AQ1046">
        <f t="shared" si="84"/>
        <v>1997</v>
      </c>
    </row>
    <row r="1047" spans="1:43" x14ac:dyDescent="0.35">
      <c r="A1047">
        <v>244</v>
      </c>
      <c r="B1047">
        <v>46</v>
      </c>
      <c r="C1047" t="s">
        <v>148</v>
      </c>
      <c r="D1047" t="s">
        <v>145</v>
      </c>
      <c r="E1047" t="s">
        <v>158</v>
      </c>
      <c r="F1047" t="s">
        <v>36</v>
      </c>
      <c r="G1047" t="s">
        <v>42</v>
      </c>
      <c r="H1047" t="s">
        <v>81</v>
      </c>
      <c r="I1047" t="s">
        <v>43</v>
      </c>
      <c r="J1047" t="s">
        <v>159</v>
      </c>
      <c r="K1047" t="s">
        <v>41</v>
      </c>
      <c r="L1047" t="s">
        <v>152</v>
      </c>
      <c r="M1047" t="s">
        <v>49</v>
      </c>
      <c r="N1047" t="s">
        <v>96</v>
      </c>
      <c r="O1047" t="s">
        <v>43</v>
      </c>
      <c r="P1047" t="s">
        <v>148</v>
      </c>
      <c r="Q1047">
        <v>25</v>
      </c>
      <c r="R1047">
        <v>1</v>
      </c>
      <c r="S1047">
        <v>24</v>
      </c>
      <c r="T1047">
        <v>15</v>
      </c>
      <c r="U1047">
        <v>7</v>
      </c>
      <c r="V1047">
        <v>1</v>
      </c>
      <c r="W1047">
        <v>92</v>
      </c>
      <c r="X1047">
        <v>526</v>
      </c>
      <c r="Y1047">
        <v>2137</v>
      </c>
      <c r="Z1047">
        <v>10453</v>
      </c>
      <c r="AA1047">
        <v>2</v>
      </c>
      <c r="AB1047" s="29">
        <v>44773</v>
      </c>
      <c r="AC1047" s="29">
        <v>28020</v>
      </c>
      <c r="AD1047" s="29">
        <v>36345</v>
      </c>
      <c r="AE1047" s="29"/>
      <c r="AF1047">
        <v>23</v>
      </c>
      <c r="AG1047" t="s">
        <v>153</v>
      </c>
      <c r="AI1047">
        <v>23</v>
      </c>
      <c r="AJ1047">
        <v>1</v>
      </c>
      <c r="AK1047" t="s">
        <v>163</v>
      </c>
      <c r="AL1047" t="s">
        <v>77</v>
      </c>
      <c r="AM1047">
        <f t="shared" si="80"/>
        <v>3</v>
      </c>
      <c r="AN1047">
        <f t="shared" si="81"/>
        <v>7</v>
      </c>
      <c r="AO1047" t="str">
        <f t="shared" si="82"/>
        <v/>
      </c>
      <c r="AP1047" t="str">
        <f t="shared" si="83"/>
        <v/>
      </c>
      <c r="AQ1047">
        <f t="shared" si="84"/>
        <v>1999</v>
      </c>
    </row>
    <row r="1048" spans="1:43" x14ac:dyDescent="0.35">
      <c r="A1048">
        <v>1712</v>
      </c>
      <c r="B1048">
        <v>45</v>
      </c>
      <c r="C1048" t="s">
        <v>148</v>
      </c>
      <c r="D1048" t="s">
        <v>164</v>
      </c>
      <c r="E1048" t="s">
        <v>4</v>
      </c>
      <c r="F1048" t="s">
        <v>35</v>
      </c>
      <c r="G1048" t="s">
        <v>43</v>
      </c>
      <c r="H1048" t="s">
        <v>82</v>
      </c>
      <c r="I1048" t="s">
        <v>42</v>
      </c>
      <c r="J1048" t="s">
        <v>161</v>
      </c>
      <c r="K1048" t="s">
        <v>43</v>
      </c>
      <c r="L1048" t="s">
        <v>152</v>
      </c>
      <c r="M1048" t="s">
        <v>48</v>
      </c>
      <c r="N1048" t="s">
        <v>160</v>
      </c>
      <c r="O1048" t="s">
        <v>41</v>
      </c>
      <c r="P1048" t="s">
        <v>148</v>
      </c>
      <c r="Q1048">
        <v>23</v>
      </c>
      <c r="R1048">
        <v>3</v>
      </c>
      <c r="S1048">
        <v>25</v>
      </c>
      <c r="T1048">
        <v>14</v>
      </c>
      <c r="U1048">
        <v>4</v>
      </c>
      <c r="V1048">
        <v>1</v>
      </c>
      <c r="W1048">
        <v>74</v>
      </c>
      <c r="X1048">
        <v>1238</v>
      </c>
      <c r="Y1048">
        <v>3395</v>
      </c>
      <c r="Z1048">
        <v>10748</v>
      </c>
      <c r="AA1048">
        <v>3</v>
      </c>
      <c r="AB1048" s="29">
        <v>44773</v>
      </c>
      <c r="AC1048" s="29">
        <v>28626</v>
      </c>
      <c r="AD1048" s="29">
        <v>36676</v>
      </c>
      <c r="AE1048" s="29"/>
      <c r="AF1048">
        <v>22</v>
      </c>
      <c r="AG1048" t="s">
        <v>153</v>
      </c>
      <c r="AI1048">
        <v>23</v>
      </c>
      <c r="AJ1048">
        <v>1</v>
      </c>
      <c r="AK1048" t="s">
        <v>163</v>
      </c>
      <c r="AL1048" t="s">
        <v>77</v>
      </c>
      <c r="AM1048">
        <f t="shared" si="80"/>
        <v>2</v>
      </c>
      <c r="AN1048">
        <f t="shared" si="81"/>
        <v>5</v>
      </c>
      <c r="AO1048" t="str">
        <f t="shared" si="82"/>
        <v/>
      </c>
      <c r="AP1048" t="str">
        <f t="shared" si="83"/>
        <v/>
      </c>
      <c r="AQ1048">
        <f t="shared" si="84"/>
        <v>2000</v>
      </c>
    </row>
    <row r="1049" spans="1:43" x14ac:dyDescent="0.35">
      <c r="A1049">
        <v>119</v>
      </c>
      <c r="B1049">
        <v>40</v>
      </c>
      <c r="C1049" t="s">
        <v>148</v>
      </c>
      <c r="D1049" t="s">
        <v>151</v>
      </c>
      <c r="E1049" t="s">
        <v>4</v>
      </c>
      <c r="F1049" t="s">
        <v>37</v>
      </c>
      <c r="G1049" t="s">
        <v>43</v>
      </c>
      <c r="H1049" t="s">
        <v>82</v>
      </c>
      <c r="I1049" t="s">
        <v>42</v>
      </c>
      <c r="J1049" t="s">
        <v>161</v>
      </c>
      <c r="K1049" t="s">
        <v>42</v>
      </c>
      <c r="L1049" t="s">
        <v>152</v>
      </c>
      <c r="M1049" t="s">
        <v>48</v>
      </c>
      <c r="N1049" t="s">
        <v>160</v>
      </c>
      <c r="O1049" t="s">
        <v>41</v>
      </c>
      <c r="P1049" t="s">
        <v>148</v>
      </c>
      <c r="Q1049">
        <v>22</v>
      </c>
      <c r="R1049">
        <v>1</v>
      </c>
      <c r="S1049">
        <v>22</v>
      </c>
      <c r="T1049">
        <v>11</v>
      </c>
      <c r="U1049">
        <v>11</v>
      </c>
      <c r="V1049">
        <v>1</v>
      </c>
      <c r="W1049">
        <v>78</v>
      </c>
      <c r="X1049">
        <v>530</v>
      </c>
      <c r="Y1049">
        <v>14115</v>
      </c>
      <c r="Z1049">
        <v>13503</v>
      </c>
      <c r="AA1049">
        <v>3</v>
      </c>
      <c r="AB1049" s="29">
        <v>44773</v>
      </c>
      <c r="AC1049" s="29">
        <v>30445</v>
      </c>
      <c r="AD1049" s="29">
        <v>36801</v>
      </c>
      <c r="AE1049" s="29"/>
      <c r="AF1049">
        <v>22</v>
      </c>
      <c r="AG1049" t="s">
        <v>153</v>
      </c>
      <c r="AI1049">
        <v>18</v>
      </c>
      <c r="AJ1049">
        <v>1</v>
      </c>
      <c r="AK1049" t="s">
        <v>163</v>
      </c>
      <c r="AL1049" t="s">
        <v>77</v>
      </c>
      <c r="AM1049">
        <f t="shared" si="80"/>
        <v>4</v>
      </c>
      <c r="AN1049">
        <f t="shared" si="81"/>
        <v>10</v>
      </c>
      <c r="AO1049" t="str">
        <f t="shared" si="82"/>
        <v/>
      </c>
      <c r="AP1049" t="str">
        <f t="shared" si="83"/>
        <v/>
      </c>
      <c r="AQ1049">
        <f t="shared" si="84"/>
        <v>2000</v>
      </c>
    </row>
    <row r="1050" spans="1:43" x14ac:dyDescent="0.35">
      <c r="A1050">
        <v>1035</v>
      </c>
      <c r="B1050">
        <v>41</v>
      </c>
      <c r="C1050" t="s">
        <v>148</v>
      </c>
      <c r="D1050" t="s">
        <v>164</v>
      </c>
      <c r="E1050" t="s">
        <v>4</v>
      </c>
      <c r="F1050" t="s">
        <v>35</v>
      </c>
      <c r="G1050" t="s">
        <v>42</v>
      </c>
      <c r="H1050" t="s">
        <v>81</v>
      </c>
      <c r="I1050" t="s">
        <v>41</v>
      </c>
      <c r="J1050" t="s">
        <v>173</v>
      </c>
      <c r="K1050" t="s">
        <v>43</v>
      </c>
      <c r="L1050" t="s">
        <v>152</v>
      </c>
      <c r="M1050" t="s">
        <v>49</v>
      </c>
      <c r="N1050" t="s">
        <v>96</v>
      </c>
      <c r="O1050" t="s">
        <v>156</v>
      </c>
      <c r="P1050" t="s">
        <v>148</v>
      </c>
      <c r="Q1050">
        <v>22</v>
      </c>
      <c r="R1050">
        <v>1</v>
      </c>
      <c r="S1050">
        <v>21</v>
      </c>
      <c r="T1050">
        <v>5</v>
      </c>
      <c r="U1050">
        <v>10</v>
      </c>
      <c r="V1050">
        <v>7</v>
      </c>
      <c r="W1050">
        <v>55</v>
      </c>
      <c r="X1050">
        <v>247</v>
      </c>
      <c r="Y1050">
        <v>20284</v>
      </c>
      <c r="Z1050">
        <v>19973</v>
      </c>
      <c r="AA1050">
        <v>3</v>
      </c>
      <c r="AB1050" s="29">
        <v>44773</v>
      </c>
      <c r="AC1050" s="29">
        <v>29985</v>
      </c>
      <c r="AD1050" s="29">
        <v>37248</v>
      </c>
      <c r="AE1050" s="29"/>
      <c r="AF1050">
        <v>21</v>
      </c>
      <c r="AG1050" t="s">
        <v>153</v>
      </c>
      <c r="AI1050">
        <v>20</v>
      </c>
      <c r="AJ1050">
        <v>1</v>
      </c>
      <c r="AK1050" t="s">
        <v>163</v>
      </c>
      <c r="AL1050" t="s">
        <v>77</v>
      </c>
      <c r="AM1050">
        <f t="shared" si="80"/>
        <v>4</v>
      </c>
      <c r="AN1050">
        <f t="shared" si="81"/>
        <v>12</v>
      </c>
      <c r="AO1050" t="str">
        <f t="shared" si="82"/>
        <v/>
      </c>
      <c r="AP1050" t="str">
        <f t="shared" si="83"/>
        <v/>
      </c>
      <c r="AQ1050">
        <f t="shared" si="84"/>
        <v>2001</v>
      </c>
    </row>
    <row r="1051" spans="1:43" x14ac:dyDescent="0.35">
      <c r="A1051">
        <v>1550</v>
      </c>
      <c r="B1051">
        <v>40</v>
      </c>
      <c r="C1051" t="s">
        <v>148</v>
      </c>
      <c r="D1051" t="s">
        <v>145</v>
      </c>
      <c r="E1051" t="s">
        <v>168</v>
      </c>
      <c r="F1051" t="s">
        <v>36</v>
      </c>
      <c r="G1051" t="s">
        <v>43</v>
      </c>
      <c r="H1051" t="s">
        <v>82</v>
      </c>
      <c r="I1051" t="s">
        <v>43</v>
      </c>
      <c r="J1051" t="s">
        <v>169</v>
      </c>
      <c r="K1051" t="s">
        <v>44</v>
      </c>
      <c r="L1051" t="s">
        <v>152</v>
      </c>
      <c r="M1051" t="s">
        <v>49</v>
      </c>
      <c r="N1051" t="s">
        <v>95</v>
      </c>
      <c r="P1051" t="s">
        <v>144</v>
      </c>
      <c r="Q1051">
        <v>21</v>
      </c>
      <c r="R1051">
        <v>1</v>
      </c>
      <c r="S1051">
        <v>21</v>
      </c>
      <c r="T1051">
        <v>7</v>
      </c>
      <c r="U1051">
        <v>7</v>
      </c>
      <c r="V1051">
        <v>6</v>
      </c>
      <c r="W1051">
        <v>38</v>
      </c>
      <c r="X1051">
        <v>898</v>
      </c>
      <c r="Y1051">
        <v>17381</v>
      </c>
      <c r="Z1051">
        <v>16437</v>
      </c>
      <c r="AA1051">
        <v>2</v>
      </c>
      <c r="AB1051" s="29">
        <v>44773</v>
      </c>
      <c r="AC1051" s="29">
        <v>30171</v>
      </c>
      <c r="AD1051" s="29">
        <v>37300</v>
      </c>
      <c r="AE1051" s="29"/>
      <c r="AF1051">
        <v>20</v>
      </c>
      <c r="AG1051" t="s">
        <v>153</v>
      </c>
      <c r="AI1051">
        <v>20</v>
      </c>
      <c r="AJ1051">
        <v>1</v>
      </c>
      <c r="AK1051" t="s">
        <v>163</v>
      </c>
      <c r="AL1051" t="s">
        <v>77</v>
      </c>
      <c r="AM1051">
        <f t="shared" si="80"/>
        <v>1</v>
      </c>
      <c r="AN1051">
        <f t="shared" si="81"/>
        <v>2</v>
      </c>
      <c r="AO1051" t="str">
        <f t="shared" si="82"/>
        <v/>
      </c>
      <c r="AP1051" t="str">
        <f t="shared" si="83"/>
        <v/>
      </c>
      <c r="AQ1051">
        <f t="shared" si="84"/>
        <v>2002</v>
      </c>
    </row>
    <row r="1052" spans="1:43" x14ac:dyDescent="0.35">
      <c r="A1052">
        <v>264</v>
      </c>
      <c r="B1052">
        <v>45</v>
      </c>
      <c r="C1052" t="s">
        <v>148</v>
      </c>
      <c r="D1052" t="s">
        <v>164</v>
      </c>
      <c r="E1052" t="s">
        <v>4</v>
      </c>
      <c r="F1052" t="s">
        <v>36</v>
      </c>
      <c r="G1052" t="s">
        <v>41</v>
      </c>
      <c r="H1052" t="s">
        <v>82</v>
      </c>
      <c r="I1052" t="s">
        <v>42</v>
      </c>
      <c r="J1052" t="s">
        <v>169</v>
      </c>
      <c r="K1052" t="s">
        <v>44</v>
      </c>
      <c r="L1052" t="s">
        <v>152</v>
      </c>
      <c r="M1052" t="s">
        <v>49</v>
      </c>
      <c r="N1052" t="s">
        <v>160</v>
      </c>
      <c r="O1052" t="s">
        <v>41</v>
      </c>
      <c r="P1052" t="s">
        <v>148</v>
      </c>
      <c r="Q1052">
        <v>23</v>
      </c>
      <c r="R1052">
        <v>9</v>
      </c>
      <c r="S1052">
        <v>22</v>
      </c>
      <c r="T1052">
        <v>11</v>
      </c>
      <c r="U1052">
        <v>8</v>
      </c>
      <c r="V1052">
        <v>2</v>
      </c>
      <c r="W1052">
        <v>65</v>
      </c>
      <c r="X1052">
        <v>1195</v>
      </c>
      <c r="Y1052">
        <v>20462</v>
      </c>
      <c r="Z1052">
        <v>16792</v>
      </c>
      <c r="AA1052">
        <v>1</v>
      </c>
      <c r="AB1052" s="29">
        <v>44773</v>
      </c>
      <c r="AC1052" s="29">
        <v>28529</v>
      </c>
      <c r="AD1052" s="29">
        <v>37617</v>
      </c>
      <c r="AE1052" s="29"/>
      <c r="AF1052">
        <v>20</v>
      </c>
      <c r="AG1052" t="s">
        <v>153</v>
      </c>
      <c r="AI1052">
        <v>25</v>
      </c>
      <c r="AJ1052">
        <v>1</v>
      </c>
      <c r="AK1052" t="s">
        <v>163</v>
      </c>
      <c r="AL1052" t="s">
        <v>77</v>
      </c>
      <c r="AM1052">
        <f t="shared" si="80"/>
        <v>4</v>
      </c>
      <c r="AN1052">
        <f t="shared" si="81"/>
        <v>12</v>
      </c>
      <c r="AO1052" t="str">
        <f t="shared" si="82"/>
        <v/>
      </c>
      <c r="AP1052" t="str">
        <f t="shared" si="83"/>
        <v/>
      </c>
      <c r="AQ1052">
        <f t="shared" si="84"/>
        <v>2002</v>
      </c>
    </row>
    <row r="1053" spans="1:43" x14ac:dyDescent="0.35">
      <c r="A1053">
        <v>1225</v>
      </c>
      <c r="B1053">
        <v>44</v>
      </c>
      <c r="C1053" t="s">
        <v>148</v>
      </c>
      <c r="D1053" t="s">
        <v>145</v>
      </c>
      <c r="E1053" t="s">
        <v>4</v>
      </c>
      <c r="F1053" t="s">
        <v>37</v>
      </c>
      <c r="G1053" t="s">
        <v>44</v>
      </c>
      <c r="H1053" t="s">
        <v>82</v>
      </c>
      <c r="I1053" t="s">
        <v>43</v>
      </c>
      <c r="J1053" t="s">
        <v>146</v>
      </c>
      <c r="K1053" t="s">
        <v>44</v>
      </c>
      <c r="L1053" t="s">
        <v>152</v>
      </c>
      <c r="M1053" t="s">
        <v>49</v>
      </c>
      <c r="N1053" t="s">
        <v>95</v>
      </c>
      <c r="P1053" t="s">
        <v>148</v>
      </c>
      <c r="Q1053">
        <v>25</v>
      </c>
      <c r="R1053">
        <v>1</v>
      </c>
      <c r="S1053">
        <v>20</v>
      </c>
      <c r="T1053">
        <v>13</v>
      </c>
      <c r="U1053">
        <v>17</v>
      </c>
      <c r="V1053">
        <v>29</v>
      </c>
      <c r="W1053">
        <v>32</v>
      </c>
      <c r="X1053">
        <v>200</v>
      </c>
      <c r="Y1053">
        <v>7744</v>
      </c>
      <c r="Z1053">
        <v>4541</v>
      </c>
      <c r="AA1053">
        <v>3</v>
      </c>
      <c r="AB1053" s="29">
        <v>44773</v>
      </c>
      <c r="AC1053" s="29">
        <v>29037</v>
      </c>
      <c r="AD1053" s="29">
        <v>37628</v>
      </c>
      <c r="AE1053" s="29"/>
      <c r="AF1053">
        <v>20</v>
      </c>
      <c r="AG1053" t="s">
        <v>153</v>
      </c>
      <c r="AI1053">
        <v>24</v>
      </c>
      <c r="AJ1053">
        <v>1</v>
      </c>
      <c r="AK1053" t="s">
        <v>163</v>
      </c>
      <c r="AL1053" t="s">
        <v>77</v>
      </c>
      <c r="AM1053">
        <f t="shared" si="80"/>
        <v>1</v>
      </c>
      <c r="AN1053">
        <f t="shared" si="81"/>
        <v>1</v>
      </c>
      <c r="AO1053" t="str">
        <f t="shared" si="82"/>
        <v/>
      </c>
      <c r="AP1053" t="str">
        <f t="shared" si="83"/>
        <v/>
      </c>
      <c r="AQ1053">
        <f t="shared" si="84"/>
        <v>2003</v>
      </c>
    </row>
    <row r="1054" spans="1:43" x14ac:dyDescent="0.35">
      <c r="A1054">
        <v>387</v>
      </c>
      <c r="B1054">
        <v>42</v>
      </c>
      <c r="C1054" t="s">
        <v>148</v>
      </c>
      <c r="D1054" t="s">
        <v>145</v>
      </c>
      <c r="E1054" t="s">
        <v>158</v>
      </c>
      <c r="F1054" t="s">
        <v>35</v>
      </c>
      <c r="G1054" t="s">
        <v>42</v>
      </c>
      <c r="H1054" t="s">
        <v>82</v>
      </c>
      <c r="I1054" t="s">
        <v>43</v>
      </c>
      <c r="J1054" t="s">
        <v>159</v>
      </c>
      <c r="K1054" t="s">
        <v>43</v>
      </c>
      <c r="L1054" t="s">
        <v>152</v>
      </c>
      <c r="M1054" t="s">
        <v>49</v>
      </c>
      <c r="N1054" t="s">
        <v>160</v>
      </c>
      <c r="P1054" t="s">
        <v>148</v>
      </c>
      <c r="Q1054">
        <v>25</v>
      </c>
      <c r="R1054">
        <v>1</v>
      </c>
      <c r="S1054">
        <v>20</v>
      </c>
      <c r="T1054">
        <v>11</v>
      </c>
      <c r="U1054">
        <v>6</v>
      </c>
      <c r="V1054">
        <v>1</v>
      </c>
      <c r="W1054">
        <v>99</v>
      </c>
      <c r="X1054">
        <v>635</v>
      </c>
      <c r="Y1054">
        <v>24532</v>
      </c>
      <c r="Z1054">
        <v>4907</v>
      </c>
      <c r="AA1054">
        <v>3</v>
      </c>
      <c r="AB1054" s="29">
        <v>44773</v>
      </c>
      <c r="AC1054" s="29">
        <v>29630</v>
      </c>
      <c r="AD1054" s="29">
        <v>37646</v>
      </c>
      <c r="AE1054" s="29"/>
      <c r="AF1054">
        <v>20</v>
      </c>
      <c r="AG1054" t="s">
        <v>153</v>
      </c>
      <c r="AI1054">
        <v>22</v>
      </c>
      <c r="AJ1054">
        <v>1</v>
      </c>
      <c r="AK1054" t="s">
        <v>163</v>
      </c>
      <c r="AL1054" t="s">
        <v>77</v>
      </c>
      <c r="AM1054">
        <f t="shared" si="80"/>
        <v>1</v>
      </c>
      <c r="AN1054">
        <f t="shared" si="81"/>
        <v>1</v>
      </c>
      <c r="AO1054" t="str">
        <f t="shared" si="82"/>
        <v/>
      </c>
      <c r="AP1054" t="str">
        <f t="shared" si="83"/>
        <v/>
      </c>
      <c r="AQ1054">
        <f t="shared" si="84"/>
        <v>2003</v>
      </c>
    </row>
    <row r="1055" spans="1:43" x14ac:dyDescent="0.35">
      <c r="A1055">
        <v>343</v>
      </c>
      <c r="B1055">
        <v>39</v>
      </c>
      <c r="C1055" t="s">
        <v>148</v>
      </c>
      <c r="D1055" t="s">
        <v>151</v>
      </c>
      <c r="E1055" t="s">
        <v>4</v>
      </c>
      <c r="F1055" t="s">
        <v>37</v>
      </c>
      <c r="G1055" t="s">
        <v>43</v>
      </c>
      <c r="H1055" t="s">
        <v>81</v>
      </c>
      <c r="I1055" t="s">
        <v>43</v>
      </c>
      <c r="J1055" t="s">
        <v>161</v>
      </c>
      <c r="K1055" t="s">
        <v>43</v>
      </c>
      <c r="L1055" t="s">
        <v>152</v>
      </c>
      <c r="M1055" t="s">
        <v>49</v>
      </c>
      <c r="N1055" t="s">
        <v>95</v>
      </c>
      <c r="P1055" t="s">
        <v>148</v>
      </c>
      <c r="Q1055">
        <v>25</v>
      </c>
      <c r="R1055">
        <v>0</v>
      </c>
      <c r="S1055">
        <v>20</v>
      </c>
      <c r="T1055">
        <v>11</v>
      </c>
      <c r="U1055">
        <v>8</v>
      </c>
      <c r="V1055">
        <v>2</v>
      </c>
      <c r="W1055">
        <v>64</v>
      </c>
      <c r="X1055">
        <v>505</v>
      </c>
      <c r="Y1055">
        <v>6420</v>
      </c>
      <c r="Z1055">
        <v>10938</v>
      </c>
      <c r="AA1055">
        <v>1</v>
      </c>
      <c r="AB1055" s="29">
        <v>44773</v>
      </c>
      <c r="AC1055" s="29">
        <v>30812</v>
      </c>
      <c r="AD1055" s="29">
        <v>37908</v>
      </c>
      <c r="AE1055" s="29"/>
      <c r="AF1055">
        <v>19</v>
      </c>
      <c r="AG1055" t="s">
        <v>149</v>
      </c>
      <c r="AI1055">
        <v>20</v>
      </c>
      <c r="AJ1055">
        <v>1</v>
      </c>
      <c r="AK1055" t="s">
        <v>163</v>
      </c>
      <c r="AL1055" t="s">
        <v>78</v>
      </c>
      <c r="AM1055">
        <f t="shared" si="80"/>
        <v>4</v>
      </c>
      <c r="AN1055">
        <f t="shared" si="81"/>
        <v>10</v>
      </c>
      <c r="AO1055" t="str">
        <f t="shared" si="82"/>
        <v/>
      </c>
      <c r="AP1055" t="str">
        <f t="shared" si="83"/>
        <v/>
      </c>
      <c r="AQ1055">
        <f t="shared" si="84"/>
        <v>2003</v>
      </c>
    </row>
    <row r="1056" spans="1:43" x14ac:dyDescent="0.35">
      <c r="A1056">
        <v>880</v>
      </c>
      <c r="B1056">
        <v>35</v>
      </c>
      <c r="C1056" t="s">
        <v>148</v>
      </c>
      <c r="D1056" t="s">
        <v>145</v>
      </c>
      <c r="E1056" t="s">
        <v>4</v>
      </c>
      <c r="F1056" t="s">
        <v>38</v>
      </c>
      <c r="G1056" t="s">
        <v>44</v>
      </c>
      <c r="H1056" t="s">
        <v>81</v>
      </c>
      <c r="I1056" t="s">
        <v>42</v>
      </c>
      <c r="J1056" t="s">
        <v>165</v>
      </c>
      <c r="K1056" t="s">
        <v>43</v>
      </c>
      <c r="L1056" t="s">
        <v>152</v>
      </c>
      <c r="M1056" t="s">
        <v>49</v>
      </c>
      <c r="N1056" t="s">
        <v>160</v>
      </c>
      <c r="O1056" t="s">
        <v>41</v>
      </c>
      <c r="P1056" t="s">
        <v>144</v>
      </c>
      <c r="Q1056">
        <v>20</v>
      </c>
      <c r="R1056">
        <v>1</v>
      </c>
      <c r="S1056">
        <v>17</v>
      </c>
      <c r="T1056">
        <v>5</v>
      </c>
      <c r="U1056">
        <v>15</v>
      </c>
      <c r="V1056">
        <v>9</v>
      </c>
      <c r="W1056">
        <v>66</v>
      </c>
      <c r="X1056">
        <v>607</v>
      </c>
      <c r="Y1056">
        <v>23457</v>
      </c>
      <c r="Z1056">
        <v>10685</v>
      </c>
      <c r="AA1056">
        <v>2</v>
      </c>
      <c r="AB1056" s="29">
        <v>44773</v>
      </c>
      <c r="AC1056" s="29">
        <v>32081</v>
      </c>
      <c r="AD1056" s="29">
        <v>38682</v>
      </c>
      <c r="AE1056" s="29"/>
      <c r="AF1056">
        <v>17</v>
      </c>
      <c r="AG1056" t="s">
        <v>149</v>
      </c>
      <c r="AI1056">
        <v>18</v>
      </c>
      <c r="AJ1056">
        <v>1</v>
      </c>
      <c r="AK1056" t="s">
        <v>163</v>
      </c>
      <c r="AL1056" t="s">
        <v>77</v>
      </c>
      <c r="AM1056">
        <f t="shared" si="80"/>
        <v>4</v>
      </c>
      <c r="AN1056">
        <f t="shared" si="81"/>
        <v>11</v>
      </c>
      <c r="AO1056" t="str">
        <f t="shared" si="82"/>
        <v/>
      </c>
      <c r="AP1056" t="str">
        <f t="shared" si="83"/>
        <v/>
      </c>
      <c r="AQ1056">
        <f t="shared" si="84"/>
        <v>2005</v>
      </c>
    </row>
    <row r="1057" spans="1:43" x14ac:dyDescent="0.35">
      <c r="A1057">
        <v>1993</v>
      </c>
      <c r="B1057">
        <v>47</v>
      </c>
      <c r="C1057" t="s">
        <v>148</v>
      </c>
      <c r="D1057" t="s">
        <v>145</v>
      </c>
      <c r="E1057" t="s">
        <v>4</v>
      </c>
      <c r="F1057" t="s">
        <v>38</v>
      </c>
      <c r="G1057" t="s">
        <v>41</v>
      </c>
      <c r="H1057" t="s">
        <v>82</v>
      </c>
      <c r="I1057" t="s">
        <v>43</v>
      </c>
      <c r="J1057" t="s">
        <v>161</v>
      </c>
      <c r="K1057" t="s">
        <v>43</v>
      </c>
      <c r="L1057" t="s">
        <v>152</v>
      </c>
      <c r="M1057" t="s">
        <v>49</v>
      </c>
      <c r="N1057" t="s">
        <v>95</v>
      </c>
      <c r="P1057" t="s">
        <v>148</v>
      </c>
      <c r="Q1057">
        <v>23</v>
      </c>
      <c r="R1057">
        <v>2</v>
      </c>
      <c r="S1057">
        <v>25</v>
      </c>
      <c r="T1057">
        <v>12</v>
      </c>
      <c r="U1057">
        <v>11</v>
      </c>
      <c r="V1057">
        <v>25</v>
      </c>
      <c r="W1057">
        <v>84</v>
      </c>
      <c r="X1057">
        <v>1180</v>
      </c>
      <c r="Y1057">
        <v>13084</v>
      </c>
      <c r="Z1057">
        <v>8633</v>
      </c>
      <c r="AA1057">
        <v>3</v>
      </c>
      <c r="AB1057" s="29">
        <v>44773</v>
      </c>
      <c r="AC1057" s="29">
        <v>27961</v>
      </c>
      <c r="AD1057" s="29">
        <v>38708</v>
      </c>
      <c r="AE1057" s="29"/>
      <c r="AF1057">
        <v>17</v>
      </c>
      <c r="AG1057" t="s">
        <v>153</v>
      </c>
      <c r="AI1057">
        <v>30</v>
      </c>
      <c r="AJ1057">
        <v>1</v>
      </c>
      <c r="AK1057" t="s">
        <v>163</v>
      </c>
      <c r="AL1057" t="s">
        <v>77</v>
      </c>
      <c r="AM1057">
        <f t="shared" si="80"/>
        <v>4</v>
      </c>
      <c r="AN1057">
        <f t="shared" si="81"/>
        <v>12</v>
      </c>
      <c r="AO1057" t="str">
        <f t="shared" si="82"/>
        <v/>
      </c>
      <c r="AP1057" t="str">
        <f t="shared" si="83"/>
        <v/>
      </c>
      <c r="AQ1057">
        <f t="shared" si="84"/>
        <v>2005</v>
      </c>
    </row>
    <row r="1058" spans="1:43" x14ac:dyDescent="0.35">
      <c r="A1058">
        <v>1824</v>
      </c>
      <c r="B1058">
        <v>58</v>
      </c>
      <c r="C1058" t="s">
        <v>148</v>
      </c>
      <c r="D1058" t="s">
        <v>164</v>
      </c>
      <c r="E1058" t="s">
        <v>158</v>
      </c>
      <c r="F1058" t="s">
        <v>38</v>
      </c>
      <c r="G1058" t="s">
        <v>42</v>
      </c>
      <c r="H1058" t="s">
        <v>82</v>
      </c>
      <c r="I1058" t="s">
        <v>43</v>
      </c>
      <c r="J1058" t="s">
        <v>169</v>
      </c>
      <c r="K1058" t="s">
        <v>42</v>
      </c>
      <c r="L1058" t="s">
        <v>152</v>
      </c>
      <c r="M1058" t="s">
        <v>48</v>
      </c>
      <c r="N1058" t="s">
        <v>96</v>
      </c>
      <c r="O1058" t="s">
        <v>41</v>
      </c>
      <c r="P1058" t="s">
        <v>148</v>
      </c>
      <c r="Q1058">
        <v>22</v>
      </c>
      <c r="R1058">
        <v>4</v>
      </c>
      <c r="S1058">
        <v>37</v>
      </c>
      <c r="T1058">
        <v>14</v>
      </c>
      <c r="U1058">
        <v>14</v>
      </c>
      <c r="V1058">
        <v>2</v>
      </c>
      <c r="W1058">
        <v>52</v>
      </c>
      <c r="X1058">
        <v>350</v>
      </c>
      <c r="Y1058">
        <v>22577</v>
      </c>
      <c r="Z1058">
        <v>16291</v>
      </c>
      <c r="AA1058">
        <v>0</v>
      </c>
      <c r="AB1058" s="29">
        <v>44773</v>
      </c>
      <c r="AC1058" s="29">
        <v>23685</v>
      </c>
      <c r="AD1058" s="29">
        <v>39177</v>
      </c>
      <c r="AE1058" s="29"/>
      <c r="AF1058">
        <v>15</v>
      </c>
      <c r="AG1058" t="s">
        <v>167</v>
      </c>
      <c r="AI1058">
        <v>43</v>
      </c>
      <c r="AJ1058">
        <v>1</v>
      </c>
      <c r="AK1058" t="s">
        <v>163</v>
      </c>
      <c r="AL1058" t="s">
        <v>77</v>
      </c>
      <c r="AM1058">
        <f t="shared" si="80"/>
        <v>2</v>
      </c>
      <c r="AN1058">
        <f t="shared" si="81"/>
        <v>4</v>
      </c>
      <c r="AO1058" t="str">
        <f t="shared" si="82"/>
        <v/>
      </c>
      <c r="AP1058" t="str">
        <f t="shared" si="83"/>
        <v/>
      </c>
      <c r="AQ1058">
        <f t="shared" si="84"/>
        <v>2007</v>
      </c>
    </row>
    <row r="1059" spans="1:43" x14ac:dyDescent="0.35">
      <c r="A1059">
        <v>2017</v>
      </c>
      <c r="B1059">
        <v>37</v>
      </c>
      <c r="C1059" t="s">
        <v>148</v>
      </c>
      <c r="D1059" t="s">
        <v>145</v>
      </c>
      <c r="E1059" t="s">
        <v>4</v>
      </c>
      <c r="F1059" t="s">
        <v>38</v>
      </c>
      <c r="G1059" t="s">
        <v>43</v>
      </c>
      <c r="H1059" t="s">
        <v>81</v>
      </c>
      <c r="I1059" t="s">
        <v>44</v>
      </c>
      <c r="J1059" t="s">
        <v>173</v>
      </c>
      <c r="K1059" t="s">
        <v>44</v>
      </c>
      <c r="L1059" t="s">
        <v>152</v>
      </c>
      <c r="M1059" t="s">
        <v>49</v>
      </c>
      <c r="N1059" t="s">
        <v>160</v>
      </c>
      <c r="O1059" t="s">
        <v>41</v>
      </c>
      <c r="P1059" t="s">
        <v>144</v>
      </c>
      <c r="Q1059">
        <v>25</v>
      </c>
      <c r="R1059">
        <v>1</v>
      </c>
      <c r="S1059">
        <v>16</v>
      </c>
      <c r="T1059">
        <v>6</v>
      </c>
      <c r="U1059">
        <v>8</v>
      </c>
      <c r="V1059">
        <v>10</v>
      </c>
      <c r="W1059">
        <v>42</v>
      </c>
      <c r="X1059">
        <v>161</v>
      </c>
      <c r="Y1059">
        <v>15471</v>
      </c>
      <c r="Z1059">
        <v>13744</v>
      </c>
      <c r="AA1059">
        <v>2</v>
      </c>
      <c r="AB1059" s="29">
        <v>44773</v>
      </c>
      <c r="AC1059" s="29">
        <v>31612</v>
      </c>
      <c r="AD1059" s="29">
        <v>39238</v>
      </c>
      <c r="AE1059" s="29"/>
      <c r="AF1059">
        <v>15</v>
      </c>
      <c r="AG1059" t="s">
        <v>149</v>
      </c>
      <c r="AI1059">
        <v>22</v>
      </c>
      <c r="AJ1059">
        <v>1</v>
      </c>
      <c r="AK1059" t="s">
        <v>163</v>
      </c>
      <c r="AL1059" t="s">
        <v>77</v>
      </c>
      <c r="AM1059">
        <f t="shared" si="80"/>
        <v>2</v>
      </c>
      <c r="AN1059">
        <f t="shared" si="81"/>
        <v>6</v>
      </c>
      <c r="AO1059" t="str">
        <f t="shared" si="82"/>
        <v/>
      </c>
      <c r="AP1059" t="str">
        <f t="shared" si="83"/>
        <v/>
      </c>
      <c r="AQ1059">
        <f t="shared" si="84"/>
        <v>2007</v>
      </c>
    </row>
    <row r="1060" spans="1:43" x14ac:dyDescent="0.35">
      <c r="A1060">
        <v>2036</v>
      </c>
      <c r="B1060">
        <v>36</v>
      </c>
      <c r="C1060" t="s">
        <v>148</v>
      </c>
      <c r="D1060" t="s">
        <v>164</v>
      </c>
      <c r="E1060" t="s">
        <v>158</v>
      </c>
      <c r="F1060" t="s">
        <v>37</v>
      </c>
      <c r="G1060" t="s">
        <v>44</v>
      </c>
      <c r="H1060" t="s">
        <v>82</v>
      </c>
      <c r="I1060" t="s">
        <v>41</v>
      </c>
      <c r="J1060" t="s">
        <v>159</v>
      </c>
      <c r="K1060" t="s">
        <v>44</v>
      </c>
      <c r="L1060" t="s">
        <v>152</v>
      </c>
      <c r="M1060" t="s">
        <v>48</v>
      </c>
      <c r="N1060" t="s">
        <v>96</v>
      </c>
      <c r="O1060" t="s">
        <v>41</v>
      </c>
      <c r="P1060" t="s">
        <v>148</v>
      </c>
      <c r="Q1060">
        <v>24</v>
      </c>
      <c r="R1060">
        <v>1</v>
      </c>
      <c r="S1060">
        <v>15</v>
      </c>
      <c r="T1060">
        <v>11</v>
      </c>
      <c r="U1060">
        <v>11</v>
      </c>
      <c r="V1060">
        <v>15</v>
      </c>
      <c r="W1060">
        <v>88</v>
      </c>
      <c r="X1060">
        <v>301</v>
      </c>
      <c r="Y1060">
        <v>10436</v>
      </c>
      <c r="Z1060">
        <v>5406</v>
      </c>
      <c r="AA1060">
        <v>4</v>
      </c>
      <c r="AB1060" s="29">
        <v>44773</v>
      </c>
      <c r="AC1060" s="29">
        <v>31956</v>
      </c>
      <c r="AD1060" s="29">
        <v>39620</v>
      </c>
      <c r="AE1060" s="29"/>
      <c r="AF1060">
        <v>14</v>
      </c>
      <c r="AG1060" t="s">
        <v>149</v>
      </c>
      <c r="AI1060">
        <v>22</v>
      </c>
      <c r="AJ1060">
        <v>1</v>
      </c>
      <c r="AK1060" t="s">
        <v>154</v>
      </c>
      <c r="AL1060" t="s">
        <v>77</v>
      </c>
      <c r="AM1060">
        <f t="shared" si="80"/>
        <v>2</v>
      </c>
      <c r="AN1060">
        <f t="shared" si="81"/>
        <v>6</v>
      </c>
      <c r="AO1060" t="str">
        <f t="shared" si="82"/>
        <v/>
      </c>
      <c r="AP1060" t="str">
        <f t="shared" si="83"/>
        <v/>
      </c>
      <c r="AQ1060">
        <f t="shared" si="84"/>
        <v>2008</v>
      </c>
    </row>
    <row r="1061" spans="1:43" x14ac:dyDescent="0.35">
      <c r="A1061">
        <v>1666</v>
      </c>
      <c r="B1061">
        <v>43</v>
      </c>
      <c r="C1061" t="s">
        <v>148</v>
      </c>
      <c r="D1061" t="s">
        <v>145</v>
      </c>
      <c r="E1061" t="s">
        <v>4</v>
      </c>
      <c r="F1061" t="s">
        <v>36</v>
      </c>
      <c r="G1061" t="s">
        <v>43</v>
      </c>
      <c r="H1061" t="s">
        <v>82</v>
      </c>
      <c r="I1061" t="s">
        <v>42</v>
      </c>
      <c r="J1061" t="s">
        <v>173</v>
      </c>
      <c r="K1061" t="s">
        <v>43</v>
      </c>
      <c r="L1061" t="s">
        <v>152</v>
      </c>
      <c r="M1061" t="s">
        <v>49</v>
      </c>
      <c r="N1061" t="s">
        <v>160</v>
      </c>
      <c r="O1061" t="s">
        <v>41</v>
      </c>
      <c r="P1061" t="s">
        <v>148</v>
      </c>
      <c r="Q1061">
        <v>24</v>
      </c>
      <c r="R1061">
        <v>1</v>
      </c>
      <c r="S1061">
        <v>14</v>
      </c>
      <c r="T1061">
        <v>6</v>
      </c>
      <c r="U1061">
        <v>11</v>
      </c>
      <c r="V1061">
        <v>15</v>
      </c>
      <c r="W1061">
        <v>65</v>
      </c>
      <c r="X1061">
        <v>1291</v>
      </c>
      <c r="Y1061">
        <v>3525</v>
      </c>
      <c r="Z1061">
        <v>17603</v>
      </c>
      <c r="AA1061">
        <v>3</v>
      </c>
      <c r="AB1061" s="29">
        <v>44773</v>
      </c>
      <c r="AC1061" s="29">
        <v>29118</v>
      </c>
      <c r="AD1061" s="29">
        <v>39819</v>
      </c>
      <c r="AE1061" s="29"/>
      <c r="AF1061">
        <v>14</v>
      </c>
      <c r="AG1061" t="s">
        <v>153</v>
      </c>
      <c r="AI1061">
        <v>29</v>
      </c>
      <c r="AJ1061">
        <v>1</v>
      </c>
      <c r="AK1061" t="s">
        <v>154</v>
      </c>
      <c r="AL1061" t="s">
        <v>77</v>
      </c>
      <c r="AM1061">
        <f t="shared" si="80"/>
        <v>1</v>
      </c>
      <c r="AN1061">
        <f t="shared" si="81"/>
        <v>1</v>
      </c>
      <c r="AO1061" t="str">
        <f t="shared" si="82"/>
        <v/>
      </c>
      <c r="AP1061" t="str">
        <f t="shared" si="83"/>
        <v/>
      </c>
      <c r="AQ1061">
        <f t="shared" si="84"/>
        <v>2009</v>
      </c>
    </row>
    <row r="1062" spans="1:43" x14ac:dyDescent="0.35">
      <c r="A1062">
        <v>1950</v>
      </c>
      <c r="B1062">
        <v>34</v>
      </c>
      <c r="C1062" t="s">
        <v>148</v>
      </c>
      <c r="D1062" t="s">
        <v>145</v>
      </c>
      <c r="E1062" t="s">
        <v>158</v>
      </c>
      <c r="F1062" t="s">
        <v>38</v>
      </c>
      <c r="G1062" t="s">
        <v>41</v>
      </c>
      <c r="H1062" t="s">
        <v>82</v>
      </c>
      <c r="I1062" t="s">
        <v>43</v>
      </c>
      <c r="J1062" t="s">
        <v>159</v>
      </c>
      <c r="K1062" t="s">
        <v>44</v>
      </c>
      <c r="L1062" t="s">
        <v>152</v>
      </c>
      <c r="M1062" t="s">
        <v>48</v>
      </c>
      <c r="N1062" t="s">
        <v>95</v>
      </c>
      <c r="P1062" t="s">
        <v>148</v>
      </c>
      <c r="Q1062">
        <v>21</v>
      </c>
      <c r="R1062">
        <v>1</v>
      </c>
      <c r="S1062">
        <v>14</v>
      </c>
      <c r="T1062">
        <v>2</v>
      </c>
      <c r="U1062">
        <v>1</v>
      </c>
      <c r="V1062">
        <v>1</v>
      </c>
      <c r="W1062">
        <v>32</v>
      </c>
      <c r="X1062">
        <v>937</v>
      </c>
      <c r="Y1062">
        <v>6770</v>
      </c>
      <c r="Z1062">
        <v>9888</v>
      </c>
      <c r="AA1062">
        <v>3</v>
      </c>
      <c r="AB1062" s="29">
        <v>44773</v>
      </c>
      <c r="AC1062" s="29">
        <v>32625</v>
      </c>
      <c r="AD1062" s="29">
        <v>39892</v>
      </c>
      <c r="AE1062" s="29"/>
      <c r="AF1062">
        <v>13</v>
      </c>
      <c r="AG1062" t="s">
        <v>149</v>
      </c>
      <c r="AI1062">
        <v>21</v>
      </c>
      <c r="AJ1062">
        <v>1</v>
      </c>
      <c r="AK1062" t="s">
        <v>154</v>
      </c>
      <c r="AL1062" t="s">
        <v>77</v>
      </c>
      <c r="AM1062">
        <f t="shared" si="80"/>
        <v>1</v>
      </c>
      <c r="AN1062">
        <f t="shared" si="81"/>
        <v>3</v>
      </c>
      <c r="AO1062" t="str">
        <f t="shared" si="82"/>
        <v/>
      </c>
      <c r="AP1062" t="str">
        <f t="shared" si="83"/>
        <v/>
      </c>
      <c r="AQ1062">
        <f t="shared" si="84"/>
        <v>2009</v>
      </c>
    </row>
    <row r="1063" spans="1:43" x14ac:dyDescent="0.35">
      <c r="A1063">
        <v>682</v>
      </c>
      <c r="B1063">
        <v>53</v>
      </c>
      <c r="C1063" t="s">
        <v>148</v>
      </c>
      <c r="D1063" t="s">
        <v>145</v>
      </c>
      <c r="E1063" t="s">
        <v>158</v>
      </c>
      <c r="F1063" t="s">
        <v>35</v>
      </c>
      <c r="G1063" t="s">
        <v>44</v>
      </c>
      <c r="H1063" t="s">
        <v>81</v>
      </c>
      <c r="I1063" t="s">
        <v>43</v>
      </c>
      <c r="J1063" t="s">
        <v>159</v>
      </c>
      <c r="K1063" t="s">
        <v>41</v>
      </c>
      <c r="L1063" t="s">
        <v>152</v>
      </c>
      <c r="M1063" t="s">
        <v>50</v>
      </c>
      <c r="N1063" t="s">
        <v>95</v>
      </c>
      <c r="P1063" t="s">
        <v>148</v>
      </c>
      <c r="Q1063">
        <v>20</v>
      </c>
      <c r="R1063">
        <v>7</v>
      </c>
      <c r="S1063">
        <v>18</v>
      </c>
      <c r="T1063">
        <v>8</v>
      </c>
      <c r="U1063">
        <v>10</v>
      </c>
      <c r="V1063">
        <v>1</v>
      </c>
      <c r="W1063">
        <v>34</v>
      </c>
      <c r="X1063">
        <v>238</v>
      </c>
      <c r="Y1063">
        <v>7507</v>
      </c>
      <c r="Z1063">
        <v>8381</v>
      </c>
      <c r="AA1063">
        <v>2</v>
      </c>
      <c r="AB1063" s="29">
        <v>44773</v>
      </c>
      <c r="AC1063" s="29">
        <v>25428</v>
      </c>
      <c r="AD1063" s="29">
        <v>39893</v>
      </c>
      <c r="AE1063" s="29"/>
      <c r="AF1063">
        <v>13</v>
      </c>
      <c r="AG1063" t="s">
        <v>167</v>
      </c>
      <c r="AI1063">
        <v>40</v>
      </c>
      <c r="AJ1063">
        <v>1</v>
      </c>
      <c r="AK1063" t="s">
        <v>154</v>
      </c>
      <c r="AL1063" t="s">
        <v>77</v>
      </c>
      <c r="AM1063">
        <f t="shared" si="80"/>
        <v>1</v>
      </c>
      <c r="AN1063">
        <f t="shared" si="81"/>
        <v>3</v>
      </c>
      <c r="AO1063" t="str">
        <f t="shared" si="82"/>
        <v/>
      </c>
      <c r="AP1063" t="str">
        <f t="shared" si="83"/>
        <v/>
      </c>
      <c r="AQ1063">
        <f t="shared" si="84"/>
        <v>2009</v>
      </c>
    </row>
    <row r="1064" spans="1:43" x14ac:dyDescent="0.35">
      <c r="A1064">
        <v>145</v>
      </c>
      <c r="B1064">
        <v>51</v>
      </c>
      <c r="C1064" t="s">
        <v>148</v>
      </c>
      <c r="D1064" t="s">
        <v>151</v>
      </c>
      <c r="E1064" t="s">
        <v>4</v>
      </c>
      <c r="F1064" t="s">
        <v>37</v>
      </c>
      <c r="G1064" t="s">
        <v>41</v>
      </c>
      <c r="H1064" t="s">
        <v>81</v>
      </c>
      <c r="I1064" t="s">
        <v>42</v>
      </c>
      <c r="J1064" t="s">
        <v>161</v>
      </c>
      <c r="K1064" t="s">
        <v>41</v>
      </c>
      <c r="L1064" t="s">
        <v>152</v>
      </c>
      <c r="M1064" t="s">
        <v>48</v>
      </c>
      <c r="N1064" t="s">
        <v>95</v>
      </c>
      <c r="P1064" t="s">
        <v>148</v>
      </c>
      <c r="Q1064">
        <v>20</v>
      </c>
      <c r="R1064">
        <v>3</v>
      </c>
      <c r="S1064">
        <v>23</v>
      </c>
      <c r="T1064">
        <v>12</v>
      </c>
      <c r="U1064">
        <v>8</v>
      </c>
      <c r="V1064">
        <v>1</v>
      </c>
      <c r="W1064">
        <v>30</v>
      </c>
      <c r="X1064">
        <v>1456</v>
      </c>
      <c r="Y1064">
        <v>25796</v>
      </c>
      <c r="Z1064">
        <v>7484</v>
      </c>
      <c r="AA1064">
        <v>1</v>
      </c>
      <c r="AB1064" s="29">
        <v>44773</v>
      </c>
      <c r="AC1064" s="29">
        <v>26376</v>
      </c>
      <c r="AD1064" s="29">
        <v>40134</v>
      </c>
      <c r="AE1064" s="29"/>
      <c r="AF1064">
        <v>13</v>
      </c>
      <c r="AG1064" t="s">
        <v>167</v>
      </c>
      <c r="AI1064">
        <v>38</v>
      </c>
      <c r="AJ1064">
        <v>1</v>
      </c>
      <c r="AK1064" t="s">
        <v>154</v>
      </c>
      <c r="AL1064" t="s">
        <v>77</v>
      </c>
      <c r="AM1064">
        <f t="shared" si="80"/>
        <v>4</v>
      </c>
      <c r="AN1064">
        <f t="shared" si="81"/>
        <v>11</v>
      </c>
      <c r="AO1064" t="str">
        <f t="shared" si="82"/>
        <v/>
      </c>
      <c r="AP1064" t="str">
        <f t="shared" si="83"/>
        <v/>
      </c>
      <c r="AQ1064">
        <f t="shared" si="84"/>
        <v>2009</v>
      </c>
    </row>
    <row r="1065" spans="1:43" x14ac:dyDescent="0.35">
      <c r="A1065">
        <v>1184</v>
      </c>
      <c r="B1065">
        <v>34</v>
      </c>
      <c r="C1065" t="s">
        <v>148</v>
      </c>
      <c r="D1065" t="s">
        <v>151</v>
      </c>
      <c r="E1065" t="s">
        <v>4</v>
      </c>
      <c r="F1065" t="s">
        <v>38</v>
      </c>
      <c r="G1065" t="s">
        <v>44</v>
      </c>
      <c r="H1065" t="s">
        <v>82</v>
      </c>
      <c r="I1065" t="s">
        <v>42</v>
      </c>
      <c r="J1065" t="s">
        <v>161</v>
      </c>
      <c r="K1065" t="s">
        <v>41</v>
      </c>
      <c r="L1065" t="s">
        <v>152</v>
      </c>
      <c r="M1065" t="s">
        <v>49</v>
      </c>
      <c r="N1065" t="s">
        <v>95</v>
      </c>
      <c r="P1065" t="s">
        <v>148</v>
      </c>
      <c r="Q1065">
        <v>20</v>
      </c>
      <c r="R1065">
        <v>0</v>
      </c>
      <c r="S1065">
        <v>14</v>
      </c>
      <c r="T1065">
        <v>4</v>
      </c>
      <c r="U1065">
        <v>9</v>
      </c>
      <c r="V1065">
        <v>1</v>
      </c>
      <c r="W1065">
        <v>97</v>
      </c>
      <c r="X1065">
        <v>669</v>
      </c>
      <c r="Y1065">
        <v>25755</v>
      </c>
      <c r="Z1065">
        <v>5343</v>
      </c>
      <c r="AA1065">
        <v>3</v>
      </c>
      <c r="AB1065" s="29">
        <v>44773</v>
      </c>
      <c r="AC1065" s="29">
        <v>32431</v>
      </c>
      <c r="AD1065" s="29">
        <v>40226</v>
      </c>
      <c r="AE1065" s="29"/>
      <c r="AF1065">
        <v>12</v>
      </c>
      <c r="AG1065" t="s">
        <v>149</v>
      </c>
      <c r="AI1065">
        <v>22</v>
      </c>
      <c r="AJ1065">
        <v>1</v>
      </c>
      <c r="AK1065" t="s">
        <v>154</v>
      </c>
      <c r="AL1065" t="s">
        <v>77</v>
      </c>
      <c r="AM1065">
        <f t="shared" si="80"/>
        <v>1</v>
      </c>
      <c r="AN1065">
        <f t="shared" si="81"/>
        <v>2</v>
      </c>
      <c r="AO1065" t="str">
        <f t="shared" si="82"/>
        <v/>
      </c>
      <c r="AP1065" t="str">
        <f t="shared" si="83"/>
        <v/>
      </c>
      <c r="AQ1065">
        <f t="shared" si="84"/>
        <v>2010</v>
      </c>
    </row>
    <row r="1066" spans="1:43" x14ac:dyDescent="0.35">
      <c r="A1066">
        <v>692</v>
      </c>
      <c r="B1066">
        <v>33</v>
      </c>
      <c r="C1066" t="s">
        <v>148</v>
      </c>
      <c r="D1066" t="s">
        <v>151</v>
      </c>
      <c r="E1066" t="s">
        <v>4</v>
      </c>
      <c r="F1066" t="s">
        <v>38</v>
      </c>
      <c r="G1066" t="s">
        <v>43</v>
      </c>
      <c r="H1066" t="s">
        <v>82</v>
      </c>
      <c r="I1066" t="s">
        <v>43</v>
      </c>
      <c r="J1066" t="s">
        <v>161</v>
      </c>
      <c r="K1066" t="s">
        <v>44</v>
      </c>
      <c r="L1066" t="s">
        <v>152</v>
      </c>
      <c r="M1066" t="s">
        <v>47</v>
      </c>
      <c r="N1066" t="s">
        <v>96</v>
      </c>
      <c r="O1066" t="s">
        <v>41</v>
      </c>
      <c r="P1066" t="s">
        <v>148</v>
      </c>
      <c r="Q1066">
        <v>23</v>
      </c>
      <c r="R1066">
        <v>3</v>
      </c>
      <c r="S1066">
        <v>15</v>
      </c>
      <c r="T1066">
        <v>4</v>
      </c>
      <c r="U1066">
        <v>7</v>
      </c>
      <c r="V1066">
        <v>6</v>
      </c>
      <c r="W1066">
        <v>30</v>
      </c>
      <c r="X1066">
        <v>1296</v>
      </c>
      <c r="Y1066">
        <v>5335</v>
      </c>
      <c r="Z1066">
        <v>7725</v>
      </c>
      <c r="AA1066">
        <v>2</v>
      </c>
      <c r="AB1066" s="29">
        <v>44773</v>
      </c>
      <c r="AC1066" s="29">
        <v>32750</v>
      </c>
      <c r="AD1066" s="29">
        <v>40233</v>
      </c>
      <c r="AE1066" s="29"/>
      <c r="AF1066">
        <v>12</v>
      </c>
      <c r="AG1066" t="s">
        <v>149</v>
      </c>
      <c r="AI1066">
        <v>21</v>
      </c>
      <c r="AJ1066">
        <v>1</v>
      </c>
      <c r="AK1066" t="s">
        <v>154</v>
      </c>
      <c r="AL1066" t="s">
        <v>77</v>
      </c>
      <c r="AM1066">
        <f t="shared" si="80"/>
        <v>1</v>
      </c>
      <c r="AN1066">
        <f t="shared" si="81"/>
        <v>2</v>
      </c>
      <c r="AO1066" t="str">
        <f t="shared" si="82"/>
        <v/>
      </c>
      <c r="AP1066" t="str">
        <f t="shared" si="83"/>
        <v/>
      </c>
      <c r="AQ1066">
        <f t="shared" si="84"/>
        <v>2010</v>
      </c>
    </row>
    <row r="1067" spans="1:43" x14ac:dyDescent="0.35">
      <c r="A1067">
        <v>57</v>
      </c>
      <c r="B1067">
        <v>30</v>
      </c>
      <c r="C1067" t="s">
        <v>148</v>
      </c>
      <c r="D1067" t="s">
        <v>151</v>
      </c>
      <c r="E1067" t="s">
        <v>4</v>
      </c>
      <c r="F1067" t="s">
        <v>36</v>
      </c>
      <c r="G1067" t="s">
        <v>43</v>
      </c>
      <c r="H1067" t="s">
        <v>81</v>
      </c>
      <c r="I1067" t="s">
        <v>43</v>
      </c>
      <c r="J1067" t="s">
        <v>155</v>
      </c>
      <c r="K1067" t="s">
        <v>44</v>
      </c>
      <c r="L1067" t="s">
        <v>152</v>
      </c>
      <c r="M1067" t="s">
        <v>49</v>
      </c>
      <c r="N1067" t="s">
        <v>95</v>
      </c>
      <c r="P1067" t="s">
        <v>148</v>
      </c>
      <c r="Q1067">
        <v>23</v>
      </c>
      <c r="R1067">
        <v>1</v>
      </c>
      <c r="S1067">
        <v>12</v>
      </c>
      <c r="T1067">
        <v>3</v>
      </c>
      <c r="U1067">
        <v>7</v>
      </c>
      <c r="V1067">
        <v>1</v>
      </c>
      <c r="W1067">
        <v>58</v>
      </c>
      <c r="X1067">
        <v>721</v>
      </c>
      <c r="Y1067">
        <v>10781</v>
      </c>
      <c r="Z1067">
        <v>4011</v>
      </c>
      <c r="AA1067">
        <v>2</v>
      </c>
      <c r="AB1067" s="29">
        <v>44773</v>
      </c>
      <c r="AC1067" s="29">
        <v>34093</v>
      </c>
      <c r="AD1067" s="29">
        <v>40640</v>
      </c>
      <c r="AE1067" s="29"/>
      <c r="AF1067">
        <v>11</v>
      </c>
      <c r="AG1067" t="s">
        <v>149</v>
      </c>
      <c r="AI1067">
        <v>19</v>
      </c>
      <c r="AJ1067">
        <v>1</v>
      </c>
      <c r="AK1067" t="s">
        <v>154</v>
      </c>
      <c r="AL1067" t="s">
        <v>77</v>
      </c>
      <c r="AM1067">
        <f t="shared" si="80"/>
        <v>2</v>
      </c>
      <c r="AN1067">
        <f t="shared" si="81"/>
        <v>4</v>
      </c>
      <c r="AO1067" t="str">
        <f t="shared" si="82"/>
        <v/>
      </c>
      <c r="AP1067" t="str">
        <f t="shared" si="83"/>
        <v/>
      </c>
      <c r="AQ1067">
        <f t="shared" si="84"/>
        <v>2011</v>
      </c>
    </row>
    <row r="1068" spans="1:43" x14ac:dyDescent="0.35">
      <c r="A1068">
        <v>1375</v>
      </c>
      <c r="B1068">
        <v>40</v>
      </c>
      <c r="C1068" t="s">
        <v>148</v>
      </c>
      <c r="D1068" t="s">
        <v>145</v>
      </c>
      <c r="E1068" t="s">
        <v>4</v>
      </c>
      <c r="F1068" t="s">
        <v>35</v>
      </c>
      <c r="G1068" t="s">
        <v>42</v>
      </c>
      <c r="H1068" t="s">
        <v>81</v>
      </c>
      <c r="I1068" t="s">
        <v>44</v>
      </c>
      <c r="J1068" t="s">
        <v>161</v>
      </c>
      <c r="K1068" t="s">
        <v>43</v>
      </c>
      <c r="L1068" t="s">
        <v>152</v>
      </c>
      <c r="M1068" t="s">
        <v>49</v>
      </c>
      <c r="N1068" t="s">
        <v>96</v>
      </c>
      <c r="O1068" t="s">
        <v>43</v>
      </c>
      <c r="P1068" t="s">
        <v>148</v>
      </c>
      <c r="Q1068">
        <v>20</v>
      </c>
      <c r="R1068">
        <v>5</v>
      </c>
      <c r="S1068">
        <v>15</v>
      </c>
      <c r="T1068">
        <v>11</v>
      </c>
      <c r="U1068">
        <v>8</v>
      </c>
      <c r="V1068">
        <v>2</v>
      </c>
      <c r="W1068">
        <v>89</v>
      </c>
      <c r="X1068">
        <v>1202</v>
      </c>
      <c r="Y1068">
        <v>13888</v>
      </c>
      <c r="Z1068">
        <v>6377</v>
      </c>
      <c r="AA1068">
        <v>0</v>
      </c>
      <c r="AB1068" s="29">
        <v>44773</v>
      </c>
      <c r="AC1068" s="29">
        <v>30237</v>
      </c>
      <c r="AD1068" s="29">
        <v>40712</v>
      </c>
      <c r="AE1068" s="29"/>
      <c r="AF1068">
        <v>11</v>
      </c>
      <c r="AG1068" t="s">
        <v>153</v>
      </c>
      <c r="AI1068">
        <v>29</v>
      </c>
      <c r="AJ1068">
        <v>1</v>
      </c>
      <c r="AK1068" t="s">
        <v>154</v>
      </c>
      <c r="AL1068" t="s">
        <v>77</v>
      </c>
      <c r="AM1068">
        <f t="shared" si="80"/>
        <v>2</v>
      </c>
      <c r="AN1068">
        <f t="shared" si="81"/>
        <v>6</v>
      </c>
      <c r="AO1068" t="str">
        <f t="shared" si="82"/>
        <v/>
      </c>
      <c r="AP1068" t="str">
        <f t="shared" si="83"/>
        <v/>
      </c>
      <c r="AQ1068">
        <f t="shared" si="84"/>
        <v>2011</v>
      </c>
    </row>
    <row r="1069" spans="1:43" x14ac:dyDescent="0.35">
      <c r="A1069">
        <v>1483</v>
      </c>
      <c r="B1069">
        <v>57</v>
      </c>
      <c r="C1069" t="s">
        <v>148</v>
      </c>
      <c r="D1069" t="s">
        <v>145</v>
      </c>
      <c r="E1069" t="s">
        <v>4</v>
      </c>
      <c r="F1069" t="s">
        <v>36</v>
      </c>
      <c r="G1069" t="s">
        <v>42</v>
      </c>
      <c r="H1069" t="s">
        <v>82</v>
      </c>
      <c r="I1069" t="s">
        <v>44</v>
      </c>
      <c r="J1069" t="s">
        <v>146</v>
      </c>
      <c r="K1069" t="s">
        <v>43</v>
      </c>
      <c r="L1069" t="s">
        <v>152</v>
      </c>
      <c r="M1069" t="s">
        <v>48</v>
      </c>
      <c r="N1069" t="s">
        <v>160</v>
      </c>
      <c r="O1069" t="s">
        <v>41</v>
      </c>
      <c r="P1069" t="s">
        <v>148</v>
      </c>
      <c r="Q1069">
        <v>24</v>
      </c>
      <c r="R1069">
        <v>0</v>
      </c>
      <c r="S1069">
        <v>13</v>
      </c>
      <c r="T1069">
        <v>2</v>
      </c>
      <c r="U1069">
        <v>8</v>
      </c>
      <c r="V1069">
        <v>1</v>
      </c>
      <c r="W1069">
        <v>93</v>
      </c>
      <c r="X1069">
        <v>405</v>
      </c>
      <c r="Y1069">
        <v>2721</v>
      </c>
      <c r="Z1069">
        <v>4900</v>
      </c>
      <c r="AA1069">
        <v>2</v>
      </c>
      <c r="AB1069" s="29">
        <v>44773</v>
      </c>
      <c r="AC1069" s="29">
        <v>24313</v>
      </c>
      <c r="AD1069" s="29">
        <v>40738</v>
      </c>
      <c r="AE1069" s="29"/>
      <c r="AF1069">
        <v>11</v>
      </c>
      <c r="AG1069" t="s">
        <v>167</v>
      </c>
      <c r="AI1069">
        <v>46</v>
      </c>
      <c r="AJ1069">
        <v>1</v>
      </c>
      <c r="AK1069" t="s">
        <v>154</v>
      </c>
      <c r="AL1069" t="s">
        <v>77</v>
      </c>
      <c r="AM1069">
        <f t="shared" si="80"/>
        <v>3</v>
      </c>
      <c r="AN1069">
        <f t="shared" si="81"/>
        <v>7</v>
      </c>
      <c r="AO1069" t="str">
        <f t="shared" si="82"/>
        <v/>
      </c>
      <c r="AP1069" t="str">
        <f t="shared" si="83"/>
        <v/>
      </c>
      <c r="AQ1069">
        <f t="shared" si="84"/>
        <v>2011</v>
      </c>
    </row>
    <row r="1070" spans="1:43" x14ac:dyDescent="0.35">
      <c r="A1070">
        <v>292</v>
      </c>
      <c r="B1070">
        <v>30</v>
      </c>
      <c r="C1070" t="s">
        <v>148</v>
      </c>
      <c r="D1070" t="s">
        <v>164</v>
      </c>
      <c r="E1070" t="s">
        <v>4</v>
      </c>
      <c r="F1070" t="s">
        <v>35</v>
      </c>
      <c r="G1070" t="s">
        <v>43</v>
      </c>
      <c r="H1070" t="s">
        <v>82</v>
      </c>
      <c r="I1070" t="s">
        <v>42</v>
      </c>
      <c r="J1070" t="s">
        <v>165</v>
      </c>
      <c r="K1070" t="s">
        <v>43</v>
      </c>
      <c r="L1070" t="s">
        <v>152</v>
      </c>
      <c r="M1070" t="s">
        <v>49</v>
      </c>
      <c r="N1070" t="s">
        <v>95</v>
      </c>
      <c r="P1070" t="s">
        <v>148</v>
      </c>
      <c r="Q1070">
        <v>22</v>
      </c>
      <c r="R1070">
        <v>1</v>
      </c>
      <c r="S1070">
        <v>12</v>
      </c>
      <c r="T1070">
        <v>5</v>
      </c>
      <c r="U1070">
        <v>8</v>
      </c>
      <c r="V1070">
        <v>1</v>
      </c>
      <c r="W1070">
        <v>88</v>
      </c>
      <c r="X1070">
        <v>829</v>
      </c>
      <c r="Y1070">
        <v>20925</v>
      </c>
      <c r="Z1070">
        <v>8474</v>
      </c>
      <c r="AA1070">
        <v>2</v>
      </c>
      <c r="AB1070" s="29">
        <v>44773</v>
      </c>
      <c r="AC1070" s="29">
        <v>33837</v>
      </c>
      <c r="AD1070" s="29">
        <v>40828</v>
      </c>
      <c r="AE1070" s="29"/>
      <c r="AF1070">
        <v>11</v>
      </c>
      <c r="AG1070" t="s">
        <v>149</v>
      </c>
      <c r="AI1070">
        <v>19</v>
      </c>
      <c r="AJ1070">
        <v>1</v>
      </c>
      <c r="AK1070" t="s">
        <v>154</v>
      </c>
      <c r="AL1070" t="s">
        <v>77</v>
      </c>
      <c r="AM1070">
        <f t="shared" si="80"/>
        <v>4</v>
      </c>
      <c r="AN1070">
        <f t="shared" si="81"/>
        <v>10</v>
      </c>
      <c r="AO1070" t="str">
        <f t="shared" si="82"/>
        <v/>
      </c>
      <c r="AP1070" t="str">
        <f t="shared" si="83"/>
        <v/>
      </c>
      <c r="AQ1070">
        <f t="shared" si="84"/>
        <v>2011</v>
      </c>
    </row>
    <row r="1071" spans="1:43" x14ac:dyDescent="0.35">
      <c r="A1071">
        <v>1541</v>
      </c>
      <c r="B1071">
        <v>34</v>
      </c>
      <c r="C1071" t="s">
        <v>148</v>
      </c>
      <c r="D1071" t="s">
        <v>145</v>
      </c>
      <c r="E1071" t="s">
        <v>158</v>
      </c>
      <c r="F1071" t="s">
        <v>36</v>
      </c>
      <c r="G1071" t="s">
        <v>42</v>
      </c>
      <c r="H1071" t="s">
        <v>82</v>
      </c>
      <c r="I1071" t="s">
        <v>43</v>
      </c>
      <c r="J1071" t="s">
        <v>166</v>
      </c>
      <c r="K1071" t="s">
        <v>43</v>
      </c>
      <c r="L1071" t="s">
        <v>152</v>
      </c>
      <c r="M1071" t="s">
        <v>49</v>
      </c>
      <c r="N1071" t="s">
        <v>160</v>
      </c>
      <c r="O1071" t="s">
        <v>41</v>
      </c>
      <c r="P1071" t="s">
        <v>144</v>
      </c>
      <c r="Q1071">
        <v>25</v>
      </c>
      <c r="R1071">
        <v>0</v>
      </c>
      <c r="S1071">
        <v>12</v>
      </c>
      <c r="T1071">
        <v>5</v>
      </c>
      <c r="U1071">
        <v>7</v>
      </c>
      <c r="V1071">
        <v>7</v>
      </c>
      <c r="W1071">
        <v>55</v>
      </c>
      <c r="X1071">
        <v>1440</v>
      </c>
      <c r="Y1071">
        <v>4944</v>
      </c>
      <c r="Z1071">
        <v>2308</v>
      </c>
      <c r="AA1071">
        <v>4</v>
      </c>
      <c r="AB1071" s="29">
        <v>44773</v>
      </c>
      <c r="AC1071" s="29">
        <v>32609</v>
      </c>
      <c r="AD1071" s="29">
        <v>40890</v>
      </c>
      <c r="AE1071" s="29"/>
      <c r="AF1071">
        <v>11</v>
      </c>
      <c r="AG1071" t="s">
        <v>149</v>
      </c>
      <c r="AI1071">
        <v>23</v>
      </c>
      <c r="AJ1071">
        <v>1</v>
      </c>
      <c r="AK1071" t="s">
        <v>154</v>
      </c>
      <c r="AL1071" t="s">
        <v>77</v>
      </c>
      <c r="AM1071">
        <f t="shared" si="80"/>
        <v>4</v>
      </c>
      <c r="AN1071">
        <f t="shared" si="81"/>
        <v>12</v>
      </c>
      <c r="AO1071" t="str">
        <f t="shared" si="82"/>
        <v/>
      </c>
      <c r="AP1071" t="str">
        <f t="shared" si="83"/>
        <v/>
      </c>
      <c r="AQ1071">
        <f t="shared" si="84"/>
        <v>2011</v>
      </c>
    </row>
    <row r="1072" spans="1:43" x14ac:dyDescent="0.35">
      <c r="A1072">
        <v>1092</v>
      </c>
      <c r="B1072">
        <v>40</v>
      </c>
      <c r="C1072" t="s">
        <v>148</v>
      </c>
      <c r="D1072" t="s">
        <v>145</v>
      </c>
      <c r="E1072" t="s">
        <v>4</v>
      </c>
      <c r="F1072" t="s">
        <v>37</v>
      </c>
      <c r="G1072" t="s">
        <v>41</v>
      </c>
      <c r="H1072" t="s">
        <v>82</v>
      </c>
      <c r="I1072" t="s">
        <v>43</v>
      </c>
      <c r="J1072" t="s">
        <v>161</v>
      </c>
      <c r="K1072" t="s">
        <v>44</v>
      </c>
      <c r="L1072" t="s">
        <v>152</v>
      </c>
      <c r="M1072" t="s">
        <v>49</v>
      </c>
      <c r="N1072" t="s">
        <v>160</v>
      </c>
      <c r="O1072" t="s">
        <v>41</v>
      </c>
      <c r="P1072" t="s">
        <v>148</v>
      </c>
      <c r="Q1072">
        <v>20</v>
      </c>
      <c r="R1072">
        <v>4</v>
      </c>
      <c r="S1072">
        <v>14</v>
      </c>
      <c r="T1072">
        <v>6</v>
      </c>
      <c r="U1072">
        <v>1</v>
      </c>
      <c r="V1072">
        <v>20</v>
      </c>
      <c r="W1072">
        <v>61</v>
      </c>
      <c r="X1072">
        <v>1492</v>
      </c>
      <c r="Y1072">
        <v>26542</v>
      </c>
      <c r="Z1072">
        <v>10322</v>
      </c>
      <c r="AA1072">
        <v>6</v>
      </c>
      <c r="AB1072" s="29">
        <v>44773</v>
      </c>
      <c r="AC1072" s="29">
        <v>30292</v>
      </c>
      <c r="AD1072" s="29">
        <v>40923</v>
      </c>
      <c r="AE1072" s="29"/>
      <c r="AF1072">
        <v>11</v>
      </c>
      <c r="AG1072" t="s">
        <v>153</v>
      </c>
      <c r="AI1072">
        <v>29</v>
      </c>
      <c r="AJ1072">
        <v>1</v>
      </c>
      <c r="AK1072" t="s">
        <v>154</v>
      </c>
      <c r="AL1072" t="s">
        <v>77</v>
      </c>
      <c r="AM1072">
        <f t="shared" si="80"/>
        <v>1</v>
      </c>
      <c r="AN1072">
        <f t="shared" si="81"/>
        <v>1</v>
      </c>
      <c r="AO1072" t="str">
        <f t="shared" si="82"/>
        <v/>
      </c>
      <c r="AP1072" t="str">
        <f t="shared" si="83"/>
        <v/>
      </c>
      <c r="AQ1072">
        <f t="shared" si="84"/>
        <v>2012</v>
      </c>
    </row>
    <row r="1073" spans="1:43" x14ac:dyDescent="0.35">
      <c r="A1073">
        <v>1979</v>
      </c>
      <c r="B1073">
        <v>31</v>
      </c>
      <c r="C1073" t="s">
        <v>148</v>
      </c>
      <c r="D1073" t="s">
        <v>164</v>
      </c>
      <c r="E1073" t="s">
        <v>4</v>
      </c>
      <c r="F1073" t="s">
        <v>38</v>
      </c>
      <c r="G1073" t="s">
        <v>43</v>
      </c>
      <c r="H1073" t="s">
        <v>81</v>
      </c>
      <c r="I1073" t="s">
        <v>43</v>
      </c>
      <c r="J1073" t="s">
        <v>173</v>
      </c>
      <c r="K1073" t="s">
        <v>43</v>
      </c>
      <c r="L1073" t="s">
        <v>152</v>
      </c>
      <c r="M1073" t="s">
        <v>50</v>
      </c>
      <c r="N1073" t="s">
        <v>160</v>
      </c>
      <c r="O1073" t="s">
        <v>41</v>
      </c>
      <c r="P1073" t="s">
        <v>148</v>
      </c>
      <c r="Q1073">
        <v>20</v>
      </c>
      <c r="R1073">
        <v>4</v>
      </c>
      <c r="S1073">
        <v>13</v>
      </c>
      <c r="T1073">
        <v>4</v>
      </c>
      <c r="U1073">
        <v>8</v>
      </c>
      <c r="V1073">
        <v>10</v>
      </c>
      <c r="W1073">
        <v>40</v>
      </c>
      <c r="X1073">
        <v>697</v>
      </c>
      <c r="Y1073">
        <v>26862</v>
      </c>
      <c r="Z1073">
        <v>11031</v>
      </c>
      <c r="AA1073">
        <v>2</v>
      </c>
      <c r="AB1073" s="29">
        <v>44773</v>
      </c>
      <c r="AC1073" s="29">
        <v>33796</v>
      </c>
      <c r="AD1073" s="29">
        <v>40945</v>
      </c>
      <c r="AE1073" s="29"/>
      <c r="AF1073">
        <v>10</v>
      </c>
      <c r="AG1073" t="s">
        <v>149</v>
      </c>
      <c r="AI1073">
        <v>21</v>
      </c>
      <c r="AJ1073">
        <v>1</v>
      </c>
      <c r="AK1073" t="s">
        <v>154</v>
      </c>
      <c r="AL1073" t="s">
        <v>77</v>
      </c>
      <c r="AM1073">
        <f t="shared" si="80"/>
        <v>1</v>
      </c>
      <c r="AN1073">
        <f t="shared" si="81"/>
        <v>2</v>
      </c>
      <c r="AO1073" t="str">
        <f t="shared" si="82"/>
        <v/>
      </c>
      <c r="AP1073" t="str">
        <f t="shared" si="83"/>
        <v/>
      </c>
      <c r="AQ1073">
        <f t="shared" si="84"/>
        <v>2012</v>
      </c>
    </row>
    <row r="1074" spans="1:43" x14ac:dyDescent="0.35">
      <c r="A1074">
        <v>958</v>
      </c>
      <c r="B1074">
        <v>36</v>
      </c>
      <c r="C1074" t="s">
        <v>148</v>
      </c>
      <c r="D1074" t="s">
        <v>145</v>
      </c>
      <c r="E1074" t="s">
        <v>4</v>
      </c>
      <c r="F1074" t="s">
        <v>37</v>
      </c>
      <c r="G1074" t="s">
        <v>43</v>
      </c>
      <c r="H1074" t="s">
        <v>82</v>
      </c>
      <c r="I1074" t="s">
        <v>43</v>
      </c>
      <c r="J1074" t="s">
        <v>155</v>
      </c>
      <c r="K1074" t="s">
        <v>43</v>
      </c>
      <c r="L1074" t="s">
        <v>152</v>
      </c>
      <c r="M1074" t="s">
        <v>49</v>
      </c>
      <c r="N1074" t="s">
        <v>95</v>
      </c>
      <c r="P1074" t="s">
        <v>148</v>
      </c>
      <c r="Q1074">
        <v>21</v>
      </c>
      <c r="R1074">
        <v>4</v>
      </c>
      <c r="S1074">
        <v>16</v>
      </c>
      <c r="T1074">
        <v>3</v>
      </c>
      <c r="U1074">
        <v>9</v>
      </c>
      <c r="V1074">
        <v>2</v>
      </c>
      <c r="W1074">
        <v>79</v>
      </c>
      <c r="X1074">
        <v>938</v>
      </c>
      <c r="Y1074">
        <v>12287</v>
      </c>
      <c r="Z1074">
        <v>2519</v>
      </c>
      <c r="AA1074">
        <v>6</v>
      </c>
      <c r="AB1074" s="29">
        <v>44773</v>
      </c>
      <c r="AC1074" s="29">
        <v>31978</v>
      </c>
      <c r="AD1074" s="29">
        <v>41035</v>
      </c>
      <c r="AE1074" s="29"/>
      <c r="AF1074">
        <v>10</v>
      </c>
      <c r="AG1074" t="s">
        <v>149</v>
      </c>
      <c r="AI1074">
        <v>26</v>
      </c>
      <c r="AJ1074">
        <v>1</v>
      </c>
      <c r="AK1074" t="s">
        <v>154</v>
      </c>
      <c r="AL1074" t="s">
        <v>77</v>
      </c>
      <c r="AM1074">
        <f t="shared" si="80"/>
        <v>2</v>
      </c>
      <c r="AN1074">
        <f t="shared" si="81"/>
        <v>5</v>
      </c>
      <c r="AO1074" t="str">
        <f t="shared" si="82"/>
        <v/>
      </c>
      <c r="AP1074" t="str">
        <f t="shared" si="83"/>
        <v/>
      </c>
      <c r="AQ1074">
        <f t="shared" si="84"/>
        <v>2012</v>
      </c>
    </row>
    <row r="1075" spans="1:43" x14ac:dyDescent="0.35">
      <c r="A1075">
        <v>1241</v>
      </c>
      <c r="B1075">
        <v>30</v>
      </c>
      <c r="C1075" t="s">
        <v>148</v>
      </c>
      <c r="D1075" t="s">
        <v>145</v>
      </c>
      <c r="E1075" t="s">
        <v>4</v>
      </c>
      <c r="F1075" t="s">
        <v>38</v>
      </c>
      <c r="G1075" t="s">
        <v>44</v>
      </c>
      <c r="H1075" t="s">
        <v>82</v>
      </c>
      <c r="I1075" t="s">
        <v>43</v>
      </c>
      <c r="J1075" t="s">
        <v>146</v>
      </c>
      <c r="K1075" t="s">
        <v>42</v>
      </c>
      <c r="L1075" t="s">
        <v>152</v>
      </c>
      <c r="M1075" t="s">
        <v>49</v>
      </c>
      <c r="N1075" t="s">
        <v>160</v>
      </c>
      <c r="O1075" t="s">
        <v>41</v>
      </c>
      <c r="P1075" t="s">
        <v>144</v>
      </c>
      <c r="Q1075">
        <v>21</v>
      </c>
      <c r="R1075">
        <v>0</v>
      </c>
      <c r="S1075">
        <v>12</v>
      </c>
      <c r="T1075">
        <v>5</v>
      </c>
      <c r="U1075">
        <v>7</v>
      </c>
      <c r="V1075">
        <v>1</v>
      </c>
      <c r="W1075">
        <v>63</v>
      </c>
      <c r="X1075">
        <v>1465</v>
      </c>
      <c r="Y1075">
        <v>9369</v>
      </c>
      <c r="Z1075">
        <v>3579</v>
      </c>
      <c r="AA1075">
        <v>2</v>
      </c>
      <c r="AB1075" s="29">
        <v>44773</v>
      </c>
      <c r="AC1075" s="29">
        <v>33944</v>
      </c>
      <c r="AD1075" s="29">
        <v>41069</v>
      </c>
      <c r="AE1075" s="29"/>
      <c r="AF1075">
        <v>10</v>
      </c>
      <c r="AG1075" t="s">
        <v>149</v>
      </c>
      <c r="AI1075">
        <v>20</v>
      </c>
      <c r="AJ1075">
        <v>1</v>
      </c>
      <c r="AK1075" t="s">
        <v>154</v>
      </c>
      <c r="AL1075" t="s">
        <v>77</v>
      </c>
      <c r="AM1075">
        <f t="shared" si="80"/>
        <v>2</v>
      </c>
      <c r="AN1075">
        <f t="shared" si="81"/>
        <v>6</v>
      </c>
      <c r="AO1075" t="str">
        <f t="shared" si="82"/>
        <v/>
      </c>
      <c r="AP1075" t="str">
        <f t="shared" si="83"/>
        <v/>
      </c>
      <c r="AQ1075">
        <f t="shared" si="84"/>
        <v>2012</v>
      </c>
    </row>
    <row r="1076" spans="1:43" x14ac:dyDescent="0.35">
      <c r="A1076">
        <v>442</v>
      </c>
      <c r="B1076">
        <v>31</v>
      </c>
      <c r="C1076" t="s">
        <v>148</v>
      </c>
      <c r="D1076" t="s">
        <v>151</v>
      </c>
      <c r="E1076" t="s">
        <v>4</v>
      </c>
      <c r="F1076" t="s">
        <v>36</v>
      </c>
      <c r="G1076" t="s">
        <v>43</v>
      </c>
      <c r="H1076" t="s">
        <v>81</v>
      </c>
      <c r="I1076" t="s">
        <v>42</v>
      </c>
      <c r="J1076" t="s">
        <v>165</v>
      </c>
      <c r="K1076" t="s">
        <v>43</v>
      </c>
      <c r="L1076" t="s">
        <v>152</v>
      </c>
      <c r="M1076" t="s">
        <v>49</v>
      </c>
      <c r="N1076" t="s">
        <v>160</v>
      </c>
      <c r="O1076" t="s">
        <v>41</v>
      </c>
      <c r="P1076" t="s">
        <v>148</v>
      </c>
      <c r="Q1076">
        <v>24</v>
      </c>
      <c r="R1076">
        <v>1</v>
      </c>
      <c r="S1076">
        <v>10</v>
      </c>
      <c r="T1076">
        <v>8</v>
      </c>
      <c r="U1076">
        <v>9</v>
      </c>
      <c r="V1076">
        <v>7</v>
      </c>
      <c r="W1076">
        <v>48</v>
      </c>
      <c r="X1076">
        <v>798</v>
      </c>
      <c r="Y1076">
        <v>14034</v>
      </c>
      <c r="Z1076">
        <v>8943</v>
      </c>
      <c r="AA1076">
        <v>2</v>
      </c>
      <c r="AB1076" s="29">
        <v>44773</v>
      </c>
      <c r="AC1076" s="29">
        <v>33652</v>
      </c>
      <c r="AD1076" s="29">
        <v>41154</v>
      </c>
      <c r="AE1076" s="29"/>
      <c r="AF1076">
        <v>10</v>
      </c>
      <c r="AG1076" t="s">
        <v>149</v>
      </c>
      <c r="AI1076">
        <v>21</v>
      </c>
      <c r="AJ1076">
        <v>1</v>
      </c>
      <c r="AK1076" t="s">
        <v>154</v>
      </c>
      <c r="AL1076" t="s">
        <v>77</v>
      </c>
      <c r="AM1076">
        <f t="shared" si="80"/>
        <v>3</v>
      </c>
      <c r="AN1076">
        <f t="shared" si="81"/>
        <v>9</v>
      </c>
      <c r="AO1076" t="str">
        <f t="shared" si="82"/>
        <v/>
      </c>
      <c r="AP1076" t="str">
        <f t="shared" si="83"/>
        <v/>
      </c>
      <c r="AQ1076">
        <f t="shared" si="84"/>
        <v>2012</v>
      </c>
    </row>
    <row r="1077" spans="1:43" x14ac:dyDescent="0.35">
      <c r="A1077">
        <v>605</v>
      </c>
      <c r="B1077">
        <v>42</v>
      </c>
      <c r="C1077" t="s">
        <v>148</v>
      </c>
      <c r="D1077" t="s">
        <v>145</v>
      </c>
      <c r="E1077" t="s">
        <v>4</v>
      </c>
      <c r="F1077" t="s">
        <v>38</v>
      </c>
      <c r="G1077" t="s">
        <v>44</v>
      </c>
      <c r="H1077" t="s">
        <v>82</v>
      </c>
      <c r="I1077" t="s">
        <v>43</v>
      </c>
      <c r="J1077" t="s">
        <v>165</v>
      </c>
      <c r="K1077" t="s">
        <v>41</v>
      </c>
      <c r="L1077" t="s">
        <v>152</v>
      </c>
      <c r="M1077" t="s">
        <v>48</v>
      </c>
      <c r="N1077" t="s">
        <v>160</v>
      </c>
      <c r="O1077" t="s">
        <v>41</v>
      </c>
      <c r="P1077" t="s">
        <v>144</v>
      </c>
      <c r="Q1077">
        <v>21</v>
      </c>
      <c r="R1077">
        <v>1</v>
      </c>
      <c r="S1077">
        <v>10</v>
      </c>
      <c r="T1077">
        <v>5</v>
      </c>
      <c r="U1077">
        <v>8</v>
      </c>
      <c r="V1077">
        <v>24</v>
      </c>
      <c r="W1077">
        <v>56</v>
      </c>
      <c r="X1077">
        <v>319</v>
      </c>
      <c r="Y1077">
        <v>6950</v>
      </c>
      <c r="Z1077">
        <v>7406</v>
      </c>
      <c r="AA1077">
        <v>5</v>
      </c>
      <c r="AB1077" s="29">
        <v>44773</v>
      </c>
      <c r="AC1077" s="29">
        <v>29504</v>
      </c>
      <c r="AD1077" s="29">
        <v>41241</v>
      </c>
      <c r="AE1077" s="29"/>
      <c r="AF1077">
        <v>10</v>
      </c>
      <c r="AG1077" t="s">
        <v>153</v>
      </c>
      <c r="AI1077">
        <v>32</v>
      </c>
      <c r="AJ1077">
        <v>1</v>
      </c>
      <c r="AK1077" t="s">
        <v>154</v>
      </c>
      <c r="AL1077" t="s">
        <v>77</v>
      </c>
      <c r="AM1077">
        <f t="shared" si="80"/>
        <v>4</v>
      </c>
      <c r="AN1077">
        <f t="shared" si="81"/>
        <v>11</v>
      </c>
      <c r="AO1077" t="str">
        <f t="shared" si="82"/>
        <v/>
      </c>
      <c r="AP1077" t="str">
        <f t="shared" si="83"/>
        <v/>
      </c>
      <c r="AQ1077">
        <f t="shared" si="84"/>
        <v>2012</v>
      </c>
    </row>
    <row r="1078" spans="1:43" x14ac:dyDescent="0.35">
      <c r="A1078">
        <v>1956</v>
      </c>
      <c r="B1078">
        <v>31</v>
      </c>
      <c r="C1078" t="s">
        <v>148</v>
      </c>
      <c r="D1078" t="s">
        <v>151</v>
      </c>
      <c r="E1078" t="s">
        <v>4</v>
      </c>
      <c r="F1078" t="s">
        <v>38</v>
      </c>
      <c r="G1078" t="s">
        <v>44</v>
      </c>
      <c r="H1078" t="s">
        <v>82</v>
      </c>
      <c r="I1078" t="s">
        <v>41</v>
      </c>
      <c r="J1078" t="s">
        <v>146</v>
      </c>
      <c r="K1078" t="s">
        <v>41</v>
      </c>
      <c r="L1078" t="s">
        <v>152</v>
      </c>
      <c r="M1078" t="s">
        <v>49</v>
      </c>
      <c r="N1078" t="s">
        <v>160</v>
      </c>
      <c r="P1078" t="s">
        <v>148</v>
      </c>
      <c r="Q1078">
        <v>21</v>
      </c>
      <c r="R1078">
        <v>1</v>
      </c>
      <c r="S1078">
        <v>10</v>
      </c>
      <c r="T1078">
        <v>8</v>
      </c>
      <c r="U1078">
        <v>7</v>
      </c>
      <c r="V1078">
        <v>1</v>
      </c>
      <c r="W1078">
        <v>48</v>
      </c>
      <c r="X1078">
        <v>1125</v>
      </c>
      <c r="Y1078">
        <v>5771</v>
      </c>
      <c r="Z1078">
        <v>5003</v>
      </c>
      <c r="AA1078">
        <v>6</v>
      </c>
      <c r="AB1078" s="29">
        <v>44773</v>
      </c>
      <c r="AC1078" s="29">
        <v>33649</v>
      </c>
      <c r="AD1078" s="29">
        <v>41265</v>
      </c>
      <c r="AE1078" s="29"/>
      <c r="AF1078">
        <v>10</v>
      </c>
      <c r="AG1078" t="s">
        <v>149</v>
      </c>
      <c r="AI1078">
        <v>21</v>
      </c>
      <c r="AJ1078">
        <v>1</v>
      </c>
      <c r="AK1078" t="s">
        <v>154</v>
      </c>
      <c r="AL1078" t="s">
        <v>78</v>
      </c>
      <c r="AM1078">
        <f t="shared" si="80"/>
        <v>4</v>
      </c>
      <c r="AN1078">
        <f t="shared" si="81"/>
        <v>12</v>
      </c>
      <c r="AO1078" t="str">
        <f t="shared" si="82"/>
        <v/>
      </c>
      <c r="AP1078" t="str">
        <f t="shared" si="83"/>
        <v/>
      </c>
      <c r="AQ1078">
        <f t="shared" si="84"/>
        <v>2012</v>
      </c>
    </row>
    <row r="1079" spans="1:43" x14ac:dyDescent="0.35">
      <c r="A1079">
        <v>597</v>
      </c>
      <c r="B1079">
        <v>55</v>
      </c>
      <c r="C1079" t="s">
        <v>148</v>
      </c>
      <c r="D1079" t="s">
        <v>145</v>
      </c>
      <c r="E1079" t="s">
        <v>158</v>
      </c>
      <c r="F1079" t="s">
        <v>34</v>
      </c>
      <c r="G1079" t="s">
        <v>41</v>
      </c>
      <c r="H1079" t="s">
        <v>81</v>
      </c>
      <c r="I1079" t="s">
        <v>43</v>
      </c>
      <c r="J1079" t="s">
        <v>169</v>
      </c>
      <c r="K1079" t="s">
        <v>42</v>
      </c>
      <c r="L1079" t="s">
        <v>152</v>
      </c>
      <c r="M1079" t="s">
        <v>49</v>
      </c>
      <c r="N1079" t="s">
        <v>95</v>
      </c>
      <c r="P1079" t="s">
        <v>148</v>
      </c>
      <c r="Q1079">
        <v>23</v>
      </c>
      <c r="R1079">
        <v>3</v>
      </c>
      <c r="S1079">
        <v>37</v>
      </c>
      <c r="T1079">
        <v>7</v>
      </c>
      <c r="U1079">
        <v>7</v>
      </c>
      <c r="V1079">
        <v>18</v>
      </c>
      <c r="W1079">
        <v>83</v>
      </c>
      <c r="X1079">
        <v>1117</v>
      </c>
      <c r="Y1079">
        <v>9873</v>
      </c>
      <c r="Z1079">
        <v>16835</v>
      </c>
      <c r="AA1079">
        <v>2</v>
      </c>
      <c r="AB1079" s="29">
        <v>44773</v>
      </c>
      <c r="AC1079" s="29">
        <v>25009</v>
      </c>
      <c r="AD1079" s="29">
        <v>41338</v>
      </c>
      <c r="AE1079" s="29"/>
      <c r="AF1079">
        <v>9</v>
      </c>
      <c r="AG1079" t="s">
        <v>167</v>
      </c>
      <c r="AI1079">
        <v>46</v>
      </c>
      <c r="AJ1079">
        <v>1</v>
      </c>
      <c r="AK1079" t="s">
        <v>150</v>
      </c>
      <c r="AL1079" t="s">
        <v>77</v>
      </c>
      <c r="AM1079">
        <f t="shared" si="80"/>
        <v>1</v>
      </c>
      <c r="AN1079">
        <f t="shared" si="81"/>
        <v>3</v>
      </c>
      <c r="AO1079" t="str">
        <f t="shared" si="82"/>
        <v/>
      </c>
      <c r="AP1079" t="str">
        <f t="shared" si="83"/>
        <v/>
      </c>
      <c r="AQ1079">
        <f t="shared" si="84"/>
        <v>2013</v>
      </c>
    </row>
    <row r="1080" spans="1:43" x14ac:dyDescent="0.35">
      <c r="A1080">
        <v>1665</v>
      </c>
      <c r="B1080">
        <v>54</v>
      </c>
      <c r="C1080" t="s">
        <v>148</v>
      </c>
      <c r="D1080" t="s">
        <v>145</v>
      </c>
      <c r="E1080" t="s">
        <v>4</v>
      </c>
      <c r="F1080" t="s">
        <v>34</v>
      </c>
      <c r="G1080" t="s">
        <v>42</v>
      </c>
      <c r="H1080" t="s">
        <v>81</v>
      </c>
      <c r="I1080" t="s">
        <v>43</v>
      </c>
      <c r="J1080" t="s">
        <v>169</v>
      </c>
      <c r="K1080" t="s">
        <v>43</v>
      </c>
      <c r="L1080" t="s">
        <v>152</v>
      </c>
      <c r="M1080" t="s">
        <v>49</v>
      </c>
      <c r="N1080" t="s">
        <v>160</v>
      </c>
      <c r="O1080" t="s">
        <v>41</v>
      </c>
      <c r="P1080" t="s">
        <v>148</v>
      </c>
      <c r="Q1080">
        <v>25</v>
      </c>
      <c r="R1080">
        <v>3</v>
      </c>
      <c r="S1080">
        <v>36</v>
      </c>
      <c r="T1080">
        <v>4</v>
      </c>
      <c r="U1080">
        <v>7</v>
      </c>
      <c r="V1080">
        <v>22</v>
      </c>
      <c r="W1080">
        <v>91</v>
      </c>
      <c r="X1080">
        <v>584</v>
      </c>
      <c r="Y1080">
        <v>18685</v>
      </c>
      <c r="Z1080">
        <v>17426</v>
      </c>
      <c r="AA1080">
        <v>6</v>
      </c>
      <c r="AB1080" s="29">
        <v>44773</v>
      </c>
      <c r="AC1080" s="29">
        <v>25351</v>
      </c>
      <c r="AD1080" s="29">
        <v>41401</v>
      </c>
      <c r="AE1080" s="29"/>
      <c r="AF1080">
        <v>9</v>
      </c>
      <c r="AG1080" t="s">
        <v>167</v>
      </c>
      <c r="AI1080">
        <v>45</v>
      </c>
      <c r="AJ1080">
        <v>1</v>
      </c>
      <c r="AK1080" t="s">
        <v>150</v>
      </c>
      <c r="AL1080" t="s">
        <v>78</v>
      </c>
      <c r="AM1080">
        <f t="shared" si="80"/>
        <v>2</v>
      </c>
      <c r="AN1080">
        <f t="shared" si="81"/>
        <v>5</v>
      </c>
      <c r="AO1080" t="str">
        <f t="shared" si="82"/>
        <v/>
      </c>
      <c r="AP1080" t="str">
        <f t="shared" si="83"/>
        <v/>
      </c>
      <c r="AQ1080">
        <f t="shared" si="84"/>
        <v>2013</v>
      </c>
    </row>
    <row r="1081" spans="1:43" x14ac:dyDescent="0.35">
      <c r="A1081">
        <v>1823</v>
      </c>
      <c r="B1081">
        <v>34</v>
      </c>
      <c r="C1081" t="s">
        <v>148</v>
      </c>
      <c r="D1081" t="s">
        <v>145</v>
      </c>
      <c r="E1081" t="s">
        <v>158</v>
      </c>
      <c r="F1081" t="s">
        <v>36</v>
      </c>
      <c r="G1081" t="s">
        <v>42</v>
      </c>
      <c r="H1081" t="s">
        <v>82</v>
      </c>
      <c r="I1081" t="s">
        <v>44</v>
      </c>
      <c r="J1081" t="s">
        <v>159</v>
      </c>
      <c r="K1081" t="s">
        <v>43</v>
      </c>
      <c r="L1081" t="s">
        <v>152</v>
      </c>
      <c r="M1081" t="s">
        <v>49</v>
      </c>
      <c r="N1081" t="s">
        <v>160</v>
      </c>
      <c r="O1081" t="s">
        <v>156</v>
      </c>
      <c r="P1081" t="s">
        <v>148</v>
      </c>
      <c r="Q1081">
        <v>21</v>
      </c>
      <c r="R1081">
        <v>1</v>
      </c>
      <c r="S1081">
        <v>10</v>
      </c>
      <c r="T1081">
        <v>4</v>
      </c>
      <c r="U1081">
        <v>8</v>
      </c>
      <c r="V1081">
        <v>8</v>
      </c>
      <c r="W1081">
        <v>92</v>
      </c>
      <c r="X1081">
        <v>810</v>
      </c>
      <c r="Y1081">
        <v>22128</v>
      </c>
      <c r="Z1081">
        <v>6799</v>
      </c>
      <c r="AA1081">
        <v>5</v>
      </c>
      <c r="AB1081" s="29">
        <v>44773</v>
      </c>
      <c r="AC1081" s="29">
        <v>32402</v>
      </c>
      <c r="AD1081" s="29">
        <v>41406</v>
      </c>
      <c r="AE1081" s="29"/>
      <c r="AF1081">
        <v>9</v>
      </c>
      <c r="AG1081" t="s">
        <v>149</v>
      </c>
      <c r="AI1081">
        <v>25</v>
      </c>
      <c r="AJ1081">
        <v>1</v>
      </c>
      <c r="AK1081" t="s">
        <v>150</v>
      </c>
      <c r="AL1081" t="s">
        <v>77</v>
      </c>
      <c r="AM1081">
        <f t="shared" si="80"/>
        <v>2</v>
      </c>
      <c r="AN1081">
        <f t="shared" si="81"/>
        <v>5</v>
      </c>
      <c r="AO1081" t="str">
        <f t="shared" si="82"/>
        <v/>
      </c>
      <c r="AP1081" t="str">
        <f t="shared" si="83"/>
        <v/>
      </c>
      <c r="AQ1081">
        <f t="shared" si="84"/>
        <v>2013</v>
      </c>
    </row>
    <row r="1082" spans="1:43" x14ac:dyDescent="0.35">
      <c r="A1082">
        <v>1936</v>
      </c>
      <c r="B1082">
        <v>39</v>
      </c>
      <c r="C1082" t="s">
        <v>148</v>
      </c>
      <c r="D1082" t="s">
        <v>145</v>
      </c>
      <c r="E1082" t="s">
        <v>4</v>
      </c>
      <c r="F1082" t="s">
        <v>36</v>
      </c>
      <c r="G1082" t="s">
        <v>41</v>
      </c>
      <c r="H1082" t="s">
        <v>82</v>
      </c>
      <c r="I1082" t="s">
        <v>43</v>
      </c>
      <c r="J1082" t="s">
        <v>165</v>
      </c>
      <c r="K1082" t="s">
        <v>41</v>
      </c>
      <c r="L1082" t="s">
        <v>152</v>
      </c>
      <c r="M1082" t="s">
        <v>49</v>
      </c>
      <c r="N1082" t="s">
        <v>160</v>
      </c>
      <c r="O1082" t="s">
        <v>41</v>
      </c>
      <c r="P1082" t="s">
        <v>148</v>
      </c>
      <c r="Q1082">
        <v>25</v>
      </c>
      <c r="R1082">
        <v>1</v>
      </c>
      <c r="S1082">
        <v>10</v>
      </c>
      <c r="T1082">
        <v>7</v>
      </c>
      <c r="U1082">
        <v>9</v>
      </c>
      <c r="V1082">
        <v>9</v>
      </c>
      <c r="W1082">
        <v>87</v>
      </c>
      <c r="X1082">
        <v>867</v>
      </c>
      <c r="Y1082">
        <v>12315</v>
      </c>
      <c r="Z1082">
        <v>5151</v>
      </c>
      <c r="AA1082">
        <v>3</v>
      </c>
      <c r="AB1082" s="29">
        <v>44773</v>
      </c>
      <c r="AC1082" s="29">
        <v>30650</v>
      </c>
      <c r="AD1082" s="29">
        <v>41406</v>
      </c>
      <c r="AE1082" s="29"/>
      <c r="AF1082">
        <v>9</v>
      </c>
      <c r="AG1082" t="s">
        <v>149</v>
      </c>
      <c r="AI1082">
        <v>30</v>
      </c>
      <c r="AJ1082">
        <v>1</v>
      </c>
      <c r="AK1082" t="s">
        <v>150</v>
      </c>
      <c r="AL1082" t="s">
        <v>77</v>
      </c>
      <c r="AM1082">
        <f t="shared" si="80"/>
        <v>2</v>
      </c>
      <c r="AN1082">
        <f t="shared" si="81"/>
        <v>5</v>
      </c>
      <c r="AO1082" t="str">
        <f t="shared" si="82"/>
        <v/>
      </c>
      <c r="AP1082" t="str">
        <f t="shared" si="83"/>
        <v/>
      </c>
      <c r="AQ1082">
        <f t="shared" si="84"/>
        <v>2013</v>
      </c>
    </row>
    <row r="1083" spans="1:43" x14ac:dyDescent="0.35">
      <c r="A1083">
        <v>367</v>
      </c>
      <c r="B1083">
        <v>31</v>
      </c>
      <c r="C1083" t="s">
        <v>148</v>
      </c>
      <c r="D1083" t="s">
        <v>145</v>
      </c>
      <c r="E1083" t="s">
        <v>4</v>
      </c>
      <c r="F1083" t="s">
        <v>38</v>
      </c>
      <c r="G1083" t="s">
        <v>42</v>
      </c>
      <c r="H1083" t="s">
        <v>82</v>
      </c>
      <c r="I1083" t="s">
        <v>42</v>
      </c>
      <c r="J1083" t="s">
        <v>161</v>
      </c>
      <c r="K1083" t="s">
        <v>44</v>
      </c>
      <c r="L1083" t="s">
        <v>152</v>
      </c>
      <c r="M1083" t="s">
        <v>49</v>
      </c>
      <c r="N1083" t="s">
        <v>160</v>
      </c>
      <c r="O1083" t="s">
        <v>41</v>
      </c>
      <c r="P1083" t="s">
        <v>148</v>
      </c>
      <c r="Q1083">
        <v>21</v>
      </c>
      <c r="R1083">
        <v>0</v>
      </c>
      <c r="S1083">
        <v>10</v>
      </c>
      <c r="T1083">
        <v>7</v>
      </c>
      <c r="U1083">
        <v>8</v>
      </c>
      <c r="V1083">
        <v>23</v>
      </c>
      <c r="W1083">
        <v>64</v>
      </c>
      <c r="X1083">
        <v>1463</v>
      </c>
      <c r="Y1083">
        <v>14408</v>
      </c>
      <c r="Z1083">
        <v>5582</v>
      </c>
      <c r="AA1083">
        <v>2</v>
      </c>
      <c r="AB1083" s="29">
        <v>44773</v>
      </c>
      <c r="AC1083" s="29">
        <v>33457</v>
      </c>
      <c r="AD1083" s="29">
        <v>41508</v>
      </c>
      <c r="AE1083" s="29"/>
      <c r="AF1083">
        <v>9</v>
      </c>
      <c r="AG1083" t="s">
        <v>149</v>
      </c>
      <c r="AI1083">
        <v>22</v>
      </c>
      <c r="AJ1083">
        <v>1</v>
      </c>
      <c r="AK1083" t="s">
        <v>150</v>
      </c>
      <c r="AL1083" t="s">
        <v>77</v>
      </c>
      <c r="AM1083">
        <f t="shared" si="80"/>
        <v>3</v>
      </c>
      <c r="AN1083">
        <f t="shared" si="81"/>
        <v>8</v>
      </c>
      <c r="AO1083" t="str">
        <f t="shared" si="82"/>
        <v/>
      </c>
      <c r="AP1083" t="str">
        <f t="shared" si="83"/>
        <v/>
      </c>
      <c r="AQ1083">
        <f t="shared" si="84"/>
        <v>2013</v>
      </c>
    </row>
    <row r="1084" spans="1:43" x14ac:dyDescent="0.35">
      <c r="A1084">
        <v>1970</v>
      </c>
      <c r="B1084">
        <v>33</v>
      </c>
      <c r="C1084" t="s">
        <v>148</v>
      </c>
      <c r="D1084" t="s">
        <v>151</v>
      </c>
      <c r="E1084" t="s">
        <v>4</v>
      </c>
      <c r="F1084" t="s">
        <v>36</v>
      </c>
      <c r="G1084" t="s">
        <v>44</v>
      </c>
      <c r="H1084" t="s">
        <v>82</v>
      </c>
      <c r="I1084" t="s">
        <v>43</v>
      </c>
      <c r="J1084" t="s">
        <v>161</v>
      </c>
      <c r="K1084" t="s">
        <v>43</v>
      </c>
      <c r="L1084" t="s">
        <v>152</v>
      </c>
      <c r="M1084" t="s">
        <v>49</v>
      </c>
      <c r="N1084" t="s">
        <v>96</v>
      </c>
      <c r="O1084" t="s">
        <v>43</v>
      </c>
      <c r="P1084" t="s">
        <v>148</v>
      </c>
      <c r="Q1084">
        <v>20</v>
      </c>
      <c r="R1084">
        <v>1</v>
      </c>
      <c r="S1084">
        <v>9</v>
      </c>
      <c r="T1084">
        <v>2</v>
      </c>
      <c r="U1084">
        <v>8</v>
      </c>
      <c r="V1084">
        <v>7</v>
      </c>
      <c r="W1084">
        <v>36</v>
      </c>
      <c r="X1084">
        <v>1303</v>
      </c>
      <c r="Y1084">
        <v>18079</v>
      </c>
      <c r="Z1084">
        <v>5968</v>
      </c>
      <c r="AA1084">
        <v>2</v>
      </c>
      <c r="AB1084" s="29">
        <v>44773</v>
      </c>
      <c r="AC1084" s="29">
        <v>32863</v>
      </c>
      <c r="AD1084" s="29">
        <v>41628</v>
      </c>
      <c r="AE1084" s="29"/>
      <c r="AF1084">
        <v>9</v>
      </c>
      <c r="AG1084" t="s">
        <v>149</v>
      </c>
      <c r="AI1084">
        <v>24</v>
      </c>
      <c r="AJ1084">
        <v>1</v>
      </c>
      <c r="AK1084" t="s">
        <v>150</v>
      </c>
      <c r="AL1084" t="s">
        <v>77</v>
      </c>
      <c r="AM1084">
        <f t="shared" si="80"/>
        <v>4</v>
      </c>
      <c r="AN1084">
        <f t="shared" si="81"/>
        <v>12</v>
      </c>
      <c r="AO1084" t="str">
        <f t="shared" si="82"/>
        <v/>
      </c>
      <c r="AP1084" t="str">
        <f t="shared" si="83"/>
        <v/>
      </c>
      <c r="AQ1084">
        <f t="shared" si="84"/>
        <v>2013</v>
      </c>
    </row>
    <row r="1085" spans="1:43" x14ac:dyDescent="0.35">
      <c r="A1085">
        <v>60</v>
      </c>
      <c r="B1085">
        <v>34</v>
      </c>
      <c r="C1085" t="s">
        <v>148</v>
      </c>
      <c r="D1085" t="s">
        <v>164</v>
      </c>
      <c r="E1085" t="s">
        <v>158</v>
      </c>
      <c r="F1085" t="s">
        <v>37</v>
      </c>
      <c r="G1085" t="s">
        <v>42</v>
      </c>
      <c r="H1085" t="s">
        <v>82</v>
      </c>
      <c r="I1085" t="s">
        <v>43</v>
      </c>
      <c r="J1085" t="s">
        <v>159</v>
      </c>
      <c r="K1085" t="s">
        <v>43</v>
      </c>
      <c r="L1085" t="s">
        <v>152</v>
      </c>
      <c r="M1085" t="s">
        <v>49</v>
      </c>
      <c r="N1085" t="s">
        <v>95</v>
      </c>
      <c r="P1085" t="s">
        <v>148</v>
      </c>
      <c r="Q1085">
        <v>20</v>
      </c>
      <c r="R1085">
        <v>0</v>
      </c>
      <c r="S1085">
        <v>10</v>
      </c>
      <c r="T1085">
        <v>8</v>
      </c>
      <c r="U1085">
        <v>7</v>
      </c>
      <c r="V1085">
        <v>23</v>
      </c>
      <c r="W1085">
        <v>72</v>
      </c>
      <c r="X1085">
        <v>1065</v>
      </c>
      <c r="Y1085">
        <v>10034</v>
      </c>
      <c r="Z1085">
        <v>4568</v>
      </c>
      <c r="AA1085">
        <v>2</v>
      </c>
      <c r="AB1085" s="29">
        <v>44773</v>
      </c>
      <c r="AC1085" s="29">
        <v>32524</v>
      </c>
      <c r="AD1085" s="29">
        <v>41681</v>
      </c>
      <c r="AE1085" s="29"/>
      <c r="AF1085">
        <v>8</v>
      </c>
      <c r="AG1085" t="s">
        <v>149</v>
      </c>
      <c r="AI1085">
        <v>26</v>
      </c>
      <c r="AJ1085">
        <v>1</v>
      </c>
      <c r="AK1085" t="s">
        <v>150</v>
      </c>
      <c r="AL1085" t="s">
        <v>77</v>
      </c>
      <c r="AM1085">
        <f t="shared" si="80"/>
        <v>1</v>
      </c>
      <c r="AN1085">
        <f t="shared" si="81"/>
        <v>2</v>
      </c>
      <c r="AO1085" t="str">
        <f t="shared" si="82"/>
        <v/>
      </c>
      <c r="AP1085" t="str">
        <f t="shared" si="83"/>
        <v/>
      </c>
      <c r="AQ1085">
        <f t="shared" si="84"/>
        <v>2014</v>
      </c>
    </row>
    <row r="1086" spans="1:43" x14ac:dyDescent="0.35">
      <c r="A1086">
        <v>1864</v>
      </c>
      <c r="B1086">
        <v>27</v>
      </c>
      <c r="C1086" t="s">
        <v>148</v>
      </c>
      <c r="D1086" t="s">
        <v>145</v>
      </c>
      <c r="E1086" t="s">
        <v>158</v>
      </c>
      <c r="F1086" t="s">
        <v>35</v>
      </c>
      <c r="G1086" t="s">
        <v>42</v>
      </c>
      <c r="H1086" t="s">
        <v>81</v>
      </c>
      <c r="I1086" t="s">
        <v>42</v>
      </c>
      <c r="J1086" t="s">
        <v>166</v>
      </c>
      <c r="K1086" t="s">
        <v>43</v>
      </c>
      <c r="L1086" t="s">
        <v>152</v>
      </c>
      <c r="M1086" t="s">
        <v>49</v>
      </c>
      <c r="N1086" t="s">
        <v>160</v>
      </c>
      <c r="O1086" t="s">
        <v>41</v>
      </c>
      <c r="P1086" t="s">
        <v>148</v>
      </c>
      <c r="Q1086">
        <v>21</v>
      </c>
      <c r="R1086">
        <v>1</v>
      </c>
      <c r="S1086">
        <v>9</v>
      </c>
      <c r="T1086">
        <v>5</v>
      </c>
      <c r="U1086">
        <v>8</v>
      </c>
      <c r="V1086">
        <v>23</v>
      </c>
      <c r="W1086">
        <v>36</v>
      </c>
      <c r="X1086">
        <v>728</v>
      </c>
      <c r="Y1086">
        <v>7018</v>
      </c>
      <c r="Z1086">
        <v>3540</v>
      </c>
      <c r="AA1086">
        <v>5</v>
      </c>
      <c r="AB1086" s="29">
        <v>44773</v>
      </c>
      <c r="AC1086" s="29">
        <v>34939</v>
      </c>
      <c r="AD1086" s="29">
        <v>41691</v>
      </c>
      <c r="AE1086" s="29"/>
      <c r="AF1086">
        <v>8</v>
      </c>
      <c r="AG1086" t="s">
        <v>157</v>
      </c>
      <c r="AI1086">
        <v>19</v>
      </c>
      <c r="AJ1086">
        <v>1</v>
      </c>
      <c r="AK1086" t="s">
        <v>150</v>
      </c>
      <c r="AL1086" t="s">
        <v>78</v>
      </c>
      <c r="AM1086">
        <f t="shared" si="80"/>
        <v>1</v>
      </c>
      <c r="AN1086">
        <f t="shared" si="81"/>
        <v>2</v>
      </c>
      <c r="AO1086" t="str">
        <f t="shared" si="82"/>
        <v/>
      </c>
      <c r="AP1086" t="str">
        <f t="shared" si="83"/>
        <v/>
      </c>
      <c r="AQ1086">
        <f t="shared" si="84"/>
        <v>2014</v>
      </c>
    </row>
    <row r="1087" spans="1:43" x14ac:dyDescent="0.35">
      <c r="A1087">
        <v>78</v>
      </c>
      <c r="B1087">
        <v>32</v>
      </c>
      <c r="C1087" t="s">
        <v>148</v>
      </c>
      <c r="D1087" t="s">
        <v>145</v>
      </c>
      <c r="E1087" t="s">
        <v>4</v>
      </c>
      <c r="F1087" t="s">
        <v>38</v>
      </c>
      <c r="G1087" t="s">
        <v>41</v>
      </c>
      <c r="H1087" t="s">
        <v>82</v>
      </c>
      <c r="I1087" t="s">
        <v>43</v>
      </c>
      <c r="J1087" t="s">
        <v>165</v>
      </c>
      <c r="K1087" t="s">
        <v>44</v>
      </c>
      <c r="L1087" t="s">
        <v>152</v>
      </c>
      <c r="M1087" t="s">
        <v>49</v>
      </c>
      <c r="N1087" t="s">
        <v>160</v>
      </c>
      <c r="O1087" t="s">
        <v>41</v>
      </c>
      <c r="P1087" t="s">
        <v>144</v>
      </c>
      <c r="Q1087">
        <v>22</v>
      </c>
      <c r="R1087">
        <v>1</v>
      </c>
      <c r="S1087">
        <v>9</v>
      </c>
      <c r="T1087">
        <v>7</v>
      </c>
      <c r="U1087">
        <v>8</v>
      </c>
      <c r="V1087">
        <v>1</v>
      </c>
      <c r="W1087">
        <v>33</v>
      </c>
      <c r="X1087">
        <v>427</v>
      </c>
      <c r="Y1087">
        <v>10877</v>
      </c>
      <c r="Z1087">
        <v>6162</v>
      </c>
      <c r="AA1087">
        <v>3</v>
      </c>
      <c r="AB1087" s="29">
        <v>44773</v>
      </c>
      <c r="AC1087" s="29">
        <v>33292</v>
      </c>
      <c r="AD1087" s="29">
        <v>41824</v>
      </c>
      <c r="AE1087" s="29"/>
      <c r="AF1087">
        <v>8</v>
      </c>
      <c r="AG1087" t="s">
        <v>149</v>
      </c>
      <c r="AI1087">
        <v>24</v>
      </c>
      <c r="AJ1087">
        <v>2</v>
      </c>
      <c r="AK1087" t="s">
        <v>150</v>
      </c>
      <c r="AL1087" t="s">
        <v>77</v>
      </c>
      <c r="AM1087">
        <f t="shared" si="80"/>
        <v>3</v>
      </c>
      <c r="AN1087">
        <f t="shared" si="81"/>
        <v>7</v>
      </c>
      <c r="AO1087" t="str">
        <f t="shared" si="82"/>
        <v/>
      </c>
      <c r="AP1087" t="str">
        <f t="shared" si="83"/>
        <v/>
      </c>
      <c r="AQ1087">
        <f t="shared" si="84"/>
        <v>2014</v>
      </c>
    </row>
    <row r="1088" spans="1:43" x14ac:dyDescent="0.35">
      <c r="A1088">
        <v>807</v>
      </c>
      <c r="B1088">
        <v>40</v>
      </c>
      <c r="C1088" t="s">
        <v>148</v>
      </c>
      <c r="D1088" t="s">
        <v>151</v>
      </c>
      <c r="E1088" t="s">
        <v>4</v>
      </c>
      <c r="F1088" t="s">
        <v>36</v>
      </c>
      <c r="G1088" t="s">
        <v>43</v>
      </c>
      <c r="H1088" t="s">
        <v>81</v>
      </c>
      <c r="I1088" t="s">
        <v>44</v>
      </c>
      <c r="J1088" t="s">
        <v>161</v>
      </c>
      <c r="K1088" t="s">
        <v>42</v>
      </c>
      <c r="L1088" t="s">
        <v>152</v>
      </c>
      <c r="M1088" t="s">
        <v>49</v>
      </c>
      <c r="N1088" t="s">
        <v>160</v>
      </c>
      <c r="O1088" t="s">
        <v>41</v>
      </c>
      <c r="P1088" t="s">
        <v>148</v>
      </c>
      <c r="Q1088">
        <v>24</v>
      </c>
      <c r="R1088">
        <v>1</v>
      </c>
      <c r="S1088">
        <v>8</v>
      </c>
      <c r="T1088">
        <v>3</v>
      </c>
      <c r="U1088">
        <v>7</v>
      </c>
      <c r="V1088">
        <v>2</v>
      </c>
      <c r="W1088">
        <v>38</v>
      </c>
      <c r="X1088">
        <v>791</v>
      </c>
      <c r="Y1088">
        <v>9931</v>
      </c>
      <c r="Z1088">
        <v>4244</v>
      </c>
      <c r="AA1088">
        <v>2</v>
      </c>
      <c r="AB1088" s="29">
        <v>44773</v>
      </c>
      <c r="AC1088" s="29">
        <v>30467</v>
      </c>
      <c r="AD1088" s="29">
        <v>41897</v>
      </c>
      <c r="AE1088" s="29"/>
      <c r="AF1088">
        <v>8</v>
      </c>
      <c r="AG1088" t="s">
        <v>153</v>
      </c>
      <c r="AI1088">
        <v>32</v>
      </c>
      <c r="AJ1088">
        <v>1</v>
      </c>
      <c r="AK1088" t="s">
        <v>150</v>
      </c>
      <c r="AL1088" t="s">
        <v>77</v>
      </c>
      <c r="AM1088">
        <f t="shared" si="80"/>
        <v>3</v>
      </c>
      <c r="AN1088">
        <f t="shared" si="81"/>
        <v>9</v>
      </c>
      <c r="AO1088" t="str">
        <f t="shared" si="82"/>
        <v/>
      </c>
      <c r="AP1088" t="str">
        <f t="shared" si="83"/>
        <v/>
      </c>
      <c r="AQ1088">
        <f t="shared" si="84"/>
        <v>2014</v>
      </c>
    </row>
    <row r="1089" spans="1:43" x14ac:dyDescent="0.35">
      <c r="A1089">
        <v>1275</v>
      </c>
      <c r="B1089">
        <v>26</v>
      </c>
      <c r="C1089" t="s">
        <v>148</v>
      </c>
      <c r="D1089" t="s">
        <v>145</v>
      </c>
      <c r="E1089" t="s">
        <v>4</v>
      </c>
      <c r="F1089" t="s">
        <v>36</v>
      </c>
      <c r="G1089" t="s">
        <v>43</v>
      </c>
      <c r="H1089" t="s">
        <v>82</v>
      </c>
      <c r="I1089" t="s">
        <v>43</v>
      </c>
      <c r="J1089" t="s">
        <v>146</v>
      </c>
      <c r="K1089" t="s">
        <v>44</v>
      </c>
      <c r="L1089" t="s">
        <v>152</v>
      </c>
      <c r="M1089" t="s">
        <v>48</v>
      </c>
      <c r="N1089" t="s">
        <v>95</v>
      </c>
      <c r="P1089" t="s">
        <v>144</v>
      </c>
      <c r="Q1089">
        <v>20</v>
      </c>
      <c r="R1089">
        <v>1</v>
      </c>
      <c r="S1089">
        <v>8</v>
      </c>
      <c r="T1089">
        <v>2</v>
      </c>
      <c r="U1089">
        <v>2</v>
      </c>
      <c r="V1089">
        <v>4</v>
      </c>
      <c r="W1089">
        <v>53</v>
      </c>
      <c r="X1089">
        <v>583</v>
      </c>
      <c r="Y1089">
        <v>9973</v>
      </c>
      <c r="Z1089">
        <v>2875</v>
      </c>
      <c r="AA1089">
        <v>2</v>
      </c>
      <c r="AB1089" s="29">
        <v>44773</v>
      </c>
      <c r="AC1089" s="29">
        <v>35585</v>
      </c>
      <c r="AD1089" s="29">
        <v>41956</v>
      </c>
      <c r="AE1089" s="29"/>
      <c r="AF1089">
        <v>8</v>
      </c>
      <c r="AG1089" t="s">
        <v>157</v>
      </c>
      <c r="AI1089">
        <v>18</v>
      </c>
      <c r="AJ1089">
        <v>2</v>
      </c>
      <c r="AK1089" t="s">
        <v>150</v>
      </c>
      <c r="AL1089" t="s">
        <v>77</v>
      </c>
      <c r="AM1089">
        <f t="shared" si="80"/>
        <v>4</v>
      </c>
      <c r="AN1089">
        <f t="shared" si="81"/>
        <v>11</v>
      </c>
      <c r="AO1089" t="str">
        <f t="shared" si="82"/>
        <v/>
      </c>
      <c r="AP1089" t="str">
        <f t="shared" si="83"/>
        <v/>
      </c>
      <c r="AQ1089">
        <f t="shared" si="84"/>
        <v>2014</v>
      </c>
    </row>
    <row r="1090" spans="1:43" x14ac:dyDescent="0.35">
      <c r="A1090">
        <v>747</v>
      </c>
      <c r="B1090">
        <v>30</v>
      </c>
      <c r="C1090" t="s">
        <v>148</v>
      </c>
      <c r="D1090" t="s">
        <v>145</v>
      </c>
      <c r="E1090" t="s">
        <v>158</v>
      </c>
      <c r="F1090" t="s">
        <v>34</v>
      </c>
      <c r="G1090" t="s">
        <v>43</v>
      </c>
      <c r="H1090" t="s">
        <v>82</v>
      </c>
      <c r="I1090" t="s">
        <v>43</v>
      </c>
      <c r="J1090" t="s">
        <v>159</v>
      </c>
      <c r="K1090" t="s">
        <v>44</v>
      </c>
      <c r="L1090" t="s">
        <v>152</v>
      </c>
      <c r="M1090" t="s">
        <v>48</v>
      </c>
      <c r="N1090" t="s">
        <v>96</v>
      </c>
      <c r="O1090" t="s">
        <v>41</v>
      </c>
      <c r="P1090" t="s">
        <v>148</v>
      </c>
      <c r="Q1090">
        <v>23</v>
      </c>
      <c r="R1090">
        <v>7</v>
      </c>
      <c r="S1090">
        <v>10</v>
      </c>
      <c r="T1090">
        <v>7</v>
      </c>
      <c r="U1090">
        <v>7</v>
      </c>
      <c r="V1090">
        <v>27</v>
      </c>
      <c r="W1090">
        <v>99</v>
      </c>
      <c r="X1090">
        <v>501</v>
      </c>
      <c r="Y1090">
        <v>25275</v>
      </c>
      <c r="Z1090">
        <v>5304</v>
      </c>
      <c r="AA1090">
        <v>2</v>
      </c>
      <c r="AB1090" s="29">
        <v>44773</v>
      </c>
      <c r="AC1090" s="29">
        <v>33846</v>
      </c>
      <c r="AD1090" s="29">
        <v>42020</v>
      </c>
      <c r="AE1090" s="29"/>
      <c r="AF1090">
        <v>8</v>
      </c>
      <c r="AG1090" t="s">
        <v>149</v>
      </c>
      <c r="AI1090">
        <v>22</v>
      </c>
      <c r="AJ1090">
        <v>2</v>
      </c>
      <c r="AK1090" t="s">
        <v>150</v>
      </c>
      <c r="AL1090" t="s">
        <v>77</v>
      </c>
      <c r="AM1090">
        <f t="shared" ref="AM1090:AM1153" si="85">ROUNDUP(MONTH(AD1090)/3,0)</f>
        <v>1</v>
      </c>
      <c r="AN1090">
        <f t="shared" ref="AN1090:AN1153" si="86">MONTH(AD1090)</f>
        <v>1</v>
      </c>
      <c r="AO1090" t="str">
        <f t="shared" ref="AO1090:AO1153" si="87">IF(C1090="Yes",ROUNDUP(MONTH(AE1090)/3,0),"")</f>
        <v/>
      </c>
      <c r="AP1090" t="str">
        <f t="shared" ref="AP1090:AP1153" si="88">IF(C1090="Yes",MONTH(AE1090),"")</f>
        <v/>
      </c>
      <c r="AQ1090">
        <f t="shared" ref="AQ1090:AQ1153" si="89">YEAR(AD1090)</f>
        <v>2015</v>
      </c>
    </row>
    <row r="1091" spans="1:43" x14ac:dyDescent="0.35">
      <c r="A1091">
        <v>1845</v>
      </c>
      <c r="B1091">
        <v>45</v>
      </c>
      <c r="C1091" t="s">
        <v>148</v>
      </c>
      <c r="D1091" t="s">
        <v>164</v>
      </c>
      <c r="E1091" t="s">
        <v>158</v>
      </c>
      <c r="F1091" t="s">
        <v>37</v>
      </c>
      <c r="G1091" t="s">
        <v>43</v>
      </c>
      <c r="H1091" t="s">
        <v>81</v>
      </c>
      <c r="I1091" t="s">
        <v>43</v>
      </c>
      <c r="J1091" t="s">
        <v>159</v>
      </c>
      <c r="K1091" t="s">
        <v>43</v>
      </c>
      <c r="L1091" t="s">
        <v>152</v>
      </c>
      <c r="M1091" t="s">
        <v>50</v>
      </c>
      <c r="N1091" t="s">
        <v>160</v>
      </c>
      <c r="O1091" t="s">
        <v>156</v>
      </c>
      <c r="P1091" t="s">
        <v>148</v>
      </c>
      <c r="Q1091">
        <v>22</v>
      </c>
      <c r="R1091">
        <v>4</v>
      </c>
      <c r="S1091">
        <v>10</v>
      </c>
      <c r="T1091">
        <v>5</v>
      </c>
      <c r="U1091">
        <v>7</v>
      </c>
      <c r="V1091">
        <v>2</v>
      </c>
      <c r="W1091">
        <v>67</v>
      </c>
      <c r="X1091">
        <v>589</v>
      </c>
      <c r="Y1091">
        <v>19665</v>
      </c>
      <c r="Z1091">
        <v>5154</v>
      </c>
      <c r="AA1091">
        <v>3</v>
      </c>
      <c r="AB1091" s="29">
        <v>44773</v>
      </c>
      <c r="AC1091" s="29">
        <v>28601</v>
      </c>
      <c r="AD1091" s="29">
        <v>42097</v>
      </c>
      <c r="AE1091" s="29"/>
      <c r="AF1091">
        <v>7</v>
      </c>
      <c r="AG1091" t="s">
        <v>153</v>
      </c>
      <c r="AI1091">
        <v>38</v>
      </c>
      <c r="AJ1091">
        <v>1</v>
      </c>
      <c r="AK1091" t="s">
        <v>150</v>
      </c>
      <c r="AL1091" t="s">
        <v>77</v>
      </c>
      <c r="AM1091">
        <f t="shared" si="85"/>
        <v>2</v>
      </c>
      <c r="AN1091">
        <f t="shared" si="86"/>
        <v>4</v>
      </c>
      <c r="AO1091" t="str">
        <f t="shared" si="87"/>
        <v/>
      </c>
      <c r="AP1091" t="str">
        <f t="shared" si="88"/>
        <v/>
      </c>
      <c r="AQ1091">
        <f t="shared" si="89"/>
        <v>2015</v>
      </c>
    </row>
    <row r="1092" spans="1:43" x14ac:dyDescent="0.35">
      <c r="A1092">
        <v>382</v>
      </c>
      <c r="B1092">
        <v>38</v>
      </c>
      <c r="C1092" t="s">
        <v>148</v>
      </c>
      <c r="D1092" t="s">
        <v>145</v>
      </c>
      <c r="E1092" t="s">
        <v>158</v>
      </c>
      <c r="F1092" t="s">
        <v>36</v>
      </c>
      <c r="G1092" t="s">
        <v>41</v>
      </c>
      <c r="H1092" t="s">
        <v>81</v>
      </c>
      <c r="I1092" t="s">
        <v>44</v>
      </c>
      <c r="J1092" t="s">
        <v>159</v>
      </c>
      <c r="K1092" t="s">
        <v>41</v>
      </c>
      <c r="L1092" t="s">
        <v>152</v>
      </c>
      <c r="M1092" t="s">
        <v>49</v>
      </c>
      <c r="N1092" t="s">
        <v>96</v>
      </c>
      <c r="O1092" t="s">
        <v>41</v>
      </c>
      <c r="P1092" t="s">
        <v>144</v>
      </c>
      <c r="Q1092">
        <v>24</v>
      </c>
      <c r="R1092">
        <v>1</v>
      </c>
      <c r="S1092">
        <v>8</v>
      </c>
      <c r="T1092">
        <v>7</v>
      </c>
      <c r="U1092">
        <v>7</v>
      </c>
      <c r="V1092">
        <v>7</v>
      </c>
      <c r="W1092">
        <v>44</v>
      </c>
      <c r="X1092">
        <v>322</v>
      </c>
      <c r="Y1092">
        <v>19191</v>
      </c>
      <c r="Z1092">
        <v>5605</v>
      </c>
      <c r="AA1092">
        <v>3</v>
      </c>
      <c r="AB1092" s="29">
        <v>44773</v>
      </c>
      <c r="AC1092" s="29">
        <v>31107</v>
      </c>
      <c r="AD1092" s="29">
        <v>42175</v>
      </c>
      <c r="AE1092" s="29"/>
      <c r="AF1092">
        <v>7</v>
      </c>
      <c r="AG1092" t="s">
        <v>149</v>
      </c>
      <c r="AI1092">
        <v>31</v>
      </c>
      <c r="AJ1092">
        <v>1</v>
      </c>
      <c r="AK1092" t="s">
        <v>150</v>
      </c>
      <c r="AL1092" t="s">
        <v>78</v>
      </c>
      <c r="AM1092">
        <f t="shared" si="85"/>
        <v>2</v>
      </c>
      <c r="AN1092">
        <f t="shared" si="86"/>
        <v>6</v>
      </c>
      <c r="AO1092" t="str">
        <f t="shared" si="87"/>
        <v/>
      </c>
      <c r="AP1092" t="str">
        <f t="shared" si="88"/>
        <v/>
      </c>
      <c r="AQ1092">
        <f t="shared" si="89"/>
        <v>2015</v>
      </c>
    </row>
    <row r="1093" spans="1:43" x14ac:dyDescent="0.35">
      <c r="A1093">
        <v>177</v>
      </c>
      <c r="B1093">
        <v>26</v>
      </c>
      <c r="C1093" t="s">
        <v>148</v>
      </c>
      <c r="D1093" t="s">
        <v>145</v>
      </c>
      <c r="E1093" t="s">
        <v>168</v>
      </c>
      <c r="F1093" t="s">
        <v>35</v>
      </c>
      <c r="G1093" t="s">
        <v>43</v>
      </c>
      <c r="H1093" t="s">
        <v>81</v>
      </c>
      <c r="I1093" t="s">
        <v>43</v>
      </c>
      <c r="J1093" t="s">
        <v>168</v>
      </c>
      <c r="K1093" t="s">
        <v>43</v>
      </c>
      <c r="L1093" t="s">
        <v>152</v>
      </c>
      <c r="M1093" t="s">
        <v>49</v>
      </c>
      <c r="N1093" t="s">
        <v>160</v>
      </c>
      <c r="O1093" t="s">
        <v>41</v>
      </c>
      <c r="P1093" t="s">
        <v>148</v>
      </c>
      <c r="Q1093">
        <v>23</v>
      </c>
      <c r="R1093">
        <v>1</v>
      </c>
      <c r="S1093">
        <v>8</v>
      </c>
      <c r="T1093">
        <v>5</v>
      </c>
      <c r="U1093">
        <v>7</v>
      </c>
      <c r="V1093">
        <v>25</v>
      </c>
      <c r="W1093">
        <v>61</v>
      </c>
      <c r="X1093">
        <v>1355</v>
      </c>
      <c r="Y1093">
        <v>8916</v>
      </c>
      <c r="Z1093">
        <v>2942</v>
      </c>
      <c r="AA1093">
        <v>3</v>
      </c>
      <c r="AB1093" s="29">
        <v>44773</v>
      </c>
      <c r="AC1093" s="29">
        <v>35331</v>
      </c>
      <c r="AD1093" s="29">
        <v>42184</v>
      </c>
      <c r="AE1093" s="29"/>
      <c r="AF1093">
        <v>7</v>
      </c>
      <c r="AG1093" t="s">
        <v>157</v>
      </c>
      <c r="AI1093">
        <v>19</v>
      </c>
      <c r="AJ1093">
        <v>1</v>
      </c>
      <c r="AK1093" t="s">
        <v>150</v>
      </c>
      <c r="AL1093" t="s">
        <v>77</v>
      </c>
      <c r="AM1093">
        <f t="shared" si="85"/>
        <v>2</v>
      </c>
      <c r="AN1093">
        <f t="shared" si="86"/>
        <v>6</v>
      </c>
      <c r="AO1093" t="str">
        <f t="shared" si="87"/>
        <v/>
      </c>
      <c r="AP1093" t="str">
        <f t="shared" si="88"/>
        <v/>
      </c>
      <c r="AQ1093">
        <f t="shared" si="89"/>
        <v>2015</v>
      </c>
    </row>
    <row r="1094" spans="1:43" x14ac:dyDescent="0.35">
      <c r="A1094">
        <v>846</v>
      </c>
      <c r="B1094">
        <v>28</v>
      </c>
      <c r="C1094" t="s">
        <v>148</v>
      </c>
      <c r="D1094" t="s">
        <v>145</v>
      </c>
      <c r="E1094" t="s">
        <v>158</v>
      </c>
      <c r="F1094" t="s">
        <v>37</v>
      </c>
      <c r="G1094" t="s">
        <v>42</v>
      </c>
      <c r="H1094" t="s">
        <v>81</v>
      </c>
      <c r="I1094" t="s">
        <v>43</v>
      </c>
      <c r="J1094" t="s">
        <v>159</v>
      </c>
      <c r="K1094" t="s">
        <v>42</v>
      </c>
      <c r="L1094" t="s">
        <v>152</v>
      </c>
      <c r="M1094" t="s">
        <v>49</v>
      </c>
      <c r="N1094" t="s">
        <v>160</v>
      </c>
      <c r="P1094" t="s">
        <v>144</v>
      </c>
      <c r="Q1094">
        <v>20</v>
      </c>
      <c r="R1094">
        <v>1</v>
      </c>
      <c r="S1094">
        <v>8</v>
      </c>
      <c r="T1094">
        <v>7</v>
      </c>
      <c r="U1094">
        <v>5</v>
      </c>
      <c r="V1094">
        <v>2</v>
      </c>
      <c r="W1094">
        <v>81</v>
      </c>
      <c r="X1094">
        <v>760</v>
      </c>
      <c r="Y1094">
        <v>3698</v>
      </c>
      <c r="Z1094">
        <v>4779</v>
      </c>
      <c r="AA1094">
        <v>2</v>
      </c>
      <c r="AB1094" s="29">
        <v>44773</v>
      </c>
      <c r="AC1094" s="29">
        <v>34751</v>
      </c>
      <c r="AD1094" s="29">
        <v>42190</v>
      </c>
      <c r="AE1094" s="29"/>
      <c r="AF1094">
        <v>7</v>
      </c>
      <c r="AG1094" t="s">
        <v>157</v>
      </c>
      <c r="AI1094">
        <v>21</v>
      </c>
      <c r="AJ1094">
        <v>1</v>
      </c>
      <c r="AK1094" t="s">
        <v>150</v>
      </c>
      <c r="AL1094" t="s">
        <v>78</v>
      </c>
      <c r="AM1094">
        <f t="shared" si="85"/>
        <v>3</v>
      </c>
      <c r="AN1094">
        <f t="shared" si="86"/>
        <v>7</v>
      </c>
      <c r="AO1094" t="str">
        <f t="shared" si="87"/>
        <v/>
      </c>
      <c r="AP1094" t="str">
        <f t="shared" si="88"/>
        <v/>
      </c>
      <c r="AQ1094">
        <f t="shared" si="89"/>
        <v>2015</v>
      </c>
    </row>
    <row r="1095" spans="1:43" x14ac:dyDescent="0.35">
      <c r="A1095">
        <v>903</v>
      </c>
      <c r="B1095">
        <v>47</v>
      </c>
      <c r="C1095" t="s">
        <v>148</v>
      </c>
      <c r="D1095" t="s">
        <v>145</v>
      </c>
      <c r="E1095" t="s">
        <v>158</v>
      </c>
      <c r="F1095" t="s">
        <v>36</v>
      </c>
      <c r="G1095" t="s">
        <v>43</v>
      </c>
      <c r="H1095" t="s">
        <v>81</v>
      </c>
      <c r="I1095" t="s">
        <v>43</v>
      </c>
      <c r="J1095" t="s">
        <v>159</v>
      </c>
      <c r="K1095" t="s">
        <v>44</v>
      </c>
      <c r="L1095" t="s">
        <v>152</v>
      </c>
      <c r="M1095" t="s">
        <v>49</v>
      </c>
      <c r="N1095" t="s">
        <v>160</v>
      </c>
      <c r="O1095" t="s">
        <v>41</v>
      </c>
      <c r="P1095" t="s">
        <v>144</v>
      </c>
      <c r="Q1095">
        <v>22</v>
      </c>
      <c r="R1095">
        <v>0</v>
      </c>
      <c r="S1095">
        <v>8</v>
      </c>
      <c r="T1095">
        <v>7</v>
      </c>
      <c r="U1095">
        <v>7</v>
      </c>
      <c r="V1095">
        <v>2</v>
      </c>
      <c r="W1095">
        <v>35</v>
      </c>
      <c r="X1095">
        <v>249</v>
      </c>
      <c r="Y1095">
        <v>17783</v>
      </c>
      <c r="Z1095">
        <v>4537</v>
      </c>
      <c r="AA1095">
        <v>2</v>
      </c>
      <c r="AB1095" s="29">
        <v>44773</v>
      </c>
      <c r="AC1095" s="29">
        <v>27621</v>
      </c>
      <c r="AD1095" s="29">
        <v>42245</v>
      </c>
      <c r="AE1095" s="29"/>
      <c r="AF1095">
        <v>7</v>
      </c>
      <c r="AG1095" t="s">
        <v>153</v>
      </c>
      <c r="AI1095">
        <v>40</v>
      </c>
      <c r="AJ1095">
        <v>1</v>
      </c>
      <c r="AK1095" t="s">
        <v>150</v>
      </c>
      <c r="AL1095" t="s">
        <v>77</v>
      </c>
      <c r="AM1095">
        <f t="shared" si="85"/>
        <v>3</v>
      </c>
      <c r="AN1095">
        <f t="shared" si="86"/>
        <v>8</v>
      </c>
      <c r="AO1095" t="str">
        <f t="shared" si="87"/>
        <v/>
      </c>
      <c r="AP1095" t="str">
        <f t="shared" si="88"/>
        <v/>
      </c>
      <c r="AQ1095">
        <f t="shared" si="89"/>
        <v>2015</v>
      </c>
    </row>
    <row r="1096" spans="1:43" x14ac:dyDescent="0.35">
      <c r="A1096">
        <v>1849</v>
      </c>
      <c r="B1096">
        <v>43</v>
      </c>
      <c r="C1096" t="s">
        <v>148</v>
      </c>
      <c r="D1096" t="s">
        <v>151</v>
      </c>
      <c r="E1096" t="s">
        <v>158</v>
      </c>
      <c r="F1096" t="s">
        <v>37</v>
      </c>
      <c r="G1096" t="s">
        <v>41</v>
      </c>
      <c r="H1096" t="s">
        <v>82</v>
      </c>
      <c r="I1096" t="s">
        <v>43</v>
      </c>
      <c r="J1096" t="s">
        <v>159</v>
      </c>
      <c r="K1096" t="s">
        <v>44</v>
      </c>
      <c r="L1096" t="s">
        <v>152</v>
      </c>
      <c r="M1096" t="s">
        <v>49</v>
      </c>
      <c r="N1096" t="s">
        <v>160</v>
      </c>
      <c r="O1096" t="s">
        <v>41</v>
      </c>
      <c r="P1096" t="s">
        <v>148</v>
      </c>
      <c r="Q1096">
        <v>20</v>
      </c>
      <c r="R1096">
        <v>1</v>
      </c>
      <c r="S1096">
        <v>7</v>
      </c>
      <c r="T1096">
        <v>7</v>
      </c>
      <c r="U1096">
        <v>7</v>
      </c>
      <c r="V1096">
        <v>2</v>
      </c>
      <c r="W1096">
        <v>92</v>
      </c>
      <c r="X1096">
        <v>1422</v>
      </c>
      <c r="Y1096">
        <v>19246</v>
      </c>
      <c r="Z1096">
        <v>5675</v>
      </c>
      <c r="AA1096">
        <v>5</v>
      </c>
      <c r="AB1096" s="29">
        <v>44773</v>
      </c>
      <c r="AC1096" s="29">
        <v>29177</v>
      </c>
      <c r="AD1096" s="29">
        <v>42291</v>
      </c>
      <c r="AE1096" s="29"/>
      <c r="AF1096">
        <v>7</v>
      </c>
      <c r="AG1096" t="s">
        <v>153</v>
      </c>
      <c r="AI1096">
        <v>36</v>
      </c>
      <c r="AJ1096">
        <v>1</v>
      </c>
      <c r="AK1096" t="s">
        <v>150</v>
      </c>
      <c r="AL1096" t="s">
        <v>77</v>
      </c>
      <c r="AM1096">
        <f t="shared" si="85"/>
        <v>4</v>
      </c>
      <c r="AN1096">
        <f t="shared" si="86"/>
        <v>10</v>
      </c>
      <c r="AO1096" t="str">
        <f t="shared" si="87"/>
        <v/>
      </c>
      <c r="AP1096" t="str">
        <f t="shared" si="88"/>
        <v/>
      </c>
      <c r="AQ1096">
        <f t="shared" si="89"/>
        <v>2015</v>
      </c>
    </row>
    <row r="1097" spans="1:43" x14ac:dyDescent="0.35">
      <c r="A1097">
        <v>1693</v>
      </c>
      <c r="B1097">
        <v>26</v>
      </c>
      <c r="C1097" t="s">
        <v>148</v>
      </c>
      <c r="D1097" t="s">
        <v>164</v>
      </c>
      <c r="E1097" t="s">
        <v>4</v>
      </c>
      <c r="F1097" t="s">
        <v>38</v>
      </c>
      <c r="G1097" t="s">
        <v>44</v>
      </c>
      <c r="H1097" t="s">
        <v>82</v>
      </c>
      <c r="I1097" t="s">
        <v>43</v>
      </c>
      <c r="J1097" t="s">
        <v>155</v>
      </c>
      <c r="K1097" t="s">
        <v>44</v>
      </c>
      <c r="L1097" t="s">
        <v>152</v>
      </c>
      <c r="M1097" t="s">
        <v>49</v>
      </c>
      <c r="N1097" t="s">
        <v>95</v>
      </c>
      <c r="P1097" t="s">
        <v>148</v>
      </c>
      <c r="Q1097">
        <v>20</v>
      </c>
      <c r="R1097">
        <v>1</v>
      </c>
      <c r="S1097">
        <v>7</v>
      </c>
      <c r="T1097">
        <v>5</v>
      </c>
      <c r="U1097">
        <v>3</v>
      </c>
      <c r="V1097">
        <v>7</v>
      </c>
      <c r="W1097">
        <v>76</v>
      </c>
      <c r="X1097">
        <v>786</v>
      </c>
      <c r="Y1097">
        <v>11925</v>
      </c>
      <c r="Z1097">
        <v>2570</v>
      </c>
      <c r="AA1097">
        <v>5</v>
      </c>
      <c r="AB1097" s="29">
        <v>44773</v>
      </c>
      <c r="AC1097" s="29">
        <v>35558</v>
      </c>
      <c r="AD1097" s="29">
        <v>42478</v>
      </c>
      <c r="AE1097" s="29"/>
      <c r="AF1097">
        <v>6</v>
      </c>
      <c r="AG1097" t="s">
        <v>157</v>
      </c>
      <c r="AI1097">
        <v>20</v>
      </c>
      <c r="AJ1097">
        <v>2</v>
      </c>
      <c r="AK1097" t="s">
        <v>150</v>
      </c>
      <c r="AL1097" t="s">
        <v>77</v>
      </c>
      <c r="AM1097">
        <f t="shared" si="85"/>
        <v>2</v>
      </c>
      <c r="AN1097">
        <f t="shared" si="86"/>
        <v>4</v>
      </c>
      <c r="AO1097" t="str">
        <f t="shared" si="87"/>
        <v/>
      </c>
      <c r="AP1097" t="str">
        <f t="shared" si="88"/>
        <v/>
      </c>
      <c r="AQ1097">
        <f t="shared" si="89"/>
        <v>2016</v>
      </c>
    </row>
    <row r="1098" spans="1:43" x14ac:dyDescent="0.35">
      <c r="A1098">
        <v>653</v>
      </c>
      <c r="B1098">
        <v>31</v>
      </c>
      <c r="C1098" t="s">
        <v>148</v>
      </c>
      <c r="D1098" t="s">
        <v>145</v>
      </c>
      <c r="E1098" t="s">
        <v>158</v>
      </c>
      <c r="F1098" t="s">
        <v>37</v>
      </c>
      <c r="G1098" t="s">
        <v>41</v>
      </c>
      <c r="H1098" t="s">
        <v>82</v>
      </c>
      <c r="I1098" t="s">
        <v>44</v>
      </c>
      <c r="J1098" t="s">
        <v>159</v>
      </c>
      <c r="K1098" t="s">
        <v>44</v>
      </c>
      <c r="L1098" t="s">
        <v>152</v>
      </c>
      <c r="M1098" t="s">
        <v>50</v>
      </c>
      <c r="N1098" t="s">
        <v>96</v>
      </c>
      <c r="O1098" t="s">
        <v>156</v>
      </c>
      <c r="P1098" t="s">
        <v>148</v>
      </c>
      <c r="Q1098">
        <v>22</v>
      </c>
      <c r="R1098">
        <v>4</v>
      </c>
      <c r="S1098">
        <v>13</v>
      </c>
      <c r="T1098">
        <v>5</v>
      </c>
      <c r="U1098">
        <v>3</v>
      </c>
      <c r="V1098">
        <v>6</v>
      </c>
      <c r="W1098">
        <v>66</v>
      </c>
      <c r="X1098">
        <v>525</v>
      </c>
      <c r="Y1098">
        <v>6219</v>
      </c>
      <c r="Z1098">
        <v>5460</v>
      </c>
      <c r="AA1098">
        <v>4</v>
      </c>
      <c r="AB1098" s="29">
        <v>44773</v>
      </c>
      <c r="AC1098" s="29">
        <v>33771</v>
      </c>
      <c r="AD1098" s="29">
        <v>42483</v>
      </c>
      <c r="AE1098" s="29"/>
      <c r="AF1098">
        <v>6</v>
      </c>
      <c r="AG1098" t="s">
        <v>149</v>
      </c>
      <c r="AI1098">
        <v>25</v>
      </c>
      <c r="AJ1098">
        <v>1</v>
      </c>
      <c r="AK1098" t="s">
        <v>150</v>
      </c>
      <c r="AL1098" t="s">
        <v>77</v>
      </c>
      <c r="AM1098">
        <f t="shared" si="85"/>
        <v>2</v>
      </c>
      <c r="AN1098">
        <f t="shared" si="86"/>
        <v>4</v>
      </c>
      <c r="AO1098" t="str">
        <f t="shared" si="87"/>
        <v/>
      </c>
      <c r="AP1098" t="str">
        <f t="shared" si="88"/>
        <v/>
      </c>
      <c r="AQ1098">
        <f t="shared" si="89"/>
        <v>2016</v>
      </c>
    </row>
    <row r="1099" spans="1:43" x14ac:dyDescent="0.35">
      <c r="A1099">
        <v>1237</v>
      </c>
      <c r="B1099">
        <v>36</v>
      </c>
      <c r="C1099" t="s">
        <v>148</v>
      </c>
      <c r="D1099" t="s">
        <v>145</v>
      </c>
      <c r="E1099" t="s">
        <v>4</v>
      </c>
      <c r="F1099" t="s">
        <v>38</v>
      </c>
      <c r="G1099" t="s">
        <v>43</v>
      </c>
      <c r="H1099" t="s">
        <v>81</v>
      </c>
      <c r="I1099" t="s">
        <v>41</v>
      </c>
      <c r="J1099" t="s">
        <v>165</v>
      </c>
      <c r="K1099" t="s">
        <v>41</v>
      </c>
      <c r="L1099" t="s">
        <v>152</v>
      </c>
      <c r="M1099" t="s">
        <v>49</v>
      </c>
      <c r="N1099" t="s">
        <v>96</v>
      </c>
      <c r="O1099" t="s">
        <v>41</v>
      </c>
      <c r="P1099" t="s">
        <v>144</v>
      </c>
      <c r="Q1099">
        <v>21</v>
      </c>
      <c r="R1099">
        <v>2</v>
      </c>
      <c r="S1099">
        <v>17</v>
      </c>
      <c r="T1099">
        <v>4</v>
      </c>
      <c r="U1099">
        <v>4</v>
      </c>
      <c r="V1099">
        <v>1</v>
      </c>
      <c r="W1099">
        <v>77</v>
      </c>
      <c r="X1099">
        <v>363</v>
      </c>
      <c r="Y1099">
        <v>4235</v>
      </c>
      <c r="Z1099">
        <v>10252</v>
      </c>
      <c r="AA1099">
        <v>2</v>
      </c>
      <c r="AB1099" s="29">
        <v>44773</v>
      </c>
      <c r="AC1099" s="29">
        <v>31820</v>
      </c>
      <c r="AD1099" s="29">
        <v>42532</v>
      </c>
      <c r="AE1099" s="29"/>
      <c r="AF1099">
        <v>6</v>
      </c>
      <c r="AG1099" t="s">
        <v>149</v>
      </c>
      <c r="AI1099">
        <v>30</v>
      </c>
      <c r="AJ1099">
        <v>1</v>
      </c>
      <c r="AK1099" t="s">
        <v>150</v>
      </c>
      <c r="AL1099" t="s">
        <v>77</v>
      </c>
      <c r="AM1099">
        <f t="shared" si="85"/>
        <v>2</v>
      </c>
      <c r="AN1099">
        <f t="shared" si="86"/>
        <v>6</v>
      </c>
      <c r="AO1099" t="str">
        <f t="shared" si="87"/>
        <v/>
      </c>
      <c r="AP1099" t="str">
        <f t="shared" si="88"/>
        <v/>
      </c>
      <c r="AQ1099">
        <f t="shared" si="89"/>
        <v>2016</v>
      </c>
    </row>
    <row r="1100" spans="1:43" x14ac:dyDescent="0.35">
      <c r="A1100">
        <v>205</v>
      </c>
      <c r="B1100">
        <v>53</v>
      </c>
      <c r="C1100" t="s">
        <v>148</v>
      </c>
      <c r="D1100" t="s">
        <v>145</v>
      </c>
      <c r="E1100" t="s">
        <v>158</v>
      </c>
      <c r="F1100" t="s">
        <v>36</v>
      </c>
      <c r="G1100" t="s">
        <v>42</v>
      </c>
      <c r="H1100" t="s">
        <v>82</v>
      </c>
      <c r="I1100" t="s">
        <v>43</v>
      </c>
      <c r="J1100" t="s">
        <v>166</v>
      </c>
      <c r="K1100" t="s">
        <v>43</v>
      </c>
      <c r="L1100" t="s">
        <v>152</v>
      </c>
      <c r="M1100" t="s">
        <v>47</v>
      </c>
      <c r="N1100" t="s">
        <v>160</v>
      </c>
      <c r="O1100" t="s">
        <v>41</v>
      </c>
      <c r="P1100" t="s">
        <v>144</v>
      </c>
      <c r="Q1100">
        <v>20</v>
      </c>
      <c r="R1100">
        <v>2</v>
      </c>
      <c r="S1100">
        <v>13</v>
      </c>
      <c r="T1100">
        <v>4</v>
      </c>
      <c r="U1100">
        <v>5</v>
      </c>
      <c r="V1100">
        <v>6</v>
      </c>
      <c r="W1100">
        <v>34</v>
      </c>
      <c r="X1100">
        <v>1436</v>
      </c>
      <c r="Y1100">
        <v>16047</v>
      </c>
      <c r="Z1100">
        <v>2306</v>
      </c>
      <c r="AA1100">
        <v>3</v>
      </c>
      <c r="AB1100" s="29">
        <v>44773</v>
      </c>
      <c r="AC1100" s="29">
        <v>25724</v>
      </c>
      <c r="AD1100" s="29">
        <v>42542</v>
      </c>
      <c r="AE1100" s="29"/>
      <c r="AF1100">
        <v>6</v>
      </c>
      <c r="AG1100" t="s">
        <v>167</v>
      </c>
      <c r="AI1100">
        <v>47</v>
      </c>
      <c r="AJ1100">
        <v>1</v>
      </c>
      <c r="AK1100" t="s">
        <v>150</v>
      </c>
      <c r="AL1100" t="s">
        <v>77</v>
      </c>
      <c r="AM1100">
        <f t="shared" si="85"/>
        <v>2</v>
      </c>
      <c r="AN1100">
        <f t="shared" si="86"/>
        <v>6</v>
      </c>
      <c r="AO1100" t="str">
        <f t="shared" si="87"/>
        <v/>
      </c>
      <c r="AP1100" t="str">
        <f t="shared" si="88"/>
        <v/>
      </c>
      <c r="AQ1100">
        <f t="shared" si="89"/>
        <v>2016</v>
      </c>
    </row>
    <row r="1101" spans="1:43" x14ac:dyDescent="0.35">
      <c r="A1101">
        <v>1854</v>
      </c>
      <c r="B1101">
        <v>42</v>
      </c>
      <c r="C1101" t="s">
        <v>148</v>
      </c>
      <c r="D1101" t="s">
        <v>164</v>
      </c>
      <c r="E1101" t="s">
        <v>4</v>
      </c>
      <c r="F1101" t="s">
        <v>37</v>
      </c>
      <c r="G1101" t="s">
        <v>43</v>
      </c>
      <c r="H1101" t="s">
        <v>82</v>
      </c>
      <c r="I1101" t="s">
        <v>43</v>
      </c>
      <c r="J1101" t="s">
        <v>146</v>
      </c>
      <c r="K1101" t="s">
        <v>43</v>
      </c>
      <c r="L1101" t="s">
        <v>152</v>
      </c>
      <c r="M1101" t="s">
        <v>48</v>
      </c>
      <c r="N1101" t="s">
        <v>160</v>
      </c>
      <c r="O1101" t="s">
        <v>156</v>
      </c>
      <c r="P1101" t="s">
        <v>148</v>
      </c>
      <c r="Q1101">
        <v>22</v>
      </c>
      <c r="R1101">
        <v>3</v>
      </c>
      <c r="S1101">
        <v>10</v>
      </c>
      <c r="T1101">
        <v>3</v>
      </c>
      <c r="U1101">
        <v>3</v>
      </c>
      <c r="V1101">
        <v>10</v>
      </c>
      <c r="W1101">
        <v>38</v>
      </c>
      <c r="X1101">
        <v>355</v>
      </c>
      <c r="Y1101">
        <v>6161</v>
      </c>
      <c r="Z1101">
        <v>2936</v>
      </c>
      <c r="AA1101">
        <v>1</v>
      </c>
      <c r="AB1101" s="29">
        <v>44773</v>
      </c>
      <c r="AC1101" s="29">
        <v>29655</v>
      </c>
      <c r="AD1101" s="29">
        <v>42643</v>
      </c>
      <c r="AE1101" s="29"/>
      <c r="AF1101">
        <v>6</v>
      </c>
      <c r="AG1101" t="s">
        <v>153</v>
      </c>
      <c r="AI1101">
        <v>36</v>
      </c>
      <c r="AJ1101">
        <v>1</v>
      </c>
      <c r="AK1101" t="s">
        <v>150</v>
      </c>
      <c r="AL1101" t="s">
        <v>77</v>
      </c>
      <c r="AM1101">
        <f t="shared" si="85"/>
        <v>3</v>
      </c>
      <c r="AN1101">
        <f t="shared" si="86"/>
        <v>9</v>
      </c>
      <c r="AO1101" t="str">
        <f t="shared" si="87"/>
        <v/>
      </c>
      <c r="AP1101" t="str">
        <f t="shared" si="88"/>
        <v/>
      </c>
      <c r="AQ1101">
        <f t="shared" si="89"/>
        <v>2016</v>
      </c>
    </row>
    <row r="1102" spans="1:43" x14ac:dyDescent="0.35">
      <c r="A1102">
        <v>1116</v>
      </c>
      <c r="B1102">
        <v>48</v>
      </c>
      <c r="C1102" t="s">
        <v>148</v>
      </c>
      <c r="D1102" t="s">
        <v>164</v>
      </c>
      <c r="E1102" t="s">
        <v>4</v>
      </c>
      <c r="F1102" t="s">
        <v>37</v>
      </c>
      <c r="G1102" t="s">
        <v>41</v>
      </c>
      <c r="H1102" t="s">
        <v>82</v>
      </c>
      <c r="I1102" t="s">
        <v>44</v>
      </c>
      <c r="J1102" t="s">
        <v>169</v>
      </c>
      <c r="K1102" t="s">
        <v>44</v>
      </c>
      <c r="L1102" t="s">
        <v>152</v>
      </c>
      <c r="M1102" t="s">
        <v>48</v>
      </c>
      <c r="N1102" t="s">
        <v>95</v>
      </c>
      <c r="P1102" t="s">
        <v>148</v>
      </c>
      <c r="Q1102">
        <v>22</v>
      </c>
      <c r="R1102">
        <v>2</v>
      </c>
      <c r="S1102">
        <v>27</v>
      </c>
      <c r="T1102">
        <v>2</v>
      </c>
      <c r="U1102">
        <v>1</v>
      </c>
      <c r="V1102">
        <v>1</v>
      </c>
      <c r="W1102">
        <v>35</v>
      </c>
      <c r="X1102">
        <v>1262</v>
      </c>
      <c r="Y1102">
        <v>16154</v>
      </c>
      <c r="Z1102">
        <v>16885</v>
      </c>
      <c r="AA1102">
        <v>3</v>
      </c>
      <c r="AB1102" s="29">
        <v>44773</v>
      </c>
      <c r="AC1102" s="29">
        <v>27246</v>
      </c>
      <c r="AD1102" s="29">
        <v>42998</v>
      </c>
      <c r="AE1102" s="29"/>
      <c r="AF1102">
        <v>5</v>
      </c>
      <c r="AG1102" t="s">
        <v>153</v>
      </c>
      <c r="AI1102">
        <v>43</v>
      </c>
      <c r="AJ1102">
        <v>1</v>
      </c>
      <c r="AK1102" t="s">
        <v>162</v>
      </c>
      <c r="AL1102" t="s">
        <v>77</v>
      </c>
      <c r="AM1102">
        <f t="shared" si="85"/>
        <v>3</v>
      </c>
      <c r="AN1102">
        <f t="shared" si="86"/>
        <v>9</v>
      </c>
      <c r="AO1102" t="str">
        <f t="shared" si="87"/>
        <v/>
      </c>
      <c r="AP1102" t="str">
        <f t="shared" si="88"/>
        <v/>
      </c>
      <c r="AQ1102">
        <f t="shared" si="89"/>
        <v>2017</v>
      </c>
    </row>
    <row r="1103" spans="1:43" x14ac:dyDescent="0.35">
      <c r="A1103">
        <v>1554</v>
      </c>
      <c r="B1103">
        <v>35</v>
      </c>
      <c r="C1103" t="s">
        <v>148</v>
      </c>
      <c r="D1103" t="s">
        <v>145</v>
      </c>
      <c r="E1103" t="s">
        <v>158</v>
      </c>
      <c r="F1103" t="s">
        <v>37</v>
      </c>
      <c r="G1103" t="s">
        <v>42</v>
      </c>
      <c r="H1103" t="s">
        <v>81</v>
      </c>
      <c r="I1103" t="s">
        <v>42</v>
      </c>
      <c r="J1103" t="s">
        <v>166</v>
      </c>
      <c r="K1103" t="s">
        <v>43</v>
      </c>
      <c r="L1103" t="s">
        <v>152</v>
      </c>
      <c r="M1103" t="s">
        <v>49</v>
      </c>
      <c r="N1103" t="s">
        <v>160</v>
      </c>
      <c r="O1103" t="s">
        <v>156</v>
      </c>
      <c r="P1103" t="s">
        <v>148</v>
      </c>
      <c r="Q1103">
        <v>23</v>
      </c>
      <c r="R1103">
        <v>0</v>
      </c>
      <c r="S1103">
        <v>6</v>
      </c>
      <c r="T1103">
        <v>4</v>
      </c>
      <c r="U1103">
        <v>2</v>
      </c>
      <c r="V1103">
        <v>28</v>
      </c>
      <c r="W1103">
        <v>98</v>
      </c>
      <c r="X1103">
        <v>1402</v>
      </c>
      <c r="Y1103">
        <v>26204</v>
      </c>
      <c r="Z1103">
        <v>2430</v>
      </c>
      <c r="AA1103">
        <v>5</v>
      </c>
      <c r="AB1103" s="29">
        <v>44773</v>
      </c>
      <c r="AC1103" s="29">
        <v>32077</v>
      </c>
      <c r="AD1103" s="29">
        <v>43187</v>
      </c>
      <c r="AE1103" s="29"/>
      <c r="AF1103">
        <v>4</v>
      </c>
      <c r="AG1103" t="s">
        <v>149</v>
      </c>
      <c r="AI1103">
        <v>31</v>
      </c>
      <c r="AJ1103">
        <v>2</v>
      </c>
      <c r="AK1103" t="s">
        <v>162</v>
      </c>
      <c r="AL1103" t="s">
        <v>77</v>
      </c>
      <c r="AM1103">
        <f t="shared" si="85"/>
        <v>1</v>
      </c>
      <c r="AN1103">
        <f t="shared" si="86"/>
        <v>3</v>
      </c>
      <c r="AO1103" t="str">
        <f t="shared" si="87"/>
        <v/>
      </c>
      <c r="AP1103" t="str">
        <f t="shared" si="88"/>
        <v/>
      </c>
      <c r="AQ1103">
        <f t="shared" si="89"/>
        <v>2018</v>
      </c>
    </row>
    <row r="1104" spans="1:43" x14ac:dyDescent="0.35">
      <c r="A1104">
        <v>1675</v>
      </c>
      <c r="B1104">
        <v>38</v>
      </c>
      <c r="C1104" t="s">
        <v>148</v>
      </c>
      <c r="D1104" t="s">
        <v>151</v>
      </c>
      <c r="E1104" t="s">
        <v>4</v>
      </c>
      <c r="F1104" t="s">
        <v>38</v>
      </c>
      <c r="G1104" t="s">
        <v>44</v>
      </c>
      <c r="H1104" t="s">
        <v>81</v>
      </c>
      <c r="I1104" t="s">
        <v>42</v>
      </c>
      <c r="J1104" t="s">
        <v>155</v>
      </c>
      <c r="K1104" t="s">
        <v>42</v>
      </c>
      <c r="L1104" t="s">
        <v>152</v>
      </c>
      <c r="M1104" t="s">
        <v>49</v>
      </c>
      <c r="N1104" t="s">
        <v>95</v>
      </c>
      <c r="P1104" t="s">
        <v>148</v>
      </c>
      <c r="Q1104">
        <v>22</v>
      </c>
      <c r="R1104">
        <v>1</v>
      </c>
      <c r="S1104">
        <v>4</v>
      </c>
      <c r="T1104">
        <v>3</v>
      </c>
      <c r="U1104">
        <v>3</v>
      </c>
      <c r="V1104">
        <v>2</v>
      </c>
      <c r="W1104">
        <v>42</v>
      </c>
      <c r="X1104">
        <v>148</v>
      </c>
      <c r="Y1104">
        <v>23826</v>
      </c>
      <c r="Z1104">
        <v>2440</v>
      </c>
      <c r="AA1104">
        <v>3</v>
      </c>
      <c r="AB1104" s="29">
        <v>44773</v>
      </c>
      <c r="AC1104" s="29">
        <v>31054</v>
      </c>
      <c r="AD1104" s="29">
        <v>43444</v>
      </c>
      <c r="AE1104" s="29"/>
      <c r="AF1104">
        <v>4</v>
      </c>
      <c r="AG1104" t="s">
        <v>149</v>
      </c>
      <c r="AI1104">
        <v>34</v>
      </c>
      <c r="AJ1104">
        <v>1</v>
      </c>
      <c r="AK1104" t="s">
        <v>162</v>
      </c>
      <c r="AL1104" t="s">
        <v>77</v>
      </c>
      <c r="AM1104">
        <f t="shared" si="85"/>
        <v>4</v>
      </c>
      <c r="AN1104">
        <f t="shared" si="86"/>
        <v>12</v>
      </c>
      <c r="AO1104" t="str">
        <f t="shared" si="87"/>
        <v/>
      </c>
      <c r="AP1104" t="str">
        <f t="shared" si="88"/>
        <v/>
      </c>
      <c r="AQ1104">
        <f t="shared" si="89"/>
        <v>2018</v>
      </c>
    </row>
    <row r="1105" spans="1:43" x14ac:dyDescent="0.35">
      <c r="A1105">
        <v>763</v>
      </c>
      <c r="B1105">
        <v>40</v>
      </c>
      <c r="C1105" t="s">
        <v>148</v>
      </c>
      <c r="D1105" t="s">
        <v>145</v>
      </c>
      <c r="E1105" t="s">
        <v>4</v>
      </c>
      <c r="F1105" t="s">
        <v>35</v>
      </c>
      <c r="G1105" t="s">
        <v>44</v>
      </c>
      <c r="H1105" t="s">
        <v>81</v>
      </c>
      <c r="I1105" t="s">
        <v>42</v>
      </c>
      <c r="J1105" t="s">
        <v>146</v>
      </c>
      <c r="K1105" t="s">
        <v>44</v>
      </c>
      <c r="L1105" t="s">
        <v>152</v>
      </c>
      <c r="M1105" t="s">
        <v>48</v>
      </c>
      <c r="N1105" t="s">
        <v>95</v>
      </c>
      <c r="P1105" t="s">
        <v>144</v>
      </c>
      <c r="Q1105">
        <v>20</v>
      </c>
      <c r="R1105">
        <v>0</v>
      </c>
      <c r="S1105">
        <v>5</v>
      </c>
      <c r="T1105">
        <v>2</v>
      </c>
      <c r="U1105">
        <v>3</v>
      </c>
      <c r="V1105">
        <v>2</v>
      </c>
      <c r="W1105">
        <v>86</v>
      </c>
      <c r="X1105">
        <v>804</v>
      </c>
      <c r="Y1105">
        <v>22929</v>
      </c>
      <c r="Z1105">
        <v>2342</v>
      </c>
      <c r="AA1105">
        <v>2</v>
      </c>
      <c r="AB1105" s="29">
        <v>44773</v>
      </c>
      <c r="AC1105" s="29">
        <v>30428</v>
      </c>
      <c r="AD1105" s="29">
        <v>43514</v>
      </c>
      <c r="AE1105" s="29"/>
      <c r="AF1105">
        <v>3</v>
      </c>
      <c r="AG1105" t="s">
        <v>153</v>
      </c>
      <c r="AI1105">
        <v>37</v>
      </c>
      <c r="AJ1105">
        <v>2</v>
      </c>
      <c r="AK1105" t="s">
        <v>170</v>
      </c>
      <c r="AL1105" t="s">
        <v>77</v>
      </c>
      <c r="AM1105">
        <f t="shared" si="85"/>
        <v>1</v>
      </c>
      <c r="AN1105">
        <f t="shared" si="86"/>
        <v>2</v>
      </c>
      <c r="AO1105" t="str">
        <f t="shared" si="87"/>
        <v/>
      </c>
      <c r="AP1105" t="str">
        <f t="shared" si="88"/>
        <v/>
      </c>
      <c r="AQ1105">
        <f t="shared" si="89"/>
        <v>2019</v>
      </c>
    </row>
    <row r="1106" spans="1:43" x14ac:dyDescent="0.35">
      <c r="A1106">
        <v>1800</v>
      </c>
      <c r="B1106">
        <v>39</v>
      </c>
      <c r="C1106" t="s">
        <v>148</v>
      </c>
      <c r="D1106" t="s">
        <v>145</v>
      </c>
      <c r="E1106" t="s">
        <v>4</v>
      </c>
      <c r="F1106" t="s">
        <v>35</v>
      </c>
      <c r="G1106" t="s">
        <v>43</v>
      </c>
      <c r="H1106" t="s">
        <v>82</v>
      </c>
      <c r="I1106" t="s">
        <v>43</v>
      </c>
      <c r="J1106" t="s">
        <v>173</v>
      </c>
      <c r="K1106" t="s">
        <v>43</v>
      </c>
      <c r="L1106" t="s">
        <v>152</v>
      </c>
      <c r="M1106" t="s">
        <v>49</v>
      </c>
      <c r="N1106" t="s">
        <v>95</v>
      </c>
      <c r="P1106" t="s">
        <v>148</v>
      </c>
      <c r="Q1106">
        <v>21</v>
      </c>
      <c r="R1106">
        <v>7</v>
      </c>
      <c r="S1106">
        <v>9</v>
      </c>
      <c r="T1106">
        <v>2</v>
      </c>
      <c r="U1106">
        <v>2</v>
      </c>
      <c r="V1106">
        <v>10</v>
      </c>
      <c r="W1106">
        <v>65</v>
      </c>
      <c r="X1106">
        <v>1253</v>
      </c>
      <c r="Y1106">
        <v>7914</v>
      </c>
      <c r="Z1106">
        <v>13464</v>
      </c>
      <c r="AA1106">
        <v>3</v>
      </c>
      <c r="AB1106" s="29">
        <v>44773</v>
      </c>
      <c r="AC1106" s="29">
        <v>30787</v>
      </c>
      <c r="AD1106" s="29">
        <v>43586</v>
      </c>
      <c r="AE1106" s="29"/>
      <c r="AF1106">
        <v>3</v>
      </c>
      <c r="AG1106" t="s">
        <v>149</v>
      </c>
      <c r="AI1106">
        <v>36</v>
      </c>
      <c r="AJ1106">
        <v>1</v>
      </c>
      <c r="AK1106" t="s">
        <v>170</v>
      </c>
      <c r="AL1106" t="s">
        <v>77</v>
      </c>
      <c r="AM1106">
        <f t="shared" si="85"/>
        <v>2</v>
      </c>
      <c r="AN1106">
        <f t="shared" si="86"/>
        <v>5</v>
      </c>
      <c r="AO1106" t="str">
        <f t="shared" si="87"/>
        <v/>
      </c>
      <c r="AP1106" t="str">
        <f t="shared" si="88"/>
        <v/>
      </c>
      <c r="AQ1106">
        <f t="shared" si="89"/>
        <v>2019</v>
      </c>
    </row>
    <row r="1107" spans="1:43" x14ac:dyDescent="0.35">
      <c r="A1107">
        <v>193</v>
      </c>
      <c r="B1107">
        <v>38</v>
      </c>
      <c r="C1107" t="s">
        <v>148</v>
      </c>
      <c r="D1107" t="s">
        <v>145</v>
      </c>
      <c r="E1107" t="s">
        <v>4</v>
      </c>
      <c r="F1107" t="s">
        <v>34</v>
      </c>
      <c r="G1107" t="s">
        <v>44</v>
      </c>
      <c r="H1107" t="s">
        <v>81</v>
      </c>
      <c r="I1107" t="s">
        <v>43</v>
      </c>
      <c r="J1107" t="s">
        <v>146</v>
      </c>
      <c r="K1107" t="s">
        <v>43</v>
      </c>
      <c r="L1107" t="s">
        <v>152</v>
      </c>
      <c r="M1107" t="s">
        <v>49</v>
      </c>
      <c r="N1107" t="s">
        <v>95</v>
      </c>
      <c r="P1107" t="s">
        <v>144</v>
      </c>
      <c r="Q1107">
        <v>20</v>
      </c>
      <c r="R1107">
        <v>3</v>
      </c>
      <c r="S1107">
        <v>19</v>
      </c>
      <c r="T1107">
        <v>2</v>
      </c>
      <c r="U1107">
        <v>2</v>
      </c>
      <c r="V1107">
        <v>3</v>
      </c>
      <c r="W1107">
        <v>32</v>
      </c>
      <c r="X1107">
        <v>364</v>
      </c>
      <c r="Y1107">
        <v>2302</v>
      </c>
      <c r="Z1107">
        <v>4317</v>
      </c>
      <c r="AA1107">
        <v>2</v>
      </c>
      <c r="AB1107" s="29">
        <v>44773</v>
      </c>
      <c r="AC1107" s="29">
        <v>31216</v>
      </c>
      <c r="AD1107" s="29">
        <v>43698</v>
      </c>
      <c r="AE1107" s="29"/>
      <c r="AF1107">
        <v>3</v>
      </c>
      <c r="AG1107" t="s">
        <v>149</v>
      </c>
      <c r="AI1107">
        <v>35</v>
      </c>
      <c r="AJ1107">
        <v>2</v>
      </c>
      <c r="AK1107" t="s">
        <v>170</v>
      </c>
      <c r="AL1107" t="s">
        <v>77</v>
      </c>
      <c r="AM1107">
        <f t="shared" si="85"/>
        <v>3</v>
      </c>
      <c r="AN1107">
        <f t="shared" si="86"/>
        <v>8</v>
      </c>
      <c r="AO1107" t="str">
        <f t="shared" si="87"/>
        <v/>
      </c>
      <c r="AP1107" t="str">
        <f t="shared" si="88"/>
        <v/>
      </c>
      <c r="AQ1107">
        <f t="shared" si="89"/>
        <v>2019</v>
      </c>
    </row>
    <row r="1108" spans="1:43" x14ac:dyDescent="0.35">
      <c r="A1108">
        <v>140</v>
      </c>
      <c r="B1108">
        <v>59</v>
      </c>
      <c r="C1108" t="s">
        <v>148</v>
      </c>
      <c r="D1108" t="s">
        <v>164</v>
      </c>
      <c r="E1108" t="s">
        <v>168</v>
      </c>
      <c r="F1108" t="s">
        <v>37</v>
      </c>
      <c r="G1108" t="s">
        <v>43</v>
      </c>
      <c r="H1108" t="s">
        <v>81</v>
      </c>
      <c r="I1108" t="s">
        <v>42</v>
      </c>
      <c r="J1108" t="s">
        <v>169</v>
      </c>
      <c r="K1108" t="s">
        <v>44</v>
      </c>
      <c r="L1108" t="s">
        <v>152</v>
      </c>
      <c r="M1108" t="s">
        <v>49</v>
      </c>
      <c r="N1108" t="s">
        <v>160</v>
      </c>
      <c r="O1108" t="s">
        <v>41</v>
      </c>
      <c r="P1108" t="s">
        <v>148</v>
      </c>
      <c r="Q1108">
        <v>21</v>
      </c>
      <c r="R1108">
        <v>9</v>
      </c>
      <c r="S1108">
        <v>30</v>
      </c>
      <c r="T1108">
        <v>2</v>
      </c>
      <c r="U1108">
        <v>2</v>
      </c>
      <c r="V1108">
        <v>2</v>
      </c>
      <c r="W1108">
        <v>32</v>
      </c>
      <c r="X1108">
        <v>1420</v>
      </c>
      <c r="Y1108">
        <v>21922</v>
      </c>
      <c r="Z1108">
        <v>18844</v>
      </c>
      <c r="AA1108">
        <v>3</v>
      </c>
      <c r="AB1108" s="29">
        <v>44773</v>
      </c>
      <c r="AC1108" s="29">
        <v>23242</v>
      </c>
      <c r="AD1108" s="29">
        <v>43718</v>
      </c>
      <c r="AE1108" s="29"/>
      <c r="AF1108">
        <v>3</v>
      </c>
      <c r="AG1108" t="s">
        <v>167</v>
      </c>
      <c r="AI1108">
        <v>56</v>
      </c>
      <c r="AJ1108">
        <v>1</v>
      </c>
      <c r="AK1108" t="s">
        <v>170</v>
      </c>
      <c r="AL1108" t="s">
        <v>78</v>
      </c>
      <c r="AM1108">
        <f t="shared" si="85"/>
        <v>3</v>
      </c>
      <c r="AN1108">
        <f t="shared" si="86"/>
        <v>9</v>
      </c>
      <c r="AO1108" t="str">
        <f t="shared" si="87"/>
        <v/>
      </c>
      <c r="AP1108" t="str">
        <f t="shared" si="88"/>
        <v/>
      </c>
      <c r="AQ1108">
        <f t="shared" si="89"/>
        <v>2019</v>
      </c>
    </row>
    <row r="1109" spans="1:43" x14ac:dyDescent="0.35">
      <c r="A1109">
        <v>484</v>
      </c>
      <c r="B1109">
        <v>21</v>
      </c>
      <c r="C1109" t="s">
        <v>148</v>
      </c>
      <c r="D1109" t="s">
        <v>164</v>
      </c>
      <c r="E1109" t="s">
        <v>158</v>
      </c>
      <c r="F1109" t="s">
        <v>36</v>
      </c>
      <c r="G1109" t="s">
        <v>41</v>
      </c>
      <c r="H1109" t="s">
        <v>82</v>
      </c>
      <c r="I1109" t="s">
        <v>43</v>
      </c>
      <c r="J1109" t="s">
        <v>166</v>
      </c>
      <c r="K1109" t="s">
        <v>44</v>
      </c>
      <c r="L1109" t="s">
        <v>152</v>
      </c>
      <c r="M1109" t="s">
        <v>48</v>
      </c>
      <c r="N1109" t="s">
        <v>95</v>
      </c>
      <c r="P1109" t="s">
        <v>148</v>
      </c>
      <c r="Q1109">
        <v>24</v>
      </c>
      <c r="R1109">
        <v>1</v>
      </c>
      <c r="S1109">
        <v>3</v>
      </c>
      <c r="T1109">
        <v>2</v>
      </c>
      <c r="U1109">
        <v>2</v>
      </c>
      <c r="V1109">
        <v>9</v>
      </c>
      <c r="W1109">
        <v>39</v>
      </c>
      <c r="X1109">
        <v>895</v>
      </c>
      <c r="Y1109">
        <v>2851</v>
      </c>
      <c r="Z1109">
        <v>2610</v>
      </c>
      <c r="AA1109">
        <v>3</v>
      </c>
      <c r="AB1109" s="29">
        <v>44773</v>
      </c>
      <c r="AC1109" s="29">
        <v>37127</v>
      </c>
      <c r="AD1109" s="29">
        <v>43901</v>
      </c>
      <c r="AE1109" s="29"/>
      <c r="AF1109">
        <v>2</v>
      </c>
      <c r="AG1109" t="s">
        <v>157</v>
      </c>
      <c r="AI1109">
        <v>19</v>
      </c>
      <c r="AJ1109">
        <v>1</v>
      </c>
      <c r="AK1109" t="s">
        <v>170</v>
      </c>
      <c r="AL1109" t="s">
        <v>78</v>
      </c>
      <c r="AM1109">
        <f t="shared" si="85"/>
        <v>1</v>
      </c>
      <c r="AN1109">
        <f t="shared" si="86"/>
        <v>3</v>
      </c>
      <c r="AO1109" t="str">
        <f t="shared" si="87"/>
        <v/>
      </c>
      <c r="AP1109" t="str">
        <f t="shared" si="88"/>
        <v/>
      </c>
      <c r="AQ1109">
        <f t="shared" si="89"/>
        <v>2020</v>
      </c>
    </row>
    <row r="1110" spans="1:43" x14ac:dyDescent="0.35">
      <c r="A1110">
        <v>872</v>
      </c>
      <c r="B1110">
        <v>22</v>
      </c>
      <c r="C1110" t="s">
        <v>148</v>
      </c>
      <c r="D1110" t="s">
        <v>145</v>
      </c>
      <c r="E1110" t="s">
        <v>4</v>
      </c>
      <c r="F1110" t="s">
        <v>36</v>
      </c>
      <c r="G1110" t="s">
        <v>44</v>
      </c>
      <c r="H1110" t="s">
        <v>82</v>
      </c>
      <c r="I1110" t="s">
        <v>42</v>
      </c>
      <c r="J1110" t="s">
        <v>165</v>
      </c>
      <c r="K1110" t="s">
        <v>44</v>
      </c>
      <c r="L1110" t="s">
        <v>152</v>
      </c>
      <c r="M1110" t="s">
        <v>47</v>
      </c>
      <c r="N1110" t="s">
        <v>160</v>
      </c>
      <c r="O1110" t="s">
        <v>156</v>
      </c>
      <c r="P1110" t="s">
        <v>148</v>
      </c>
      <c r="Q1110">
        <v>22</v>
      </c>
      <c r="R1110">
        <v>6</v>
      </c>
      <c r="S1110">
        <v>4</v>
      </c>
      <c r="T1110">
        <v>2</v>
      </c>
      <c r="U1110">
        <v>2</v>
      </c>
      <c r="V1110">
        <v>1</v>
      </c>
      <c r="W1110">
        <v>33</v>
      </c>
      <c r="X1110">
        <v>1230</v>
      </c>
      <c r="Y1110">
        <v>19146</v>
      </c>
      <c r="Z1110">
        <v>4775</v>
      </c>
      <c r="AA1110">
        <v>2</v>
      </c>
      <c r="AB1110" s="29">
        <v>44773</v>
      </c>
      <c r="AC1110" s="29">
        <v>37034</v>
      </c>
      <c r="AD1110" s="29">
        <v>44056</v>
      </c>
      <c r="AE1110" s="29"/>
      <c r="AF1110">
        <v>2</v>
      </c>
      <c r="AG1110" t="s">
        <v>157</v>
      </c>
      <c r="AI1110">
        <v>20</v>
      </c>
      <c r="AJ1110">
        <v>2</v>
      </c>
      <c r="AK1110" t="s">
        <v>170</v>
      </c>
      <c r="AL1110" t="s">
        <v>77</v>
      </c>
      <c r="AM1110">
        <f t="shared" si="85"/>
        <v>3</v>
      </c>
      <c r="AN1110">
        <f t="shared" si="86"/>
        <v>8</v>
      </c>
      <c r="AO1110" t="str">
        <f t="shared" si="87"/>
        <v/>
      </c>
      <c r="AP1110" t="str">
        <f t="shared" si="88"/>
        <v/>
      </c>
      <c r="AQ1110">
        <f t="shared" si="89"/>
        <v>2020</v>
      </c>
    </row>
    <row r="1111" spans="1:43" x14ac:dyDescent="0.35">
      <c r="A1111">
        <v>1234</v>
      </c>
      <c r="B1111">
        <v>32</v>
      </c>
      <c r="C1111" t="s">
        <v>148</v>
      </c>
      <c r="D1111" t="s">
        <v>151</v>
      </c>
      <c r="E1111" t="s">
        <v>4</v>
      </c>
      <c r="F1111" t="s">
        <v>38</v>
      </c>
      <c r="G1111" t="s">
        <v>43</v>
      </c>
      <c r="H1111" t="s">
        <v>81</v>
      </c>
      <c r="I1111" t="s">
        <v>42</v>
      </c>
      <c r="J1111" t="s">
        <v>155</v>
      </c>
      <c r="K1111" t="s">
        <v>42</v>
      </c>
      <c r="L1111" t="s">
        <v>152</v>
      </c>
      <c r="M1111" t="s">
        <v>49</v>
      </c>
      <c r="N1111" t="s">
        <v>160</v>
      </c>
      <c r="O1111" t="s">
        <v>41</v>
      </c>
      <c r="P1111" t="s">
        <v>148</v>
      </c>
      <c r="Q1111">
        <v>20</v>
      </c>
      <c r="R1111">
        <v>1</v>
      </c>
      <c r="S1111">
        <v>2</v>
      </c>
      <c r="T1111">
        <v>2</v>
      </c>
      <c r="U1111">
        <v>2</v>
      </c>
      <c r="V1111">
        <v>13</v>
      </c>
      <c r="W1111">
        <v>77</v>
      </c>
      <c r="X1111">
        <v>116</v>
      </c>
      <c r="Y1111">
        <v>7331</v>
      </c>
      <c r="Z1111">
        <v>2743</v>
      </c>
      <c r="AA1111">
        <v>2</v>
      </c>
      <c r="AB1111" s="29">
        <v>44773</v>
      </c>
      <c r="AC1111" s="29">
        <v>33298</v>
      </c>
      <c r="AD1111" s="29">
        <v>44107</v>
      </c>
      <c r="AE1111" s="29"/>
      <c r="AF1111">
        <v>2</v>
      </c>
      <c r="AG1111" t="s">
        <v>149</v>
      </c>
      <c r="AI1111">
        <v>30</v>
      </c>
      <c r="AJ1111">
        <v>1</v>
      </c>
      <c r="AK1111" t="s">
        <v>170</v>
      </c>
      <c r="AL1111" t="s">
        <v>77</v>
      </c>
      <c r="AM1111">
        <f t="shared" si="85"/>
        <v>4</v>
      </c>
      <c r="AN1111">
        <f t="shared" si="86"/>
        <v>10</v>
      </c>
      <c r="AO1111" t="str">
        <f t="shared" si="87"/>
        <v/>
      </c>
      <c r="AP1111" t="str">
        <f t="shared" si="88"/>
        <v/>
      </c>
      <c r="AQ1111">
        <f t="shared" si="89"/>
        <v>2020</v>
      </c>
    </row>
    <row r="1112" spans="1:43" x14ac:dyDescent="0.35">
      <c r="A1112">
        <v>675</v>
      </c>
      <c r="B1112">
        <v>22</v>
      </c>
      <c r="C1112" t="s">
        <v>148</v>
      </c>
      <c r="D1112" t="s">
        <v>145</v>
      </c>
      <c r="E1112" t="s">
        <v>4</v>
      </c>
      <c r="F1112" t="s">
        <v>35</v>
      </c>
      <c r="G1112" t="s">
        <v>41</v>
      </c>
      <c r="H1112" t="s">
        <v>82</v>
      </c>
      <c r="I1112" t="s">
        <v>43</v>
      </c>
      <c r="J1112" t="s">
        <v>146</v>
      </c>
      <c r="K1112" t="s">
        <v>43</v>
      </c>
      <c r="L1112" t="s">
        <v>152</v>
      </c>
      <c r="M1112" t="s">
        <v>49</v>
      </c>
      <c r="N1112" t="s">
        <v>160</v>
      </c>
      <c r="P1112" t="s">
        <v>148</v>
      </c>
      <c r="Q1112">
        <v>20</v>
      </c>
      <c r="R1112">
        <v>0</v>
      </c>
      <c r="S1112">
        <v>3</v>
      </c>
      <c r="T1112">
        <v>2</v>
      </c>
      <c r="U1112">
        <v>2</v>
      </c>
      <c r="V1112">
        <v>6</v>
      </c>
      <c r="W1112">
        <v>69</v>
      </c>
      <c r="X1112">
        <v>604</v>
      </c>
      <c r="Y1112">
        <v>12145</v>
      </c>
      <c r="Z1112">
        <v>2773</v>
      </c>
      <c r="AA1112">
        <v>3</v>
      </c>
      <c r="AB1112" s="29">
        <v>44773</v>
      </c>
      <c r="AC1112" s="29">
        <v>36947</v>
      </c>
      <c r="AD1112" s="29">
        <v>44120</v>
      </c>
      <c r="AE1112" s="29"/>
      <c r="AF1112">
        <v>2</v>
      </c>
      <c r="AG1112" t="s">
        <v>157</v>
      </c>
      <c r="AI1112">
        <v>20</v>
      </c>
      <c r="AJ1112">
        <v>1</v>
      </c>
      <c r="AK1112" t="s">
        <v>170</v>
      </c>
      <c r="AL1112" t="s">
        <v>77</v>
      </c>
      <c r="AM1112">
        <f t="shared" si="85"/>
        <v>4</v>
      </c>
      <c r="AN1112">
        <f t="shared" si="86"/>
        <v>10</v>
      </c>
      <c r="AO1112" t="str">
        <f t="shared" si="87"/>
        <v/>
      </c>
      <c r="AP1112" t="str">
        <f t="shared" si="88"/>
        <v/>
      </c>
      <c r="AQ1112">
        <f t="shared" si="89"/>
        <v>2020</v>
      </c>
    </row>
    <row r="1113" spans="1:43" x14ac:dyDescent="0.35">
      <c r="A1113">
        <v>217</v>
      </c>
      <c r="B1113">
        <v>22</v>
      </c>
      <c r="C1113" t="s">
        <v>148</v>
      </c>
      <c r="D1113" t="s">
        <v>145</v>
      </c>
      <c r="E1113" t="s">
        <v>4</v>
      </c>
      <c r="F1113" t="s">
        <v>35</v>
      </c>
      <c r="G1113" t="s">
        <v>43</v>
      </c>
      <c r="H1113" t="s">
        <v>82</v>
      </c>
      <c r="I1113" t="s">
        <v>43</v>
      </c>
      <c r="J1113" t="s">
        <v>146</v>
      </c>
      <c r="K1113" t="s">
        <v>44</v>
      </c>
      <c r="L1113" t="s">
        <v>152</v>
      </c>
      <c r="M1113" t="s">
        <v>49</v>
      </c>
      <c r="N1113" t="s">
        <v>160</v>
      </c>
      <c r="O1113" t="s">
        <v>156</v>
      </c>
      <c r="P1113" t="s">
        <v>148</v>
      </c>
      <c r="Q1113">
        <v>24</v>
      </c>
      <c r="R1113">
        <v>1</v>
      </c>
      <c r="S1113">
        <v>2</v>
      </c>
      <c r="T1113">
        <v>2</v>
      </c>
      <c r="U1113">
        <v>2</v>
      </c>
      <c r="V1113">
        <v>19</v>
      </c>
      <c r="W1113">
        <v>80</v>
      </c>
      <c r="X1113">
        <v>1256</v>
      </c>
      <c r="Y1113">
        <v>11992</v>
      </c>
      <c r="Z1113">
        <v>2323</v>
      </c>
      <c r="AA1113">
        <v>6</v>
      </c>
      <c r="AB1113" s="29">
        <v>44773</v>
      </c>
      <c r="AC1113" s="29">
        <v>37017</v>
      </c>
      <c r="AD1113" s="29">
        <v>44150</v>
      </c>
      <c r="AE1113" s="29"/>
      <c r="AF1113">
        <v>2</v>
      </c>
      <c r="AG1113" t="s">
        <v>157</v>
      </c>
      <c r="AI1113">
        <v>20</v>
      </c>
      <c r="AJ1113">
        <v>2</v>
      </c>
      <c r="AK1113" t="s">
        <v>170</v>
      </c>
      <c r="AL1113" t="s">
        <v>77</v>
      </c>
      <c r="AM1113">
        <f t="shared" si="85"/>
        <v>4</v>
      </c>
      <c r="AN1113">
        <f t="shared" si="86"/>
        <v>11</v>
      </c>
      <c r="AO1113" t="str">
        <f t="shared" si="87"/>
        <v/>
      </c>
      <c r="AP1113" t="str">
        <f t="shared" si="88"/>
        <v/>
      </c>
      <c r="AQ1113">
        <f t="shared" si="89"/>
        <v>2020</v>
      </c>
    </row>
    <row r="1114" spans="1:43" x14ac:dyDescent="0.35">
      <c r="A1114">
        <v>1215</v>
      </c>
      <c r="B1114">
        <v>50</v>
      </c>
      <c r="C1114" t="s">
        <v>148</v>
      </c>
      <c r="D1114" t="s">
        <v>151</v>
      </c>
      <c r="E1114" t="s">
        <v>4</v>
      </c>
      <c r="F1114" t="s">
        <v>38</v>
      </c>
      <c r="G1114" t="s">
        <v>44</v>
      </c>
      <c r="H1114" t="s">
        <v>81</v>
      </c>
      <c r="I1114" t="s">
        <v>43</v>
      </c>
      <c r="J1114" t="s">
        <v>169</v>
      </c>
      <c r="K1114" t="s">
        <v>41</v>
      </c>
      <c r="L1114" t="s">
        <v>152</v>
      </c>
      <c r="M1114" t="s">
        <v>49</v>
      </c>
      <c r="N1114" t="s">
        <v>160</v>
      </c>
      <c r="O1114" t="s">
        <v>41</v>
      </c>
      <c r="P1114" t="s">
        <v>148</v>
      </c>
      <c r="Q1114">
        <v>22</v>
      </c>
      <c r="R1114">
        <v>2</v>
      </c>
      <c r="S1114">
        <v>32</v>
      </c>
      <c r="T1114">
        <v>2</v>
      </c>
      <c r="U1114">
        <v>2</v>
      </c>
      <c r="V1114">
        <v>2</v>
      </c>
      <c r="W1114">
        <v>30</v>
      </c>
      <c r="X1114">
        <v>1421</v>
      </c>
      <c r="Y1114">
        <v>9490</v>
      </c>
      <c r="Z1114">
        <v>17856</v>
      </c>
      <c r="AA1114">
        <v>3</v>
      </c>
      <c r="AB1114" s="29">
        <v>44773</v>
      </c>
      <c r="AC1114" s="29">
        <v>26833</v>
      </c>
      <c r="AD1114" s="29">
        <v>44207</v>
      </c>
      <c r="AE1114" s="29"/>
      <c r="AF1114">
        <v>2</v>
      </c>
      <c r="AG1114" t="s">
        <v>167</v>
      </c>
      <c r="AI1114">
        <v>48</v>
      </c>
      <c r="AJ1114">
        <v>1</v>
      </c>
      <c r="AK1114" t="s">
        <v>170</v>
      </c>
      <c r="AL1114" t="s">
        <v>78</v>
      </c>
      <c r="AM1114">
        <f t="shared" si="85"/>
        <v>1</v>
      </c>
      <c r="AN1114">
        <f t="shared" si="86"/>
        <v>1</v>
      </c>
      <c r="AO1114" t="str">
        <f t="shared" si="87"/>
        <v/>
      </c>
      <c r="AP1114" t="str">
        <f t="shared" si="88"/>
        <v/>
      </c>
      <c r="AQ1114">
        <f t="shared" si="89"/>
        <v>2021</v>
      </c>
    </row>
    <row r="1115" spans="1:43" x14ac:dyDescent="0.35">
      <c r="A1115">
        <v>1278</v>
      </c>
      <c r="B1115">
        <v>55</v>
      </c>
      <c r="C1115" t="s">
        <v>148</v>
      </c>
      <c r="D1115" t="s">
        <v>164</v>
      </c>
      <c r="E1115" t="s">
        <v>4</v>
      </c>
      <c r="F1115" t="s">
        <v>35</v>
      </c>
      <c r="G1115" t="s">
        <v>44</v>
      </c>
      <c r="H1115" t="s">
        <v>82</v>
      </c>
      <c r="I1115" t="s">
        <v>42</v>
      </c>
      <c r="J1115" t="s">
        <v>161</v>
      </c>
      <c r="K1115" t="s">
        <v>42</v>
      </c>
      <c r="L1115" t="s">
        <v>41</v>
      </c>
      <c r="M1115" t="s">
        <v>49</v>
      </c>
      <c r="N1115" t="s">
        <v>96</v>
      </c>
      <c r="O1115" t="s">
        <v>41</v>
      </c>
      <c r="P1115" t="s">
        <v>144</v>
      </c>
      <c r="Q1115">
        <v>15</v>
      </c>
      <c r="R1115">
        <v>1</v>
      </c>
      <c r="S1115">
        <v>34</v>
      </c>
      <c r="T1115">
        <v>15</v>
      </c>
      <c r="U1115">
        <v>0</v>
      </c>
      <c r="V1115">
        <v>8</v>
      </c>
      <c r="W1115">
        <v>37</v>
      </c>
      <c r="X1115">
        <v>177</v>
      </c>
      <c r="Y1115">
        <v>25592</v>
      </c>
      <c r="Z1115">
        <v>13577</v>
      </c>
      <c r="AA1115">
        <v>3</v>
      </c>
      <c r="AB1115" s="29">
        <v>44773</v>
      </c>
      <c r="AC1115" s="29">
        <v>24988</v>
      </c>
      <c r="AD1115" s="29">
        <v>32897</v>
      </c>
      <c r="AE1115" s="29"/>
      <c r="AF1115">
        <v>33</v>
      </c>
      <c r="AG1115" t="s">
        <v>167</v>
      </c>
      <c r="AI1115">
        <v>22</v>
      </c>
      <c r="AJ1115">
        <v>1</v>
      </c>
      <c r="AK1115" t="s">
        <v>163</v>
      </c>
      <c r="AL1115" t="s">
        <v>77</v>
      </c>
      <c r="AM1115">
        <f t="shared" si="85"/>
        <v>1</v>
      </c>
      <c r="AN1115">
        <f t="shared" si="86"/>
        <v>1</v>
      </c>
      <c r="AO1115" t="str">
        <f t="shared" si="87"/>
        <v/>
      </c>
      <c r="AP1115" t="str">
        <f t="shared" si="88"/>
        <v/>
      </c>
      <c r="AQ1115">
        <f t="shared" si="89"/>
        <v>1990</v>
      </c>
    </row>
    <row r="1116" spans="1:43" x14ac:dyDescent="0.35">
      <c r="A1116">
        <v>905</v>
      </c>
      <c r="B1116">
        <v>50</v>
      </c>
      <c r="C1116" t="s">
        <v>148</v>
      </c>
      <c r="D1116" t="s">
        <v>164</v>
      </c>
      <c r="E1116" t="s">
        <v>4</v>
      </c>
      <c r="F1116" t="s">
        <v>37</v>
      </c>
      <c r="G1116" t="s">
        <v>41</v>
      </c>
      <c r="H1116" t="s">
        <v>82</v>
      </c>
      <c r="I1116" t="s">
        <v>43</v>
      </c>
      <c r="J1116" t="s">
        <v>169</v>
      </c>
      <c r="K1116" t="s">
        <v>41</v>
      </c>
      <c r="L1116" t="s">
        <v>48</v>
      </c>
      <c r="M1116" t="s">
        <v>49</v>
      </c>
      <c r="N1116" t="s">
        <v>96</v>
      </c>
      <c r="O1116" t="s">
        <v>41</v>
      </c>
      <c r="P1116" t="s">
        <v>148</v>
      </c>
      <c r="Q1116">
        <v>11</v>
      </c>
      <c r="R1116">
        <v>1</v>
      </c>
      <c r="S1116">
        <v>31</v>
      </c>
      <c r="T1116">
        <v>14</v>
      </c>
      <c r="U1116">
        <v>7</v>
      </c>
      <c r="V1116">
        <v>2</v>
      </c>
      <c r="W1116">
        <v>98</v>
      </c>
      <c r="X1116">
        <v>881</v>
      </c>
      <c r="Y1116">
        <v>4544</v>
      </c>
      <c r="Z1116">
        <v>17924</v>
      </c>
      <c r="AA1116">
        <v>3</v>
      </c>
      <c r="AB1116" s="29">
        <v>44773</v>
      </c>
      <c r="AC1116" s="29">
        <v>26581</v>
      </c>
      <c r="AD1116" s="29">
        <v>33591</v>
      </c>
      <c r="AE1116" s="29"/>
      <c r="AF1116">
        <v>31</v>
      </c>
      <c r="AG1116" t="s">
        <v>167</v>
      </c>
      <c r="AI1116">
        <v>19</v>
      </c>
      <c r="AJ1116">
        <v>1</v>
      </c>
      <c r="AK1116" t="s">
        <v>163</v>
      </c>
      <c r="AL1116" t="s">
        <v>77</v>
      </c>
      <c r="AM1116">
        <f t="shared" si="85"/>
        <v>4</v>
      </c>
      <c r="AN1116">
        <f t="shared" si="86"/>
        <v>12</v>
      </c>
      <c r="AO1116" t="str">
        <f t="shared" si="87"/>
        <v/>
      </c>
      <c r="AP1116" t="str">
        <f t="shared" si="88"/>
        <v/>
      </c>
      <c r="AQ1116">
        <f t="shared" si="89"/>
        <v>1991</v>
      </c>
    </row>
    <row r="1117" spans="1:43" x14ac:dyDescent="0.35">
      <c r="A1117">
        <v>1815</v>
      </c>
      <c r="B1117">
        <v>41</v>
      </c>
      <c r="C1117" t="s">
        <v>148</v>
      </c>
      <c r="D1117" t="s">
        <v>145</v>
      </c>
      <c r="E1117" t="s">
        <v>158</v>
      </c>
      <c r="F1117" t="s">
        <v>35</v>
      </c>
      <c r="G1117" t="s">
        <v>43</v>
      </c>
      <c r="H1117" t="s">
        <v>81</v>
      </c>
      <c r="I1117" t="s">
        <v>43</v>
      </c>
      <c r="J1117" t="s">
        <v>159</v>
      </c>
      <c r="K1117" t="s">
        <v>43</v>
      </c>
      <c r="L1117" t="s">
        <v>48</v>
      </c>
      <c r="M1117" t="s">
        <v>50</v>
      </c>
      <c r="N1117" t="s">
        <v>96</v>
      </c>
      <c r="O1117" t="s">
        <v>41</v>
      </c>
      <c r="P1117" t="s">
        <v>144</v>
      </c>
      <c r="Q1117">
        <v>13</v>
      </c>
      <c r="R1117">
        <v>0</v>
      </c>
      <c r="S1117">
        <v>23</v>
      </c>
      <c r="T1117">
        <v>13</v>
      </c>
      <c r="U1117">
        <v>5</v>
      </c>
      <c r="V1117">
        <v>4</v>
      </c>
      <c r="W1117">
        <v>81</v>
      </c>
      <c r="X1117">
        <v>796</v>
      </c>
      <c r="Y1117">
        <v>26458</v>
      </c>
      <c r="Z1117">
        <v>10447</v>
      </c>
      <c r="AA1117">
        <v>3</v>
      </c>
      <c r="AB1117" s="29">
        <v>44773</v>
      </c>
      <c r="AC1117" s="29">
        <v>30140</v>
      </c>
      <c r="AD1117" s="29">
        <v>36980</v>
      </c>
      <c r="AE1117" s="29"/>
      <c r="AF1117">
        <v>21</v>
      </c>
      <c r="AG1117" t="s">
        <v>153</v>
      </c>
      <c r="AI1117">
        <v>20</v>
      </c>
      <c r="AJ1117">
        <v>1</v>
      </c>
      <c r="AK1117" t="s">
        <v>163</v>
      </c>
      <c r="AL1117" t="s">
        <v>77</v>
      </c>
      <c r="AM1117">
        <f t="shared" si="85"/>
        <v>1</v>
      </c>
      <c r="AN1117">
        <f t="shared" si="86"/>
        <v>3</v>
      </c>
      <c r="AO1117" t="str">
        <f t="shared" si="87"/>
        <v/>
      </c>
      <c r="AP1117" t="str">
        <f t="shared" si="88"/>
        <v/>
      </c>
      <c r="AQ1117">
        <f t="shared" si="89"/>
        <v>2001</v>
      </c>
    </row>
    <row r="1118" spans="1:43" x14ac:dyDescent="0.35">
      <c r="A1118">
        <v>1166</v>
      </c>
      <c r="B1118">
        <v>40</v>
      </c>
      <c r="C1118" t="s">
        <v>148</v>
      </c>
      <c r="D1118" t="s">
        <v>151</v>
      </c>
      <c r="E1118" t="s">
        <v>4</v>
      </c>
      <c r="F1118" t="s">
        <v>37</v>
      </c>
      <c r="G1118" t="s">
        <v>42</v>
      </c>
      <c r="H1118" t="s">
        <v>81</v>
      </c>
      <c r="I1118" t="s">
        <v>43</v>
      </c>
      <c r="J1118" t="s">
        <v>173</v>
      </c>
      <c r="K1118" t="s">
        <v>43</v>
      </c>
      <c r="L1118" t="s">
        <v>48</v>
      </c>
      <c r="M1118" t="s">
        <v>48</v>
      </c>
      <c r="N1118" t="s">
        <v>95</v>
      </c>
      <c r="P1118" t="s">
        <v>148</v>
      </c>
      <c r="Q1118">
        <v>17</v>
      </c>
      <c r="R1118">
        <v>9</v>
      </c>
      <c r="S1118">
        <v>20</v>
      </c>
      <c r="T1118">
        <v>2</v>
      </c>
      <c r="U1118">
        <v>13</v>
      </c>
      <c r="V1118">
        <v>9</v>
      </c>
      <c r="W1118">
        <v>88</v>
      </c>
      <c r="X1118">
        <v>593</v>
      </c>
      <c r="Y1118">
        <v>13782</v>
      </c>
      <c r="Z1118">
        <v>13499</v>
      </c>
      <c r="AA1118">
        <v>3</v>
      </c>
      <c r="AB1118" s="29">
        <v>44773</v>
      </c>
      <c r="AC1118" s="29">
        <v>30165</v>
      </c>
      <c r="AD1118" s="29">
        <v>38453</v>
      </c>
      <c r="AE1118" s="29"/>
      <c r="AF1118">
        <v>17</v>
      </c>
      <c r="AG1118" t="s">
        <v>153</v>
      </c>
      <c r="AI1118">
        <v>23</v>
      </c>
      <c r="AJ1118">
        <v>1</v>
      </c>
      <c r="AK1118" t="s">
        <v>163</v>
      </c>
      <c r="AL1118" t="s">
        <v>77</v>
      </c>
      <c r="AM1118">
        <f t="shared" si="85"/>
        <v>2</v>
      </c>
      <c r="AN1118">
        <f t="shared" si="86"/>
        <v>4</v>
      </c>
      <c r="AO1118" t="str">
        <f t="shared" si="87"/>
        <v/>
      </c>
      <c r="AP1118" t="str">
        <f t="shared" si="88"/>
        <v/>
      </c>
      <c r="AQ1118">
        <f t="shared" si="89"/>
        <v>2005</v>
      </c>
    </row>
    <row r="1119" spans="1:43" x14ac:dyDescent="0.35">
      <c r="A1119">
        <v>1628</v>
      </c>
      <c r="B1119">
        <v>40</v>
      </c>
      <c r="C1119" t="s">
        <v>148</v>
      </c>
      <c r="D1119" t="s">
        <v>145</v>
      </c>
      <c r="E1119" t="s">
        <v>4</v>
      </c>
      <c r="F1119" t="s">
        <v>38</v>
      </c>
      <c r="G1119" t="s">
        <v>41</v>
      </c>
      <c r="H1119" t="s">
        <v>81</v>
      </c>
      <c r="I1119" t="s">
        <v>42</v>
      </c>
      <c r="J1119" t="s">
        <v>165</v>
      </c>
      <c r="K1119" t="s">
        <v>43</v>
      </c>
      <c r="L1119" t="s">
        <v>48</v>
      </c>
      <c r="M1119" t="s">
        <v>49</v>
      </c>
      <c r="N1119" t="s">
        <v>160</v>
      </c>
      <c r="O1119" t="s">
        <v>156</v>
      </c>
      <c r="P1119" t="s">
        <v>148</v>
      </c>
      <c r="Q1119">
        <v>13</v>
      </c>
      <c r="R1119">
        <v>1</v>
      </c>
      <c r="S1119">
        <v>18</v>
      </c>
      <c r="T1119">
        <v>14</v>
      </c>
      <c r="U1119">
        <v>12</v>
      </c>
      <c r="V1119">
        <v>15</v>
      </c>
      <c r="W1119">
        <v>80</v>
      </c>
      <c r="X1119">
        <v>884</v>
      </c>
      <c r="Y1119">
        <v>25800</v>
      </c>
      <c r="Z1119">
        <v>10435</v>
      </c>
      <c r="AA1119">
        <v>2</v>
      </c>
      <c r="AB1119" s="29">
        <v>44773</v>
      </c>
      <c r="AC1119" s="29">
        <v>30283</v>
      </c>
      <c r="AD1119" s="29">
        <v>38501</v>
      </c>
      <c r="AE1119" s="29"/>
      <c r="AF1119">
        <v>17</v>
      </c>
      <c r="AG1119" t="s">
        <v>153</v>
      </c>
      <c r="AI1119">
        <v>23</v>
      </c>
      <c r="AJ1119">
        <v>1</v>
      </c>
      <c r="AK1119" t="s">
        <v>163</v>
      </c>
      <c r="AL1119" t="s">
        <v>77</v>
      </c>
      <c r="AM1119">
        <f t="shared" si="85"/>
        <v>2</v>
      </c>
      <c r="AN1119">
        <f t="shared" si="86"/>
        <v>5</v>
      </c>
      <c r="AO1119" t="str">
        <f t="shared" si="87"/>
        <v/>
      </c>
      <c r="AP1119" t="str">
        <f t="shared" si="88"/>
        <v/>
      </c>
      <c r="AQ1119">
        <f t="shared" si="89"/>
        <v>2005</v>
      </c>
    </row>
    <row r="1120" spans="1:43" x14ac:dyDescent="0.35">
      <c r="A1120">
        <v>1866</v>
      </c>
      <c r="B1120">
        <v>43</v>
      </c>
      <c r="C1120" t="s">
        <v>148</v>
      </c>
      <c r="D1120" t="s">
        <v>145</v>
      </c>
      <c r="E1120" t="s">
        <v>4</v>
      </c>
      <c r="F1120" t="s">
        <v>38</v>
      </c>
      <c r="G1120" t="s">
        <v>41</v>
      </c>
      <c r="H1120" t="s">
        <v>81</v>
      </c>
      <c r="I1120" t="s">
        <v>42</v>
      </c>
      <c r="J1120" t="s">
        <v>169</v>
      </c>
      <c r="K1120" t="s">
        <v>43</v>
      </c>
      <c r="L1120" t="s">
        <v>48</v>
      </c>
      <c r="M1120" t="s">
        <v>49</v>
      </c>
      <c r="N1120" t="s">
        <v>160</v>
      </c>
      <c r="P1120" t="s">
        <v>148</v>
      </c>
      <c r="Q1120">
        <v>13</v>
      </c>
      <c r="R1120">
        <v>7</v>
      </c>
      <c r="S1120">
        <v>21</v>
      </c>
      <c r="T1120">
        <v>6</v>
      </c>
      <c r="U1120">
        <v>14</v>
      </c>
      <c r="V1120">
        <v>6</v>
      </c>
      <c r="W1120">
        <v>81</v>
      </c>
      <c r="X1120">
        <v>823</v>
      </c>
      <c r="Y1120">
        <v>22539</v>
      </c>
      <c r="Z1120">
        <v>19392</v>
      </c>
      <c r="AA1120">
        <v>2</v>
      </c>
      <c r="AB1120" s="29">
        <v>44773</v>
      </c>
      <c r="AC1120" s="29">
        <v>29313</v>
      </c>
      <c r="AD1120" s="29">
        <v>39189</v>
      </c>
      <c r="AE1120" s="29"/>
      <c r="AF1120">
        <v>15</v>
      </c>
      <c r="AG1120" t="s">
        <v>153</v>
      </c>
      <c r="AI1120">
        <v>28</v>
      </c>
      <c r="AJ1120">
        <v>1</v>
      </c>
      <c r="AK1120" t="s">
        <v>163</v>
      </c>
      <c r="AL1120" t="s">
        <v>77</v>
      </c>
      <c r="AM1120">
        <f t="shared" si="85"/>
        <v>2</v>
      </c>
      <c r="AN1120">
        <f t="shared" si="86"/>
        <v>4</v>
      </c>
      <c r="AO1120" t="str">
        <f t="shared" si="87"/>
        <v/>
      </c>
      <c r="AP1120" t="str">
        <f t="shared" si="88"/>
        <v/>
      </c>
      <c r="AQ1120">
        <f t="shared" si="89"/>
        <v>2007</v>
      </c>
    </row>
    <row r="1121" spans="1:43" x14ac:dyDescent="0.35">
      <c r="A1121">
        <v>1073</v>
      </c>
      <c r="B1121">
        <v>36</v>
      </c>
      <c r="C1121" t="s">
        <v>148</v>
      </c>
      <c r="D1121" t="s">
        <v>145</v>
      </c>
      <c r="E1121" t="s">
        <v>4</v>
      </c>
      <c r="F1121" t="s">
        <v>34</v>
      </c>
      <c r="G1121" t="s">
        <v>44</v>
      </c>
      <c r="H1121" t="s">
        <v>81</v>
      </c>
      <c r="I1121" t="s">
        <v>42</v>
      </c>
      <c r="J1121" t="s">
        <v>165</v>
      </c>
      <c r="K1121" t="s">
        <v>44</v>
      </c>
      <c r="L1121" t="s">
        <v>48</v>
      </c>
      <c r="M1121" t="s">
        <v>48</v>
      </c>
      <c r="N1121" t="s">
        <v>95</v>
      </c>
      <c r="P1121" t="s">
        <v>148</v>
      </c>
      <c r="Q1121">
        <v>11</v>
      </c>
      <c r="R1121">
        <v>0</v>
      </c>
      <c r="S1121">
        <v>15</v>
      </c>
      <c r="T1121">
        <v>7</v>
      </c>
      <c r="U1121">
        <v>8</v>
      </c>
      <c r="V1121">
        <v>12</v>
      </c>
      <c r="W1121">
        <v>51</v>
      </c>
      <c r="X1121">
        <v>796</v>
      </c>
      <c r="Y1121">
        <v>15669</v>
      </c>
      <c r="Z1121">
        <v>8858</v>
      </c>
      <c r="AA1121">
        <v>2</v>
      </c>
      <c r="AB1121" s="29">
        <v>44773</v>
      </c>
      <c r="AC1121" s="29">
        <v>31884</v>
      </c>
      <c r="AD1121" s="29">
        <v>39691</v>
      </c>
      <c r="AE1121" s="29"/>
      <c r="AF1121">
        <v>14</v>
      </c>
      <c r="AG1121" t="s">
        <v>149</v>
      </c>
      <c r="AI1121">
        <v>22</v>
      </c>
      <c r="AJ1121">
        <v>1</v>
      </c>
      <c r="AK1121" t="s">
        <v>154</v>
      </c>
      <c r="AL1121" t="s">
        <v>77</v>
      </c>
      <c r="AM1121">
        <f t="shared" si="85"/>
        <v>3</v>
      </c>
      <c r="AN1121">
        <f t="shared" si="86"/>
        <v>8</v>
      </c>
      <c r="AO1121" t="str">
        <f t="shared" si="87"/>
        <v/>
      </c>
      <c r="AP1121" t="str">
        <f t="shared" si="88"/>
        <v/>
      </c>
      <c r="AQ1121">
        <f t="shared" si="89"/>
        <v>2008</v>
      </c>
    </row>
    <row r="1122" spans="1:43" x14ac:dyDescent="0.35">
      <c r="A1122">
        <v>1485</v>
      </c>
      <c r="B1122">
        <v>34</v>
      </c>
      <c r="C1122" t="s">
        <v>148</v>
      </c>
      <c r="D1122" t="s">
        <v>151</v>
      </c>
      <c r="E1122" t="s">
        <v>4</v>
      </c>
      <c r="F1122" t="s">
        <v>38</v>
      </c>
      <c r="G1122" t="s">
        <v>42</v>
      </c>
      <c r="H1122" t="s">
        <v>82</v>
      </c>
      <c r="I1122" t="s">
        <v>43</v>
      </c>
      <c r="J1122" t="s">
        <v>173</v>
      </c>
      <c r="K1122" t="s">
        <v>41</v>
      </c>
      <c r="L1122" t="s">
        <v>41</v>
      </c>
      <c r="M1122" t="s">
        <v>48</v>
      </c>
      <c r="N1122" t="s">
        <v>96</v>
      </c>
      <c r="O1122" t="s">
        <v>156</v>
      </c>
      <c r="P1122" t="s">
        <v>148</v>
      </c>
      <c r="Q1122">
        <v>14</v>
      </c>
      <c r="R1122">
        <v>7</v>
      </c>
      <c r="S1122">
        <v>16</v>
      </c>
      <c r="T1122">
        <v>6</v>
      </c>
      <c r="U1122">
        <v>9</v>
      </c>
      <c r="V1122">
        <v>15</v>
      </c>
      <c r="W1122">
        <v>71</v>
      </c>
      <c r="X1122">
        <v>829</v>
      </c>
      <c r="Y1122">
        <v>11929</v>
      </c>
      <c r="Z1122">
        <v>17007</v>
      </c>
      <c r="AA1122">
        <v>3</v>
      </c>
      <c r="AB1122" s="29">
        <v>44773</v>
      </c>
      <c r="AC1122" s="29">
        <v>32711</v>
      </c>
      <c r="AD1122" s="29">
        <v>39769</v>
      </c>
      <c r="AE1122" s="29"/>
      <c r="AF1122">
        <v>14</v>
      </c>
      <c r="AG1122" t="s">
        <v>149</v>
      </c>
      <c r="AI1122">
        <v>20</v>
      </c>
      <c r="AJ1122">
        <v>1</v>
      </c>
      <c r="AK1122" t="s">
        <v>154</v>
      </c>
      <c r="AL1122" t="s">
        <v>77</v>
      </c>
      <c r="AM1122">
        <f t="shared" si="85"/>
        <v>4</v>
      </c>
      <c r="AN1122">
        <f t="shared" si="86"/>
        <v>11</v>
      </c>
      <c r="AO1122" t="str">
        <f t="shared" si="87"/>
        <v/>
      </c>
      <c r="AP1122" t="str">
        <f t="shared" si="88"/>
        <v/>
      </c>
      <c r="AQ1122">
        <f t="shared" si="89"/>
        <v>2008</v>
      </c>
    </row>
    <row r="1123" spans="1:43" x14ac:dyDescent="0.35">
      <c r="A1123">
        <v>1630</v>
      </c>
      <c r="B1123">
        <v>35</v>
      </c>
      <c r="C1123" t="s">
        <v>148</v>
      </c>
      <c r="D1123" t="s">
        <v>164</v>
      </c>
      <c r="E1123" t="s">
        <v>4</v>
      </c>
      <c r="F1123" t="s">
        <v>37</v>
      </c>
      <c r="G1123" t="s">
        <v>43</v>
      </c>
      <c r="H1123" t="s">
        <v>81</v>
      </c>
      <c r="I1123" t="s">
        <v>43</v>
      </c>
      <c r="J1123" t="s">
        <v>161</v>
      </c>
      <c r="K1123" t="s">
        <v>43</v>
      </c>
      <c r="L1123" t="s">
        <v>48</v>
      </c>
      <c r="M1123" t="s">
        <v>49</v>
      </c>
      <c r="N1123" t="s">
        <v>160</v>
      </c>
      <c r="O1123" t="s">
        <v>41</v>
      </c>
      <c r="P1123" t="s">
        <v>148</v>
      </c>
      <c r="Q1123">
        <v>12</v>
      </c>
      <c r="R1123">
        <v>1</v>
      </c>
      <c r="S1123">
        <v>15</v>
      </c>
      <c r="T1123">
        <v>2</v>
      </c>
      <c r="U1123">
        <v>9</v>
      </c>
      <c r="V1123">
        <v>8</v>
      </c>
      <c r="W1123">
        <v>52</v>
      </c>
      <c r="X1123">
        <v>208</v>
      </c>
      <c r="Y1123">
        <v>12250</v>
      </c>
      <c r="Z1123">
        <v>4148</v>
      </c>
      <c r="AA1123">
        <v>5</v>
      </c>
      <c r="AB1123" s="29">
        <v>44773</v>
      </c>
      <c r="AC1123" s="29">
        <v>32063</v>
      </c>
      <c r="AD1123" s="29">
        <v>39991</v>
      </c>
      <c r="AE1123" s="29"/>
      <c r="AF1123">
        <v>13</v>
      </c>
      <c r="AG1123" t="s">
        <v>149</v>
      </c>
      <c r="AI1123">
        <v>22</v>
      </c>
      <c r="AJ1123">
        <v>1</v>
      </c>
      <c r="AK1123" t="s">
        <v>154</v>
      </c>
      <c r="AL1123" t="s">
        <v>77</v>
      </c>
      <c r="AM1123">
        <f t="shared" si="85"/>
        <v>2</v>
      </c>
      <c r="AN1123">
        <f t="shared" si="86"/>
        <v>6</v>
      </c>
      <c r="AO1123" t="str">
        <f t="shared" si="87"/>
        <v/>
      </c>
      <c r="AP1123" t="str">
        <f t="shared" si="88"/>
        <v/>
      </c>
      <c r="AQ1123">
        <f t="shared" si="89"/>
        <v>2009</v>
      </c>
    </row>
    <row r="1124" spans="1:43" x14ac:dyDescent="0.35">
      <c r="A1124">
        <v>899</v>
      </c>
      <c r="B1124">
        <v>35</v>
      </c>
      <c r="C1124" t="s">
        <v>148</v>
      </c>
      <c r="D1124" t="s">
        <v>145</v>
      </c>
      <c r="E1124" t="s">
        <v>4</v>
      </c>
      <c r="F1124" t="s">
        <v>38</v>
      </c>
      <c r="G1124" t="s">
        <v>44</v>
      </c>
      <c r="H1124" t="s">
        <v>82</v>
      </c>
      <c r="I1124" t="s">
        <v>42</v>
      </c>
      <c r="J1124" t="s">
        <v>165</v>
      </c>
      <c r="K1124" t="s">
        <v>42</v>
      </c>
      <c r="L1124" t="s">
        <v>48</v>
      </c>
      <c r="M1124" t="s">
        <v>49</v>
      </c>
      <c r="N1124" t="s">
        <v>160</v>
      </c>
      <c r="P1124" t="s">
        <v>148</v>
      </c>
      <c r="Q1124">
        <v>16</v>
      </c>
      <c r="R1124">
        <v>3</v>
      </c>
      <c r="S1124">
        <v>16</v>
      </c>
      <c r="T1124">
        <v>4</v>
      </c>
      <c r="U1124">
        <v>8</v>
      </c>
      <c r="V1124">
        <v>25</v>
      </c>
      <c r="W1124">
        <v>78</v>
      </c>
      <c r="X1124">
        <v>672</v>
      </c>
      <c r="Y1124">
        <v>9129</v>
      </c>
      <c r="Z1124">
        <v>10903</v>
      </c>
      <c r="AA1124">
        <v>2</v>
      </c>
      <c r="AB1124" s="29">
        <v>44773</v>
      </c>
      <c r="AC1124" s="29">
        <v>32295</v>
      </c>
      <c r="AD1124" s="29">
        <v>40174</v>
      </c>
      <c r="AE1124" s="29"/>
      <c r="AF1124">
        <v>13</v>
      </c>
      <c r="AG1124" t="s">
        <v>149</v>
      </c>
      <c r="AI1124">
        <v>22</v>
      </c>
      <c r="AJ1124">
        <v>1</v>
      </c>
      <c r="AK1124" t="s">
        <v>154</v>
      </c>
      <c r="AL1124" t="s">
        <v>77</v>
      </c>
      <c r="AM1124">
        <f t="shared" si="85"/>
        <v>4</v>
      </c>
      <c r="AN1124">
        <f t="shared" si="86"/>
        <v>12</v>
      </c>
      <c r="AO1124" t="str">
        <f t="shared" si="87"/>
        <v/>
      </c>
      <c r="AP1124" t="str">
        <f t="shared" si="88"/>
        <v/>
      </c>
      <c r="AQ1124">
        <f t="shared" si="89"/>
        <v>2009</v>
      </c>
    </row>
    <row r="1125" spans="1:43" x14ac:dyDescent="0.35">
      <c r="A1125">
        <v>1852</v>
      </c>
      <c r="B1125">
        <v>29</v>
      </c>
      <c r="C1125" t="s">
        <v>148</v>
      </c>
      <c r="D1125" t="s">
        <v>151</v>
      </c>
      <c r="E1125" t="s">
        <v>4</v>
      </c>
      <c r="F1125" t="s">
        <v>35</v>
      </c>
      <c r="G1125" t="s">
        <v>44</v>
      </c>
      <c r="H1125" t="s">
        <v>82</v>
      </c>
      <c r="I1125" t="s">
        <v>43</v>
      </c>
      <c r="J1125" t="s">
        <v>155</v>
      </c>
      <c r="K1125" t="s">
        <v>44</v>
      </c>
      <c r="L1125" t="s">
        <v>48</v>
      </c>
      <c r="M1125" t="s">
        <v>50</v>
      </c>
      <c r="N1125" t="s">
        <v>160</v>
      </c>
      <c r="P1125" t="s">
        <v>148</v>
      </c>
      <c r="Q1125">
        <v>13</v>
      </c>
      <c r="R1125">
        <v>1</v>
      </c>
      <c r="S1125">
        <v>11</v>
      </c>
      <c r="T1125">
        <v>3</v>
      </c>
      <c r="U1125">
        <v>10</v>
      </c>
      <c r="V1125">
        <v>20</v>
      </c>
      <c r="W1125">
        <v>40</v>
      </c>
      <c r="X1125">
        <v>574</v>
      </c>
      <c r="Y1125">
        <v>7003</v>
      </c>
      <c r="Z1125">
        <v>3812</v>
      </c>
      <c r="AA1125">
        <v>3</v>
      </c>
      <c r="AB1125" s="29">
        <v>44773</v>
      </c>
      <c r="AC1125" s="29">
        <v>34317</v>
      </c>
      <c r="AD1125" s="29">
        <v>40999</v>
      </c>
      <c r="AE1125" s="29"/>
      <c r="AF1125">
        <v>10</v>
      </c>
      <c r="AG1125" t="s">
        <v>157</v>
      </c>
      <c r="AI1125">
        <v>19</v>
      </c>
      <c r="AJ1125">
        <v>1</v>
      </c>
      <c r="AK1125" t="s">
        <v>154</v>
      </c>
      <c r="AL1125" t="s">
        <v>77</v>
      </c>
      <c r="AM1125">
        <f t="shared" si="85"/>
        <v>1</v>
      </c>
      <c r="AN1125">
        <f t="shared" si="86"/>
        <v>3</v>
      </c>
      <c r="AO1125" t="str">
        <f t="shared" si="87"/>
        <v/>
      </c>
      <c r="AP1125" t="str">
        <f t="shared" si="88"/>
        <v/>
      </c>
      <c r="AQ1125">
        <f t="shared" si="89"/>
        <v>2012</v>
      </c>
    </row>
    <row r="1126" spans="1:43" x14ac:dyDescent="0.35">
      <c r="A1126">
        <v>124</v>
      </c>
      <c r="B1126">
        <v>46</v>
      </c>
      <c r="C1126" t="s">
        <v>148</v>
      </c>
      <c r="D1126" t="s">
        <v>151</v>
      </c>
      <c r="E1126" t="s">
        <v>4</v>
      </c>
      <c r="F1126" t="s">
        <v>38</v>
      </c>
      <c r="G1126" t="s">
        <v>43</v>
      </c>
      <c r="H1126" t="s">
        <v>82</v>
      </c>
      <c r="I1126" t="s">
        <v>42</v>
      </c>
      <c r="J1126" t="s">
        <v>161</v>
      </c>
      <c r="K1126" t="s">
        <v>41</v>
      </c>
      <c r="L1126" t="s">
        <v>48</v>
      </c>
      <c r="M1126" t="s">
        <v>48</v>
      </c>
      <c r="N1126" t="s">
        <v>160</v>
      </c>
      <c r="O1126" t="s">
        <v>41</v>
      </c>
      <c r="P1126" t="s">
        <v>144</v>
      </c>
      <c r="Q1126">
        <v>13</v>
      </c>
      <c r="R1126">
        <v>2</v>
      </c>
      <c r="S1126">
        <v>21</v>
      </c>
      <c r="T1126">
        <v>9</v>
      </c>
      <c r="U1126">
        <v>5</v>
      </c>
      <c r="V1126">
        <v>1</v>
      </c>
      <c r="W1126">
        <v>40</v>
      </c>
      <c r="X1126">
        <v>638</v>
      </c>
      <c r="Y1126">
        <v>3142</v>
      </c>
      <c r="Z1126">
        <v>10673</v>
      </c>
      <c r="AA1126">
        <v>5</v>
      </c>
      <c r="AB1126" s="29">
        <v>44773</v>
      </c>
      <c r="AC1126" s="29">
        <v>28166</v>
      </c>
      <c r="AD1126" s="29">
        <v>41282</v>
      </c>
      <c r="AE1126" s="29"/>
      <c r="AF1126">
        <v>10</v>
      </c>
      <c r="AG1126" t="s">
        <v>153</v>
      </c>
      <c r="AI1126">
        <v>36</v>
      </c>
      <c r="AJ1126">
        <v>1</v>
      </c>
      <c r="AK1126" t="s">
        <v>154</v>
      </c>
      <c r="AL1126" t="s">
        <v>77</v>
      </c>
      <c r="AM1126">
        <f t="shared" si="85"/>
        <v>1</v>
      </c>
      <c r="AN1126">
        <f t="shared" si="86"/>
        <v>1</v>
      </c>
      <c r="AO1126" t="str">
        <f t="shared" si="87"/>
        <v/>
      </c>
      <c r="AP1126" t="str">
        <f t="shared" si="88"/>
        <v/>
      </c>
      <c r="AQ1126">
        <f t="shared" si="89"/>
        <v>2013</v>
      </c>
    </row>
    <row r="1127" spans="1:43" x14ac:dyDescent="0.35">
      <c r="A1127">
        <v>889</v>
      </c>
      <c r="B1127">
        <v>32</v>
      </c>
      <c r="C1127" t="s">
        <v>148</v>
      </c>
      <c r="D1127" t="s">
        <v>151</v>
      </c>
      <c r="E1127" t="s">
        <v>158</v>
      </c>
      <c r="F1127" t="s">
        <v>36</v>
      </c>
      <c r="G1127" t="s">
        <v>42</v>
      </c>
      <c r="H1127" t="s">
        <v>82</v>
      </c>
      <c r="I1127" t="s">
        <v>43</v>
      </c>
      <c r="J1127" t="s">
        <v>159</v>
      </c>
      <c r="K1127" t="s">
        <v>42</v>
      </c>
      <c r="L1127" t="s">
        <v>48</v>
      </c>
      <c r="M1127" t="s">
        <v>49</v>
      </c>
      <c r="N1127" t="s">
        <v>160</v>
      </c>
      <c r="O1127" t="s">
        <v>41</v>
      </c>
      <c r="P1127" t="s">
        <v>148</v>
      </c>
      <c r="Q1127">
        <v>14</v>
      </c>
      <c r="R1127">
        <v>1</v>
      </c>
      <c r="S1127">
        <v>10</v>
      </c>
      <c r="T1127">
        <v>5</v>
      </c>
      <c r="U1127">
        <v>3</v>
      </c>
      <c r="V1127">
        <v>5</v>
      </c>
      <c r="W1127">
        <v>48</v>
      </c>
      <c r="X1127">
        <v>379</v>
      </c>
      <c r="Y1127">
        <v>8891</v>
      </c>
      <c r="Z1127">
        <v>6524</v>
      </c>
      <c r="AA1127">
        <v>3</v>
      </c>
      <c r="AB1127" s="29">
        <v>44773</v>
      </c>
      <c r="AC1127" s="29">
        <v>33222</v>
      </c>
      <c r="AD1127" s="29">
        <v>41323</v>
      </c>
      <c r="AE1127" s="29"/>
      <c r="AF1127">
        <v>9</v>
      </c>
      <c r="AG1127" t="s">
        <v>149</v>
      </c>
      <c r="AI1127">
        <v>23</v>
      </c>
      <c r="AJ1127">
        <v>1</v>
      </c>
      <c r="AK1127" t="s">
        <v>150</v>
      </c>
      <c r="AL1127" t="s">
        <v>77</v>
      </c>
      <c r="AM1127">
        <f t="shared" si="85"/>
        <v>1</v>
      </c>
      <c r="AN1127">
        <f t="shared" si="86"/>
        <v>2</v>
      </c>
      <c r="AO1127" t="str">
        <f t="shared" si="87"/>
        <v/>
      </c>
      <c r="AP1127" t="str">
        <f t="shared" si="88"/>
        <v/>
      </c>
      <c r="AQ1127">
        <f t="shared" si="89"/>
        <v>2013</v>
      </c>
    </row>
    <row r="1128" spans="1:43" x14ac:dyDescent="0.35">
      <c r="A1128">
        <v>1596</v>
      </c>
      <c r="B1128">
        <v>35</v>
      </c>
      <c r="C1128" t="s">
        <v>148</v>
      </c>
      <c r="D1128" t="s">
        <v>145</v>
      </c>
      <c r="E1128" t="s">
        <v>4</v>
      </c>
      <c r="F1128" t="s">
        <v>38</v>
      </c>
      <c r="G1128" t="s">
        <v>42</v>
      </c>
      <c r="H1128" t="s">
        <v>82</v>
      </c>
      <c r="I1128" t="s">
        <v>44</v>
      </c>
      <c r="J1128" t="s">
        <v>155</v>
      </c>
      <c r="K1128" t="s">
        <v>43</v>
      </c>
      <c r="L1128" t="s">
        <v>48</v>
      </c>
      <c r="M1128" t="s">
        <v>48</v>
      </c>
      <c r="N1128" t="s">
        <v>160</v>
      </c>
      <c r="O1128" t="s">
        <v>156</v>
      </c>
      <c r="P1128" t="s">
        <v>148</v>
      </c>
      <c r="Q1128">
        <v>17</v>
      </c>
      <c r="R1128">
        <v>1</v>
      </c>
      <c r="S1128">
        <v>10</v>
      </c>
      <c r="T1128">
        <v>6</v>
      </c>
      <c r="U1128">
        <v>8</v>
      </c>
      <c r="V1128">
        <v>28</v>
      </c>
      <c r="W1128">
        <v>46</v>
      </c>
      <c r="X1128">
        <v>750</v>
      </c>
      <c r="Y1128">
        <v>25348</v>
      </c>
      <c r="Z1128">
        <v>3407</v>
      </c>
      <c r="AA1128">
        <v>3</v>
      </c>
      <c r="AB1128" s="29">
        <v>44773</v>
      </c>
      <c r="AC1128" s="29">
        <v>32210</v>
      </c>
      <c r="AD1128" s="29">
        <v>41326</v>
      </c>
      <c r="AE1128" s="29"/>
      <c r="AF1128">
        <v>9</v>
      </c>
      <c r="AG1128" t="s">
        <v>149</v>
      </c>
      <c r="AI1128">
        <v>26</v>
      </c>
      <c r="AJ1128">
        <v>1</v>
      </c>
      <c r="AK1128" t="s">
        <v>150</v>
      </c>
      <c r="AL1128" t="s">
        <v>77</v>
      </c>
      <c r="AM1128">
        <f t="shared" si="85"/>
        <v>1</v>
      </c>
      <c r="AN1128">
        <f t="shared" si="86"/>
        <v>2</v>
      </c>
      <c r="AO1128" t="str">
        <f t="shared" si="87"/>
        <v/>
      </c>
      <c r="AP1128" t="str">
        <f t="shared" si="88"/>
        <v/>
      </c>
      <c r="AQ1128">
        <f t="shared" si="89"/>
        <v>2013</v>
      </c>
    </row>
    <row r="1129" spans="1:43" x14ac:dyDescent="0.35">
      <c r="A1129">
        <v>1472</v>
      </c>
      <c r="B1129">
        <v>53</v>
      </c>
      <c r="C1129" t="s">
        <v>148</v>
      </c>
      <c r="D1129" t="s">
        <v>145</v>
      </c>
      <c r="E1129" t="s">
        <v>4</v>
      </c>
      <c r="F1129" t="s">
        <v>38</v>
      </c>
      <c r="G1129" t="s">
        <v>44</v>
      </c>
      <c r="H1129" t="s">
        <v>82</v>
      </c>
      <c r="I1129" t="s">
        <v>44</v>
      </c>
      <c r="J1129" t="s">
        <v>173</v>
      </c>
      <c r="K1129" t="s">
        <v>42</v>
      </c>
      <c r="L1129" t="s">
        <v>48</v>
      </c>
      <c r="M1129" t="s">
        <v>48</v>
      </c>
      <c r="N1129" t="s">
        <v>95</v>
      </c>
      <c r="P1129" t="s">
        <v>148</v>
      </c>
      <c r="Q1129">
        <v>12</v>
      </c>
      <c r="R1129">
        <v>4</v>
      </c>
      <c r="S1129">
        <v>35</v>
      </c>
      <c r="T1129">
        <v>8</v>
      </c>
      <c r="U1129">
        <v>8</v>
      </c>
      <c r="V1129">
        <v>2</v>
      </c>
      <c r="W1129">
        <v>39</v>
      </c>
      <c r="X1129">
        <v>447</v>
      </c>
      <c r="Y1129">
        <v>19764</v>
      </c>
      <c r="Z1129">
        <v>16598</v>
      </c>
      <c r="AA1129">
        <v>2</v>
      </c>
      <c r="AB1129" s="29">
        <v>44773</v>
      </c>
      <c r="AC1129" s="29">
        <v>25716</v>
      </c>
      <c r="AD1129" s="29">
        <v>41760</v>
      </c>
      <c r="AE1129" s="29"/>
      <c r="AF1129">
        <v>8</v>
      </c>
      <c r="AG1129" t="s">
        <v>167</v>
      </c>
      <c r="AI1129">
        <v>45</v>
      </c>
      <c r="AJ1129">
        <v>1</v>
      </c>
      <c r="AK1129" t="s">
        <v>150</v>
      </c>
      <c r="AL1129" t="s">
        <v>77</v>
      </c>
      <c r="AM1129">
        <f t="shared" si="85"/>
        <v>2</v>
      </c>
      <c r="AN1129">
        <f t="shared" si="86"/>
        <v>5</v>
      </c>
      <c r="AO1129" t="str">
        <f t="shared" si="87"/>
        <v/>
      </c>
      <c r="AP1129" t="str">
        <f t="shared" si="88"/>
        <v/>
      </c>
      <c r="AQ1129">
        <f t="shared" si="89"/>
        <v>2014</v>
      </c>
    </row>
    <row r="1130" spans="1:43" x14ac:dyDescent="0.35">
      <c r="A1130">
        <v>1597</v>
      </c>
      <c r="B1130">
        <v>34</v>
      </c>
      <c r="C1130" t="s">
        <v>148</v>
      </c>
      <c r="D1130" t="s">
        <v>151</v>
      </c>
      <c r="E1130" t="s">
        <v>4</v>
      </c>
      <c r="F1130" t="s">
        <v>37</v>
      </c>
      <c r="G1130" t="s">
        <v>44</v>
      </c>
      <c r="H1130" t="s">
        <v>82</v>
      </c>
      <c r="I1130" t="s">
        <v>42</v>
      </c>
      <c r="J1130" t="s">
        <v>161</v>
      </c>
      <c r="K1130" t="s">
        <v>43</v>
      </c>
      <c r="L1130" t="s">
        <v>48</v>
      </c>
      <c r="M1130" t="s">
        <v>48</v>
      </c>
      <c r="N1130" t="s">
        <v>160</v>
      </c>
      <c r="O1130" t="s">
        <v>41</v>
      </c>
      <c r="P1130" t="s">
        <v>148</v>
      </c>
      <c r="Q1130">
        <v>14</v>
      </c>
      <c r="R1130">
        <v>1</v>
      </c>
      <c r="S1130">
        <v>9</v>
      </c>
      <c r="T1130">
        <v>7</v>
      </c>
      <c r="U1130">
        <v>7</v>
      </c>
      <c r="V1130">
        <v>10</v>
      </c>
      <c r="W1130">
        <v>92</v>
      </c>
      <c r="X1130">
        <v>653</v>
      </c>
      <c r="Y1130">
        <v>15332</v>
      </c>
      <c r="Z1130">
        <v>5063</v>
      </c>
      <c r="AA1130">
        <v>3</v>
      </c>
      <c r="AB1130" s="29">
        <v>44773</v>
      </c>
      <c r="AC1130" s="29">
        <v>32549</v>
      </c>
      <c r="AD1130" s="29">
        <v>41848</v>
      </c>
      <c r="AE1130" s="29"/>
      <c r="AF1130">
        <v>8</v>
      </c>
      <c r="AG1130" t="s">
        <v>149</v>
      </c>
      <c r="AI1130">
        <v>26</v>
      </c>
      <c r="AJ1130">
        <v>1</v>
      </c>
      <c r="AK1130" t="s">
        <v>150</v>
      </c>
      <c r="AL1130" t="s">
        <v>77</v>
      </c>
      <c r="AM1130">
        <f t="shared" si="85"/>
        <v>3</v>
      </c>
      <c r="AN1130">
        <f t="shared" si="86"/>
        <v>7</v>
      </c>
      <c r="AO1130" t="str">
        <f t="shared" si="87"/>
        <v/>
      </c>
      <c r="AP1130" t="str">
        <f t="shared" si="88"/>
        <v/>
      </c>
      <c r="AQ1130">
        <f t="shared" si="89"/>
        <v>2014</v>
      </c>
    </row>
    <row r="1131" spans="1:43" x14ac:dyDescent="0.35">
      <c r="A1131">
        <v>1046</v>
      </c>
      <c r="B1131">
        <v>32</v>
      </c>
      <c r="C1131" t="s">
        <v>148</v>
      </c>
      <c r="D1131" t="s">
        <v>164</v>
      </c>
      <c r="E1131" t="s">
        <v>4</v>
      </c>
      <c r="F1131" t="s">
        <v>37</v>
      </c>
      <c r="G1131" t="s">
        <v>44</v>
      </c>
      <c r="H1131" t="s">
        <v>81</v>
      </c>
      <c r="I1131" t="s">
        <v>43</v>
      </c>
      <c r="J1131" t="s">
        <v>155</v>
      </c>
      <c r="K1131" t="s">
        <v>43</v>
      </c>
      <c r="L1131" t="s">
        <v>48</v>
      </c>
      <c r="M1131" t="s">
        <v>49</v>
      </c>
      <c r="N1131" t="s">
        <v>95</v>
      </c>
      <c r="P1131" t="s">
        <v>148</v>
      </c>
      <c r="Q1131">
        <v>12</v>
      </c>
      <c r="R1131">
        <v>9</v>
      </c>
      <c r="S1131">
        <v>10</v>
      </c>
      <c r="T1131">
        <v>7</v>
      </c>
      <c r="U1131">
        <v>7</v>
      </c>
      <c r="V1131">
        <v>29</v>
      </c>
      <c r="W1131">
        <v>69</v>
      </c>
      <c r="X1131">
        <v>1109</v>
      </c>
      <c r="Y1131">
        <v>11135</v>
      </c>
      <c r="Z1131">
        <v>4025</v>
      </c>
      <c r="AA1131">
        <v>2</v>
      </c>
      <c r="AB1131" s="29">
        <v>44773</v>
      </c>
      <c r="AC1131" s="29">
        <v>33445</v>
      </c>
      <c r="AD1131" s="29">
        <v>41988</v>
      </c>
      <c r="AE1131" s="29"/>
      <c r="AF1131">
        <v>8</v>
      </c>
      <c r="AG1131" t="s">
        <v>149</v>
      </c>
      <c r="AI1131">
        <v>24</v>
      </c>
      <c r="AJ1131">
        <v>1</v>
      </c>
      <c r="AK1131" t="s">
        <v>150</v>
      </c>
      <c r="AL1131" t="s">
        <v>77</v>
      </c>
      <c r="AM1131">
        <f t="shared" si="85"/>
        <v>4</v>
      </c>
      <c r="AN1131">
        <f t="shared" si="86"/>
        <v>12</v>
      </c>
      <c r="AO1131" t="str">
        <f t="shared" si="87"/>
        <v/>
      </c>
      <c r="AP1131" t="str">
        <f t="shared" si="88"/>
        <v/>
      </c>
      <c r="AQ1131">
        <f t="shared" si="89"/>
        <v>2014</v>
      </c>
    </row>
    <row r="1132" spans="1:43" x14ac:dyDescent="0.35">
      <c r="A1132">
        <v>982</v>
      </c>
      <c r="B1132">
        <v>30</v>
      </c>
      <c r="C1132" t="s">
        <v>148</v>
      </c>
      <c r="D1132" t="s">
        <v>145</v>
      </c>
      <c r="E1132" t="s">
        <v>158</v>
      </c>
      <c r="F1132" t="s">
        <v>36</v>
      </c>
      <c r="G1132" t="s">
        <v>43</v>
      </c>
      <c r="H1132" t="s">
        <v>82</v>
      </c>
      <c r="I1132" t="s">
        <v>43</v>
      </c>
      <c r="J1132" t="s">
        <v>159</v>
      </c>
      <c r="K1132" t="s">
        <v>43</v>
      </c>
      <c r="L1132" t="s">
        <v>48</v>
      </c>
      <c r="M1132" t="s">
        <v>50</v>
      </c>
      <c r="N1132" t="s">
        <v>96</v>
      </c>
      <c r="O1132" t="s">
        <v>41</v>
      </c>
      <c r="P1132" t="s">
        <v>148</v>
      </c>
      <c r="Q1132">
        <v>11</v>
      </c>
      <c r="R1132">
        <v>5</v>
      </c>
      <c r="S1132">
        <v>10</v>
      </c>
      <c r="T1132">
        <v>7</v>
      </c>
      <c r="U1132">
        <v>7</v>
      </c>
      <c r="V1132">
        <v>8</v>
      </c>
      <c r="W1132">
        <v>62</v>
      </c>
      <c r="X1132">
        <v>231</v>
      </c>
      <c r="Y1132">
        <v>9977</v>
      </c>
      <c r="Z1132">
        <v>7264</v>
      </c>
      <c r="AA1132">
        <v>2</v>
      </c>
      <c r="AB1132" s="29">
        <v>44773</v>
      </c>
      <c r="AC1132" s="29">
        <v>34060</v>
      </c>
      <c r="AD1132" s="29">
        <v>42034</v>
      </c>
      <c r="AE1132" s="29"/>
      <c r="AF1132">
        <v>8</v>
      </c>
      <c r="AG1132" t="s">
        <v>149</v>
      </c>
      <c r="AI1132">
        <v>22</v>
      </c>
      <c r="AJ1132">
        <v>1</v>
      </c>
      <c r="AK1132" t="s">
        <v>150</v>
      </c>
      <c r="AL1132" t="s">
        <v>77</v>
      </c>
      <c r="AM1132">
        <f t="shared" si="85"/>
        <v>1</v>
      </c>
      <c r="AN1132">
        <f t="shared" si="86"/>
        <v>1</v>
      </c>
      <c r="AO1132" t="str">
        <f t="shared" si="87"/>
        <v/>
      </c>
      <c r="AP1132" t="str">
        <f t="shared" si="88"/>
        <v/>
      </c>
      <c r="AQ1132">
        <f t="shared" si="89"/>
        <v>2015</v>
      </c>
    </row>
    <row r="1133" spans="1:43" x14ac:dyDescent="0.35">
      <c r="A1133">
        <v>1576</v>
      </c>
      <c r="B1133">
        <v>48</v>
      </c>
      <c r="C1133" t="s">
        <v>148</v>
      </c>
      <c r="D1133" t="s">
        <v>145</v>
      </c>
      <c r="E1133" t="s">
        <v>4</v>
      </c>
      <c r="F1133" t="s">
        <v>37</v>
      </c>
      <c r="G1133" t="s">
        <v>43</v>
      </c>
      <c r="H1133" t="s">
        <v>81</v>
      </c>
      <c r="I1133" t="s">
        <v>43</v>
      </c>
      <c r="J1133" t="s">
        <v>146</v>
      </c>
      <c r="K1133" t="s">
        <v>41</v>
      </c>
      <c r="L1133" t="s">
        <v>41</v>
      </c>
      <c r="M1133" t="s">
        <v>48</v>
      </c>
      <c r="N1133" t="s">
        <v>160</v>
      </c>
      <c r="O1133" t="s">
        <v>41</v>
      </c>
      <c r="P1133" t="s">
        <v>148</v>
      </c>
      <c r="Q1133">
        <v>12</v>
      </c>
      <c r="R1133">
        <v>8</v>
      </c>
      <c r="S1133">
        <v>10</v>
      </c>
      <c r="T1133">
        <v>7</v>
      </c>
      <c r="U1133">
        <v>6</v>
      </c>
      <c r="V1133">
        <v>15</v>
      </c>
      <c r="W1133">
        <v>65</v>
      </c>
      <c r="X1133">
        <v>1108</v>
      </c>
      <c r="Y1133">
        <v>16530</v>
      </c>
      <c r="Z1133">
        <v>2367</v>
      </c>
      <c r="AA1133">
        <v>3</v>
      </c>
      <c r="AB1133" s="29">
        <v>44773</v>
      </c>
      <c r="AC1133" s="29">
        <v>27454</v>
      </c>
      <c r="AD1133" s="29">
        <v>42079</v>
      </c>
      <c r="AE1133" s="29"/>
      <c r="AF1133">
        <v>7</v>
      </c>
      <c r="AG1133" t="s">
        <v>153</v>
      </c>
      <c r="AI1133">
        <v>41</v>
      </c>
      <c r="AJ1133">
        <v>1</v>
      </c>
      <c r="AK1133" t="s">
        <v>150</v>
      </c>
      <c r="AL1133" t="s">
        <v>77</v>
      </c>
      <c r="AM1133">
        <f t="shared" si="85"/>
        <v>1</v>
      </c>
      <c r="AN1133">
        <f t="shared" si="86"/>
        <v>3</v>
      </c>
      <c r="AO1133" t="str">
        <f t="shared" si="87"/>
        <v/>
      </c>
      <c r="AP1133" t="str">
        <f t="shared" si="88"/>
        <v/>
      </c>
      <c r="AQ1133">
        <f t="shared" si="89"/>
        <v>2015</v>
      </c>
    </row>
    <row r="1134" spans="1:43" x14ac:dyDescent="0.35">
      <c r="A1134">
        <v>1618</v>
      </c>
      <c r="B1134">
        <v>39</v>
      </c>
      <c r="C1134" t="s">
        <v>148</v>
      </c>
      <c r="D1134" t="s">
        <v>145</v>
      </c>
      <c r="E1134" t="s">
        <v>4</v>
      </c>
      <c r="F1134" t="s">
        <v>34</v>
      </c>
      <c r="G1134" t="s">
        <v>42</v>
      </c>
      <c r="H1134" t="s">
        <v>82</v>
      </c>
      <c r="I1134" t="s">
        <v>43</v>
      </c>
      <c r="J1134" t="s">
        <v>165</v>
      </c>
      <c r="K1134" t="s">
        <v>41</v>
      </c>
      <c r="L1134" t="s">
        <v>48</v>
      </c>
      <c r="M1134" t="s">
        <v>49</v>
      </c>
      <c r="N1134" t="s">
        <v>160</v>
      </c>
      <c r="O1134" t="s">
        <v>43</v>
      </c>
      <c r="P1134" t="s">
        <v>148</v>
      </c>
      <c r="Q1134">
        <v>13</v>
      </c>
      <c r="R1134">
        <v>2</v>
      </c>
      <c r="S1134">
        <v>10</v>
      </c>
      <c r="T1134">
        <v>7</v>
      </c>
      <c r="U1134">
        <v>7</v>
      </c>
      <c r="V1134">
        <v>10</v>
      </c>
      <c r="W1134">
        <v>76</v>
      </c>
      <c r="X1134">
        <v>1387</v>
      </c>
      <c r="Y1134">
        <v>3835</v>
      </c>
      <c r="Z1134">
        <v>5377</v>
      </c>
      <c r="AA1134">
        <v>3</v>
      </c>
      <c r="AB1134" s="29">
        <v>44773</v>
      </c>
      <c r="AC1134" s="29">
        <v>30760</v>
      </c>
      <c r="AD1134" s="29">
        <v>42305</v>
      </c>
      <c r="AE1134" s="29"/>
      <c r="AF1134">
        <v>7</v>
      </c>
      <c r="AG1134" t="s">
        <v>149</v>
      </c>
      <c r="AI1134">
        <v>32</v>
      </c>
      <c r="AJ1134">
        <v>1</v>
      </c>
      <c r="AK1134" t="s">
        <v>150</v>
      </c>
      <c r="AL1134" t="s">
        <v>77</v>
      </c>
      <c r="AM1134">
        <f t="shared" si="85"/>
        <v>4</v>
      </c>
      <c r="AN1134">
        <f t="shared" si="86"/>
        <v>10</v>
      </c>
      <c r="AO1134" t="str">
        <f t="shared" si="87"/>
        <v/>
      </c>
      <c r="AP1134" t="str">
        <f t="shared" si="88"/>
        <v/>
      </c>
      <c r="AQ1134">
        <f t="shared" si="89"/>
        <v>2015</v>
      </c>
    </row>
    <row r="1135" spans="1:43" x14ac:dyDescent="0.35">
      <c r="A1135">
        <v>1152</v>
      </c>
      <c r="B1135">
        <v>38</v>
      </c>
      <c r="C1135" t="s">
        <v>148</v>
      </c>
      <c r="D1135" t="s">
        <v>145</v>
      </c>
      <c r="E1135" t="s">
        <v>168</v>
      </c>
      <c r="F1135" t="s">
        <v>38</v>
      </c>
      <c r="G1135" t="s">
        <v>43</v>
      </c>
      <c r="H1135" t="s">
        <v>82</v>
      </c>
      <c r="I1135" t="s">
        <v>44</v>
      </c>
      <c r="J1135" t="s">
        <v>168</v>
      </c>
      <c r="K1135" t="s">
        <v>43</v>
      </c>
      <c r="L1135" t="s">
        <v>48</v>
      </c>
      <c r="M1135" t="s">
        <v>50</v>
      </c>
      <c r="N1135" t="s">
        <v>160</v>
      </c>
      <c r="O1135" t="s">
        <v>41</v>
      </c>
      <c r="P1135" t="s">
        <v>148</v>
      </c>
      <c r="Q1135">
        <v>13</v>
      </c>
      <c r="R1135">
        <v>1</v>
      </c>
      <c r="S1135">
        <v>7</v>
      </c>
      <c r="T1135">
        <v>5</v>
      </c>
      <c r="U1135">
        <v>0</v>
      </c>
      <c r="V1135">
        <v>1</v>
      </c>
      <c r="W1135">
        <v>37</v>
      </c>
      <c r="X1135">
        <v>433</v>
      </c>
      <c r="Y1135">
        <v>6004</v>
      </c>
      <c r="Z1135">
        <v>2844</v>
      </c>
      <c r="AA1135">
        <v>2</v>
      </c>
      <c r="AB1135" s="29">
        <v>44773</v>
      </c>
      <c r="AC1135" s="29">
        <v>31162</v>
      </c>
      <c r="AD1135" s="29">
        <v>42315</v>
      </c>
      <c r="AE1135" s="29"/>
      <c r="AF1135">
        <v>7</v>
      </c>
      <c r="AG1135" t="s">
        <v>149</v>
      </c>
      <c r="AI1135">
        <v>31</v>
      </c>
      <c r="AJ1135">
        <v>1</v>
      </c>
      <c r="AK1135" t="s">
        <v>150</v>
      </c>
      <c r="AL1135" t="s">
        <v>77</v>
      </c>
      <c r="AM1135">
        <f t="shared" si="85"/>
        <v>4</v>
      </c>
      <c r="AN1135">
        <f t="shared" si="86"/>
        <v>11</v>
      </c>
      <c r="AO1135" t="str">
        <f t="shared" si="87"/>
        <v/>
      </c>
      <c r="AP1135" t="str">
        <f t="shared" si="88"/>
        <v/>
      </c>
      <c r="AQ1135">
        <f t="shared" si="89"/>
        <v>2015</v>
      </c>
    </row>
    <row r="1136" spans="1:43" x14ac:dyDescent="0.35">
      <c r="A1136">
        <v>199</v>
      </c>
      <c r="B1136">
        <v>41</v>
      </c>
      <c r="C1136" t="s">
        <v>148</v>
      </c>
      <c r="D1136" t="s">
        <v>151</v>
      </c>
      <c r="E1136" t="s">
        <v>4</v>
      </c>
      <c r="F1136" t="s">
        <v>38</v>
      </c>
      <c r="G1136" t="s">
        <v>44</v>
      </c>
      <c r="H1136" t="s">
        <v>82</v>
      </c>
      <c r="I1136" t="s">
        <v>42</v>
      </c>
      <c r="J1136" t="s">
        <v>169</v>
      </c>
      <c r="K1136" t="s">
        <v>41</v>
      </c>
      <c r="L1136" t="s">
        <v>41</v>
      </c>
      <c r="M1136" t="s">
        <v>48</v>
      </c>
      <c r="N1136" t="s">
        <v>96</v>
      </c>
      <c r="O1136" t="s">
        <v>41</v>
      </c>
      <c r="P1136" t="s">
        <v>148</v>
      </c>
      <c r="Q1136">
        <v>13</v>
      </c>
      <c r="R1136">
        <v>4</v>
      </c>
      <c r="S1136">
        <v>21</v>
      </c>
      <c r="T1136">
        <v>3</v>
      </c>
      <c r="U1136">
        <v>6</v>
      </c>
      <c r="V1136">
        <v>10</v>
      </c>
      <c r="W1136">
        <v>91</v>
      </c>
      <c r="X1136">
        <v>857</v>
      </c>
      <c r="Y1136">
        <v>12888</v>
      </c>
      <c r="Z1136">
        <v>17181</v>
      </c>
      <c r="AA1136">
        <v>2</v>
      </c>
      <c r="AB1136" s="29">
        <v>44773</v>
      </c>
      <c r="AC1136" s="29">
        <v>29825</v>
      </c>
      <c r="AD1136" s="29">
        <v>42421</v>
      </c>
      <c r="AE1136" s="29"/>
      <c r="AF1136">
        <v>6</v>
      </c>
      <c r="AG1136" t="s">
        <v>153</v>
      </c>
      <c r="AI1136">
        <v>35</v>
      </c>
      <c r="AJ1136">
        <v>1</v>
      </c>
      <c r="AK1136" t="s">
        <v>150</v>
      </c>
      <c r="AL1136" t="s">
        <v>77</v>
      </c>
      <c r="AM1136">
        <f t="shared" si="85"/>
        <v>1</v>
      </c>
      <c r="AN1136">
        <f t="shared" si="86"/>
        <v>2</v>
      </c>
      <c r="AO1136" t="str">
        <f t="shared" si="87"/>
        <v/>
      </c>
      <c r="AP1136" t="str">
        <f t="shared" si="88"/>
        <v/>
      </c>
      <c r="AQ1136">
        <f t="shared" si="89"/>
        <v>2016</v>
      </c>
    </row>
    <row r="1137" spans="1:43" x14ac:dyDescent="0.35">
      <c r="A1137">
        <v>1314</v>
      </c>
      <c r="B1137">
        <v>46</v>
      </c>
      <c r="C1137" t="s">
        <v>148</v>
      </c>
      <c r="D1137" t="s">
        <v>145</v>
      </c>
      <c r="E1137" t="s">
        <v>168</v>
      </c>
      <c r="F1137" t="s">
        <v>36</v>
      </c>
      <c r="G1137" t="s">
        <v>44</v>
      </c>
      <c r="H1137" t="s">
        <v>81</v>
      </c>
      <c r="I1137" t="s">
        <v>43</v>
      </c>
      <c r="J1137" t="s">
        <v>168</v>
      </c>
      <c r="K1137" t="s">
        <v>41</v>
      </c>
      <c r="L1137" t="s">
        <v>48</v>
      </c>
      <c r="M1137" t="s">
        <v>50</v>
      </c>
      <c r="N1137" t="s">
        <v>95</v>
      </c>
      <c r="P1137" t="s">
        <v>148</v>
      </c>
      <c r="Q1137">
        <v>12</v>
      </c>
      <c r="R1137">
        <v>6</v>
      </c>
      <c r="S1137">
        <v>10</v>
      </c>
      <c r="T1137">
        <v>5</v>
      </c>
      <c r="U1137">
        <v>4</v>
      </c>
      <c r="V1137">
        <v>1</v>
      </c>
      <c r="W1137">
        <v>44</v>
      </c>
      <c r="X1137">
        <v>991</v>
      </c>
      <c r="Y1137">
        <v>22957</v>
      </c>
      <c r="Z1137">
        <v>3423</v>
      </c>
      <c r="AA1137">
        <v>3</v>
      </c>
      <c r="AB1137" s="29">
        <v>44773</v>
      </c>
      <c r="AC1137" s="29">
        <v>28335</v>
      </c>
      <c r="AD1137" s="29">
        <v>42482</v>
      </c>
      <c r="AE1137" s="29"/>
      <c r="AF1137">
        <v>6</v>
      </c>
      <c r="AG1137" t="s">
        <v>153</v>
      </c>
      <c r="AI1137">
        <v>40</v>
      </c>
      <c r="AJ1137">
        <v>1</v>
      </c>
      <c r="AK1137" t="s">
        <v>150</v>
      </c>
      <c r="AL1137" t="s">
        <v>77</v>
      </c>
      <c r="AM1137">
        <f t="shared" si="85"/>
        <v>2</v>
      </c>
      <c r="AN1137">
        <f t="shared" si="86"/>
        <v>4</v>
      </c>
      <c r="AO1137" t="str">
        <f t="shared" si="87"/>
        <v/>
      </c>
      <c r="AP1137" t="str">
        <f t="shared" si="88"/>
        <v/>
      </c>
      <c r="AQ1137">
        <f t="shared" si="89"/>
        <v>2016</v>
      </c>
    </row>
    <row r="1138" spans="1:43" x14ac:dyDescent="0.35">
      <c r="A1138">
        <v>888</v>
      </c>
      <c r="B1138">
        <v>24</v>
      </c>
      <c r="C1138" t="s">
        <v>148</v>
      </c>
      <c r="D1138" t="s">
        <v>164</v>
      </c>
      <c r="E1138" t="s">
        <v>4</v>
      </c>
      <c r="F1138" t="s">
        <v>35</v>
      </c>
      <c r="G1138" t="s">
        <v>41</v>
      </c>
      <c r="H1138" t="s">
        <v>82</v>
      </c>
      <c r="I1138" t="s">
        <v>42</v>
      </c>
      <c r="J1138" t="s">
        <v>155</v>
      </c>
      <c r="K1138" t="s">
        <v>44</v>
      </c>
      <c r="L1138" t="s">
        <v>48</v>
      </c>
      <c r="M1138" t="s">
        <v>48</v>
      </c>
      <c r="N1138" t="s">
        <v>160</v>
      </c>
      <c r="P1138" t="s">
        <v>148</v>
      </c>
      <c r="Q1138">
        <v>17</v>
      </c>
      <c r="R1138">
        <v>0</v>
      </c>
      <c r="S1138">
        <v>6</v>
      </c>
      <c r="T1138">
        <v>3</v>
      </c>
      <c r="U1138">
        <v>4</v>
      </c>
      <c r="V1138">
        <v>4</v>
      </c>
      <c r="W1138">
        <v>46</v>
      </c>
      <c r="X1138">
        <v>1269</v>
      </c>
      <c r="Y1138">
        <v>10778</v>
      </c>
      <c r="Z1138">
        <v>3162</v>
      </c>
      <c r="AA1138">
        <v>2</v>
      </c>
      <c r="AB1138" s="29">
        <v>44773</v>
      </c>
      <c r="AC1138" s="29">
        <v>36304</v>
      </c>
      <c r="AD1138" s="29">
        <v>43199</v>
      </c>
      <c r="AE1138" s="29"/>
      <c r="AF1138">
        <v>4</v>
      </c>
      <c r="AG1138" t="s">
        <v>157</v>
      </c>
      <c r="AI1138">
        <v>20</v>
      </c>
      <c r="AJ1138">
        <v>1</v>
      </c>
      <c r="AK1138" t="s">
        <v>162</v>
      </c>
      <c r="AL1138" t="s">
        <v>78</v>
      </c>
      <c r="AM1138">
        <f t="shared" si="85"/>
        <v>2</v>
      </c>
      <c r="AN1138">
        <f t="shared" si="86"/>
        <v>4</v>
      </c>
      <c r="AO1138" t="str">
        <f t="shared" si="87"/>
        <v/>
      </c>
      <c r="AP1138" t="str">
        <f t="shared" si="88"/>
        <v/>
      </c>
      <c r="AQ1138">
        <f t="shared" si="89"/>
        <v>2018</v>
      </c>
    </row>
    <row r="1139" spans="1:43" x14ac:dyDescent="0.35">
      <c r="A1139">
        <v>277</v>
      </c>
      <c r="B1139">
        <v>34</v>
      </c>
      <c r="C1139" t="s">
        <v>148</v>
      </c>
      <c r="D1139" t="s">
        <v>151</v>
      </c>
      <c r="E1139" t="s">
        <v>4</v>
      </c>
      <c r="F1139" t="s">
        <v>37</v>
      </c>
      <c r="G1139" t="s">
        <v>44</v>
      </c>
      <c r="H1139" t="s">
        <v>82</v>
      </c>
      <c r="I1139" t="s">
        <v>43</v>
      </c>
      <c r="J1139" t="s">
        <v>146</v>
      </c>
      <c r="K1139" t="s">
        <v>43</v>
      </c>
      <c r="L1139" t="s">
        <v>48</v>
      </c>
      <c r="M1139" t="s">
        <v>50</v>
      </c>
      <c r="N1139" t="s">
        <v>96</v>
      </c>
      <c r="O1139" t="s">
        <v>41</v>
      </c>
      <c r="P1139" t="s">
        <v>144</v>
      </c>
      <c r="Q1139">
        <v>17</v>
      </c>
      <c r="R1139">
        <v>1</v>
      </c>
      <c r="S1139">
        <v>5</v>
      </c>
      <c r="T1139">
        <v>2</v>
      </c>
      <c r="U1139">
        <v>0</v>
      </c>
      <c r="V1139">
        <v>10</v>
      </c>
      <c r="W1139">
        <v>43</v>
      </c>
      <c r="X1139">
        <v>878</v>
      </c>
      <c r="Y1139">
        <v>5972</v>
      </c>
      <c r="Z1139">
        <v>3815</v>
      </c>
      <c r="AA1139">
        <v>4</v>
      </c>
      <c r="AB1139" s="29">
        <v>44773</v>
      </c>
      <c r="AC1139" s="29">
        <v>32618</v>
      </c>
      <c r="AD1139" s="29">
        <v>43219</v>
      </c>
      <c r="AE1139" s="29"/>
      <c r="AF1139">
        <v>4</v>
      </c>
      <c r="AG1139" t="s">
        <v>149</v>
      </c>
      <c r="AI1139">
        <v>30</v>
      </c>
      <c r="AJ1139">
        <v>2</v>
      </c>
      <c r="AK1139" t="s">
        <v>162</v>
      </c>
      <c r="AL1139" t="s">
        <v>77</v>
      </c>
      <c r="AM1139">
        <f t="shared" si="85"/>
        <v>2</v>
      </c>
      <c r="AN1139">
        <f t="shared" si="86"/>
        <v>4</v>
      </c>
      <c r="AO1139" t="str">
        <f t="shared" si="87"/>
        <v/>
      </c>
      <c r="AP1139" t="str">
        <f t="shared" si="88"/>
        <v/>
      </c>
      <c r="AQ1139">
        <f t="shared" si="89"/>
        <v>2018</v>
      </c>
    </row>
    <row r="1140" spans="1:43" x14ac:dyDescent="0.35">
      <c r="A1140">
        <v>1191</v>
      </c>
      <c r="B1140">
        <v>56</v>
      </c>
      <c r="C1140" t="s">
        <v>148</v>
      </c>
      <c r="D1140" t="s">
        <v>145</v>
      </c>
      <c r="E1140" t="s">
        <v>4</v>
      </c>
      <c r="F1140" t="s">
        <v>37</v>
      </c>
      <c r="G1140" t="s">
        <v>44</v>
      </c>
      <c r="H1140" t="s">
        <v>81</v>
      </c>
      <c r="I1140" t="s">
        <v>43</v>
      </c>
      <c r="J1140" t="s">
        <v>169</v>
      </c>
      <c r="K1140" t="s">
        <v>41</v>
      </c>
      <c r="L1140" t="s">
        <v>48</v>
      </c>
      <c r="M1140" t="s">
        <v>49</v>
      </c>
      <c r="N1140" t="s">
        <v>96</v>
      </c>
      <c r="O1140" t="s">
        <v>41</v>
      </c>
      <c r="P1140" t="s">
        <v>148</v>
      </c>
      <c r="Q1140">
        <v>13</v>
      </c>
      <c r="R1140">
        <v>4</v>
      </c>
      <c r="S1140">
        <v>28</v>
      </c>
      <c r="T1140">
        <v>4</v>
      </c>
      <c r="U1140">
        <v>2</v>
      </c>
      <c r="V1140">
        <v>4</v>
      </c>
      <c r="W1140">
        <v>92</v>
      </c>
      <c r="X1140">
        <v>718</v>
      </c>
      <c r="Y1140">
        <v>18575</v>
      </c>
      <c r="Z1140">
        <v>19943</v>
      </c>
      <c r="AA1140">
        <v>2</v>
      </c>
      <c r="AB1140" s="29">
        <v>44773</v>
      </c>
      <c r="AC1140" s="29">
        <v>24598</v>
      </c>
      <c r="AD1140" s="29">
        <v>43263</v>
      </c>
      <c r="AE1140" s="29"/>
      <c r="AF1140">
        <v>4</v>
      </c>
      <c r="AG1140" t="s">
        <v>167</v>
      </c>
      <c r="AI1140">
        <v>52</v>
      </c>
      <c r="AJ1140">
        <v>1</v>
      </c>
      <c r="AK1140" t="s">
        <v>162</v>
      </c>
      <c r="AL1140" t="s">
        <v>77</v>
      </c>
      <c r="AM1140">
        <f t="shared" si="85"/>
        <v>2</v>
      </c>
      <c r="AN1140">
        <f t="shared" si="86"/>
        <v>6</v>
      </c>
      <c r="AO1140" t="str">
        <f t="shared" si="87"/>
        <v/>
      </c>
      <c r="AP1140" t="str">
        <f t="shared" si="88"/>
        <v/>
      </c>
      <c r="AQ1140">
        <f t="shared" si="89"/>
        <v>2018</v>
      </c>
    </row>
    <row r="1141" spans="1:43" x14ac:dyDescent="0.35">
      <c r="A1141">
        <v>1391</v>
      </c>
      <c r="B1141">
        <v>51</v>
      </c>
      <c r="C1141" t="s">
        <v>148</v>
      </c>
      <c r="D1141" t="s">
        <v>151</v>
      </c>
      <c r="E1141" t="s">
        <v>158</v>
      </c>
      <c r="F1141" t="s">
        <v>38</v>
      </c>
      <c r="G1141" t="s">
        <v>42</v>
      </c>
      <c r="H1141" t="s">
        <v>82</v>
      </c>
      <c r="I1141" t="s">
        <v>43</v>
      </c>
      <c r="J1141" t="s">
        <v>159</v>
      </c>
      <c r="K1141" t="s">
        <v>42</v>
      </c>
      <c r="L1141" t="s">
        <v>41</v>
      </c>
      <c r="M1141" t="s">
        <v>49</v>
      </c>
      <c r="N1141" t="s">
        <v>160</v>
      </c>
      <c r="P1141" t="s">
        <v>148</v>
      </c>
      <c r="Q1141">
        <v>11</v>
      </c>
      <c r="R1141">
        <v>2</v>
      </c>
      <c r="S1141">
        <v>14</v>
      </c>
      <c r="T1141">
        <v>3</v>
      </c>
      <c r="U1141">
        <v>2</v>
      </c>
      <c r="V1141">
        <v>2</v>
      </c>
      <c r="W1141">
        <v>52</v>
      </c>
      <c r="X1141">
        <v>541</v>
      </c>
      <c r="Y1141">
        <v>15395</v>
      </c>
      <c r="Z1141">
        <v>10596</v>
      </c>
      <c r="AA1141">
        <v>5</v>
      </c>
      <c r="AB1141" s="29">
        <v>44773</v>
      </c>
      <c r="AC1141" s="29">
        <v>26421</v>
      </c>
      <c r="AD1141" s="29">
        <v>43606</v>
      </c>
      <c r="AE1141" s="29"/>
      <c r="AF1141">
        <v>3</v>
      </c>
      <c r="AG1141" t="s">
        <v>167</v>
      </c>
      <c r="AI1141">
        <v>48</v>
      </c>
      <c r="AJ1141">
        <v>2</v>
      </c>
      <c r="AK1141" t="s">
        <v>170</v>
      </c>
      <c r="AL1141" t="s">
        <v>77</v>
      </c>
      <c r="AM1141">
        <f t="shared" si="85"/>
        <v>2</v>
      </c>
      <c r="AN1141">
        <f t="shared" si="86"/>
        <v>5</v>
      </c>
      <c r="AO1141" t="str">
        <f t="shared" si="87"/>
        <v/>
      </c>
      <c r="AP1141" t="str">
        <f t="shared" si="88"/>
        <v/>
      </c>
      <c r="AQ1141">
        <f t="shared" si="89"/>
        <v>2019</v>
      </c>
    </row>
    <row r="1142" spans="1:43" x14ac:dyDescent="0.35">
      <c r="A1142">
        <v>1833</v>
      </c>
      <c r="B1142">
        <v>31</v>
      </c>
      <c r="C1142" t="s">
        <v>148</v>
      </c>
      <c r="D1142" t="s">
        <v>151</v>
      </c>
      <c r="E1142" t="s">
        <v>158</v>
      </c>
      <c r="F1142" t="s">
        <v>37</v>
      </c>
      <c r="G1142" t="s">
        <v>41</v>
      </c>
      <c r="H1142" t="s">
        <v>81</v>
      </c>
      <c r="I1142" t="s">
        <v>43</v>
      </c>
      <c r="J1142" t="s">
        <v>159</v>
      </c>
      <c r="K1142" t="s">
        <v>41</v>
      </c>
      <c r="L1142" t="s">
        <v>48</v>
      </c>
      <c r="M1142" t="s">
        <v>49</v>
      </c>
      <c r="N1142" t="s">
        <v>160</v>
      </c>
      <c r="O1142" t="s">
        <v>156</v>
      </c>
      <c r="P1142" t="s">
        <v>148</v>
      </c>
      <c r="Q1142">
        <v>14</v>
      </c>
      <c r="R1142">
        <v>2</v>
      </c>
      <c r="S1142">
        <v>9</v>
      </c>
      <c r="T1142">
        <v>2</v>
      </c>
      <c r="U1142">
        <v>2</v>
      </c>
      <c r="V1142">
        <v>7</v>
      </c>
      <c r="W1142">
        <v>68</v>
      </c>
      <c r="X1142">
        <v>1125</v>
      </c>
      <c r="Y1142">
        <v>8277</v>
      </c>
      <c r="Z1142">
        <v>9637</v>
      </c>
      <c r="AA1142">
        <v>3</v>
      </c>
      <c r="AB1142" s="29">
        <v>44773</v>
      </c>
      <c r="AC1142" s="29">
        <v>33551</v>
      </c>
      <c r="AD1142" s="29">
        <v>43992</v>
      </c>
      <c r="AE1142" s="29"/>
      <c r="AF1142">
        <v>2</v>
      </c>
      <c r="AG1142" t="s">
        <v>149</v>
      </c>
      <c r="AI1142">
        <v>29</v>
      </c>
      <c r="AJ1142">
        <v>1</v>
      </c>
      <c r="AK1142" t="s">
        <v>170</v>
      </c>
      <c r="AL1142" t="s">
        <v>77</v>
      </c>
      <c r="AM1142">
        <f t="shared" si="85"/>
        <v>2</v>
      </c>
      <c r="AN1142">
        <f t="shared" si="86"/>
        <v>6</v>
      </c>
      <c r="AO1142" t="str">
        <f t="shared" si="87"/>
        <v/>
      </c>
      <c r="AP1142" t="str">
        <f t="shared" si="88"/>
        <v/>
      </c>
      <c r="AQ1142">
        <f t="shared" si="89"/>
        <v>2020</v>
      </c>
    </row>
    <row r="1143" spans="1:43" x14ac:dyDescent="0.35">
      <c r="A1143">
        <v>1479</v>
      </c>
      <c r="B1143">
        <v>30</v>
      </c>
      <c r="C1143" t="s">
        <v>148</v>
      </c>
      <c r="D1143" t="s">
        <v>145</v>
      </c>
      <c r="E1143" t="s">
        <v>158</v>
      </c>
      <c r="F1143" t="s">
        <v>35</v>
      </c>
      <c r="G1143" t="s">
        <v>44</v>
      </c>
      <c r="H1143" t="s">
        <v>82</v>
      </c>
      <c r="I1143" t="s">
        <v>43</v>
      </c>
      <c r="J1143" t="s">
        <v>159</v>
      </c>
      <c r="K1143" t="s">
        <v>43</v>
      </c>
      <c r="L1143" t="s">
        <v>41</v>
      </c>
      <c r="M1143" t="s">
        <v>48</v>
      </c>
      <c r="N1143" t="s">
        <v>160</v>
      </c>
      <c r="O1143" t="s">
        <v>156</v>
      </c>
      <c r="P1143" t="s">
        <v>148</v>
      </c>
      <c r="Q1143">
        <v>15</v>
      </c>
      <c r="R1143">
        <v>8</v>
      </c>
      <c r="S1143">
        <v>4</v>
      </c>
      <c r="T1143">
        <v>2</v>
      </c>
      <c r="U1143">
        <v>2</v>
      </c>
      <c r="V1143">
        <v>16</v>
      </c>
      <c r="W1143">
        <v>96</v>
      </c>
      <c r="X1143">
        <v>1358</v>
      </c>
      <c r="Y1143">
        <v>2939</v>
      </c>
      <c r="Z1143">
        <v>5301</v>
      </c>
      <c r="AA1143">
        <v>2</v>
      </c>
      <c r="AB1143" s="29">
        <v>44773</v>
      </c>
      <c r="AC1143" s="29">
        <v>33856</v>
      </c>
      <c r="AD1143" s="29">
        <v>44058</v>
      </c>
      <c r="AE1143" s="29"/>
      <c r="AF1143">
        <v>2</v>
      </c>
      <c r="AG1143" t="s">
        <v>149</v>
      </c>
      <c r="AI1143">
        <v>28</v>
      </c>
      <c r="AJ1143">
        <v>2</v>
      </c>
      <c r="AK1143" t="s">
        <v>170</v>
      </c>
      <c r="AL1143" t="s">
        <v>77</v>
      </c>
      <c r="AM1143">
        <f t="shared" si="85"/>
        <v>3</v>
      </c>
      <c r="AN1143">
        <f t="shared" si="86"/>
        <v>8</v>
      </c>
      <c r="AO1143" t="str">
        <f t="shared" si="87"/>
        <v/>
      </c>
      <c r="AP1143" t="str">
        <f t="shared" si="88"/>
        <v/>
      </c>
      <c r="AQ1143">
        <f t="shared" si="89"/>
        <v>2020</v>
      </c>
    </row>
    <row r="1144" spans="1:43" x14ac:dyDescent="0.35">
      <c r="A1144">
        <v>738</v>
      </c>
      <c r="B1144">
        <v>50</v>
      </c>
      <c r="C1144" t="s">
        <v>148</v>
      </c>
      <c r="D1144" t="s">
        <v>145</v>
      </c>
      <c r="E1144" t="s">
        <v>158</v>
      </c>
      <c r="F1144" t="s">
        <v>37</v>
      </c>
      <c r="G1144" t="s">
        <v>44</v>
      </c>
      <c r="H1144" t="s">
        <v>82</v>
      </c>
      <c r="I1144" t="s">
        <v>43</v>
      </c>
      <c r="J1144" t="s">
        <v>166</v>
      </c>
      <c r="K1144" t="s">
        <v>42</v>
      </c>
      <c r="L1144" t="s">
        <v>48</v>
      </c>
      <c r="M1144" t="s">
        <v>49</v>
      </c>
      <c r="N1144" t="s">
        <v>160</v>
      </c>
      <c r="O1144" t="s">
        <v>41</v>
      </c>
      <c r="P1144" t="s">
        <v>148</v>
      </c>
      <c r="Q1144">
        <v>15</v>
      </c>
      <c r="R1144">
        <v>7</v>
      </c>
      <c r="S1144">
        <v>4</v>
      </c>
      <c r="T1144">
        <v>2</v>
      </c>
      <c r="U1144">
        <v>2</v>
      </c>
      <c r="V1144">
        <v>8</v>
      </c>
      <c r="W1144">
        <v>54</v>
      </c>
      <c r="X1144">
        <v>316</v>
      </c>
      <c r="Y1144">
        <v>9983</v>
      </c>
      <c r="Z1144">
        <v>3875</v>
      </c>
      <c r="AA1144">
        <v>2</v>
      </c>
      <c r="AB1144" s="29">
        <v>44773</v>
      </c>
      <c r="AC1144" s="29">
        <v>26531</v>
      </c>
      <c r="AD1144" s="29">
        <v>44065</v>
      </c>
      <c r="AE1144" s="29"/>
      <c r="AF1144">
        <v>2</v>
      </c>
      <c r="AG1144" t="s">
        <v>167</v>
      </c>
      <c r="AI1144">
        <v>48</v>
      </c>
      <c r="AJ1144">
        <v>2</v>
      </c>
      <c r="AK1144" t="s">
        <v>170</v>
      </c>
      <c r="AL1144" t="s">
        <v>77</v>
      </c>
      <c r="AM1144">
        <f t="shared" si="85"/>
        <v>3</v>
      </c>
      <c r="AN1144">
        <f t="shared" si="86"/>
        <v>8</v>
      </c>
      <c r="AO1144" t="str">
        <f t="shared" si="87"/>
        <v/>
      </c>
      <c r="AP1144" t="str">
        <f t="shared" si="88"/>
        <v/>
      </c>
      <c r="AQ1144">
        <f t="shared" si="89"/>
        <v>2020</v>
      </c>
    </row>
    <row r="1145" spans="1:43" x14ac:dyDescent="0.35">
      <c r="A1145">
        <v>1560</v>
      </c>
      <c r="B1145">
        <v>33</v>
      </c>
      <c r="C1145" t="s">
        <v>148</v>
      </c>
      <c r="D1145" t="s">
        <v>145</v>
      </c>
      <c r="E1145" t="s">
        <v>158</v>
      </c>
      <c r="F1145" t="s">
        <v>37</v>
      </c>
      <c r="G1145" t="s">
        <v>41</v>
      </c>
      <c r="H1145" t="s">
        <v>82</v>
      </c>
      <c r="I1145" t="s">
        <v>43</v>
      </c>
      <c r="J1145" t="s">
        <v>159</v>
      </c>
      <c r="K1145" t="s">
        <v>41</v>
      </c>
      <c r="L1145" t="s">
        <v>41</v>
      </c>
      <c r="M1145" t="s">
        <v>47</v>
      </c>
      <c r="N1145" t="s">
        <v>160</v>
      </c>
      <c r="O1145" t="s">
        <v>41</v>
      </c>
      <c r="P1145" t="s">
        <v>148</v>
      </c>
      <c r="Q1145">
        <v>13</v>
      </c>
      <c r="R1145">
        <v>2</v>
      </c>
      <c r="S1145">
        <v>8</v>
      </c>
      <c r="T1145">
        <v>2</v>
      </c>
      <c r="U1145">
        <v>2</v>
      </c>
      <c r="V1145">
        <v>8</v>
      </c>
      <c r="W1145">
        <v>46</v>
      </c>
      <c r="X1145">
        <v>1242</v>
      </c>
      <c r="Y1145">
        <v>10589</v>
      </c>
      <c r="Z1145">
        <v>6392</v>
      </c>
      <c r="AA1145">
        <v>6</v>
      </c>
      <c r="AB1145" s="29">
        <v>44773</v>
      </c>
      <c r="AC1145" s="29">
        <v>33079</v>
      </c>
      <c r="AD1145" s="29">
        <v>44108</v>
      </c>
      <c r="AE1145" s="29"/>
      <c r="AF1145">
        <v>2</v>
      </c>
      <c r="AG1145" t="s">
        <v>149</v>
      </c>
      <c r="AI1145">
        <v>31</v>
      </c>
      <c r="AJ1145">
        <v>1</v>
      </c>
      <c r="AK1145" t="s">
        <v>170</v>
      </c>
      <c r="AL1145" t="s">
        <v>77</v>
      </c>
      <c r="AM1145">
        <f t="shared" si="85"/>
        <v>4</v>
      </c>
      <c r="AN1145">
        <f t="shared" si="86"/>
        <v>10</v>
      </c>
      <c r="AO1145" t="str">
        <f t="shared" si="87"/>
        <v/>
      </c>
      <c r="AP1145" t="str">
        <f t="shared" si="88"/>
        <v/>
      </c>
      <c r="AQ1145">
        <f t="shared" si="89"/>
        <v>2020</v>
      </c>
    </row>
    <row r="1146" spans="1:43" x14ac:dyDescent="0.35">
      <c r="A1146">
        <v>475</v>
      </c>
      <c r="B1146">
        <v>30</v>
      </c>
      <c r="C1146" t="s">
        <v>148</v>
      </c>
      <c r="D1146" t="s">
        <v>164</v>
      </c>
      <c r="E1146" t="s">
        <v>158</v>
      </c>
      <c r="F1146" t="s">
        <v>36</v>
      </c>
      <c r="G1146" t="s">
        <v>44</v>
      </c>
      <c r="H1146" t="s">
        <v>81</v>
      </c>
      <c r="I1146" t="s">
        <v>43</v>
      </c>
      <c r="J1146" t="s">
        <v>159</v>
      </c>
      <c r="K1146" t="s">
        <v>43</v>
      </c>
      <c r="L1146" t="s">
        <v>41</v>
      </c>
      <c r="M1146" t="s">
        <v>50</v>
      </c>
      <c r="N1146" t="s">
        <v>160</v>
      </c>
      <c r="O1146" t="s">
        <v>41</v>
      </c>
      <c r="P1146" t="s">
        <v>144</v>
      </c>
      <c r="Q1146">
        <v>12</v>
      </c>
      <c r="R1146">
        <v>7</v>
      </c>
      <c r="S1146">
        <v>4</v>
      </c>
      <c r="T1146">
        <v>2</v>
      </c>
      <c r="U1146">
        <v>2</v>
      </c>
      <c r="V1146">
        <v>25</v>
      </c>
      <c r="W1146">
        <v>85</v>
      </c>
      <c r="X1146">
        <v>641</v>
      </c>
      <c r="Y1146">
        <v>6069</v>
      </c>
      <c r="Z1146">
        <v>4736</v>
      </c>
      <c r="AA1146">
        <v>2</v>
      </c>
      <c r="AB1146" s="29">
        <v>44773</v>
      </c>
      <c r="AC1146" s="29">
        <v>33938</v>
      </c>
      <c r="AD1146" s="29">
        <v>44128</v>
      </c>
      <c r="AE1146" s="29"/>
      <c r="AF1146">
        <v>2</v>
      </c>
      <c r="AG1146" t="s">
        <v>149</v>
      </c>
      <c r="AI1146">
        <v>28</v>
      </c>
      <c r="AJ1146">
        <v>1</v>
      </c>
      <c r="AK1146" t="s">
        <v>170</v>
      </c>
      <c r="AL1146" t="s">
        <v>78</v>
      </c>
      <c r="AM1146">
        <f t="shared" si="85"/>
        <v>4</v>
      </c>
      <c r="AN1146">
        <f t="shared" si="86"/>
        <v>10</v>
      </c>
      <c r="AO1146" t="str">
        <f t="shared" si="87"/>
        <v/>
      </c>
      <c r="AP1146" t="str">
        <f t="shared" si="88"/>
        <v/>
      </c>
      <c r="AQ1146">
        <f t="shared" si="89"/>
        <v>2020</v>
      </c>
    </row>
    <row r="1147" spans="1:43" x14ac:dyDescent="0.35">
      <c r="A1147">
        <v>329</v>
      </c>
      <c r="B1147">
        <v>52</v>
      </c>
      <c r="C1147" t="s">
        <v>148</v>
      </c>
      <c r="D1147" t="s">
        <v>164</v>
      </c>
      <c r="E1147" t="s">
        <v>158</v>
      </c>
      <c r="F1147" t="s">
        <v>37</v>
      </c>
      <c r="G1147" t="s">
        <v>41</v>
      </c>
      <c r="H1147" t="s">
        <v>82</v>
      </c>
      <c r="I1147" t="s">
        <v>42</v>
      </c>
      <c r="J1147" t="s">
        <v>169</v>
      </c>
      <c r="K1147" t="s">
        <v>43</v>
      </c>
      <c r="L1147" t="s">
        <v>147</v>
      </c>
      <c r="M1147" t="s">
        <v>50</v>
      </c>
      <c r="N1147" t="s">
        <v>95</v>
      </c>
      <c r="P1147" t="s">
        <v>144</v>
      </c>
      <c r="Q1147">
        <v>18</v>
      </c>
      <c r="R1147">
        <v>1</v>
      </c>
      <c r="S1147">
        <v>33</v>
      </c>
      <c r="T1147">
        <v>15</v>
      </c>
      <c r="U1147">
        <v>12</v>
      </c>
      <c r="V1147">
        <v>2</v>
      </c>
      <c r="W1147">
        <v>79</v>
      </c>
      <c r="X1147">
        <v>771</v>
      </c>
      <c r="Y1147">
        <v>21030</v>
      </c>
      <c r="Z1147">
        <v>19068</v>
      </c>
      <c r="AA1147">
        <v>2</v>
      </c>
      <c r="AB1147" s="29">
        <v>44773</v>
      </c>
      <c r="AC1147" s="29">
        <v>25851</v>
      </c>
      <c r="AD1147" s="29">
        <v>32860</v>
      </c>
      <c r="AE1147" s="29"/>
      <c r="AF1147">
        <v>33</v>
      </c>
      <c r="AG1147" t="s">
        <v>167</v>
      </c>
      <c r="AI1147">
        <v>19</v>
      </c>
      <c r="AJ1147">
        <v>1</v>
      </c>
      <c r="AK1147" t="s">
        <v>163</v>
      </c>
      <c r="AL1147" t="s">
        <v>77</v>
      </c>
      <c r="AM1147">
        <f t="shared" si="85"/>
        <v>4</v>
      </c>
      <c r="AN1147">
        <f t="shared" si="86"/>
        <v>12</v>
      </c>
      <c r="AO1147" t="str">
        <f t="shared" si="87"/>
        <v/>
      </c>
      <c r="AP1147" t="str">
        <f t="shared" si="88"/>
        <v/>
      </c>
      <c r="AQ1147">
        <f t="shared" si="89"/>
        <v>1989</v>
      </c>
    </row>
    <row r="1148" spans="1:43" x14ac:dyDescent="0.35">
      <c r="A1148">
        <v>1539</v>
      </c>
      <c r="B1148">
        <v>50</v>
      </c>
      <c r="C1148" t="s">
        <v>148</v>
      </c>
      <c r="D1148" t="s">
        <v>151</v>
      </c>
      <c r="E1148" t="s">
        <v>4</v>
      </c>
      <c r="F1148" t="s">
        <v>34</v>
      </c>
      <c r="G1148" t="s">
        <v>43</v>
      </c>
      <c r="H1148" t="s">
        <v>82</v>
      </c>
      <c r="I1148" t="s">
        <v>41</v>
      </c>
      <c r="J1148" t="s">
        <v>173</v>
      </c>
      <c r="K1148" t="s">
        <v>44</v>
      </c>
      <c r="L1148" t="s">
        <v>147</v>
      </c>
      <c r="M1148" t="s">
        <v>49</v>
      </c>
      <c r="N1148" t="s">
        <v>95</v>
      </c>
      <c r="P1148" t="s">
        <v>144</v>
      </c>
      <c r="Q1148">
        <v>13</v>
      </c>
      <c r="R1148">
        <v>1</v>
      </c>
      <c r="S1148">
        <v>32</v>
      </c>
      <c r="T1148">
        <v>13</v>
      </c>
      <c r="U1148">
        <v>9</v>
      </c>
      <c r="V1148">
        <v>22</v>
      </c>
      <c r="W1148">
        <v>88</v>
      </c>
      <c r="X1148">
        <v>333</v>
      </c>
      <c r="Y1148">
        <v>24450</v>
      </c>
      <c r="Z1148">
        <v>14411</v>
      </c>
      <c r="AA1148">
        <v>2</v>
      </c>
      <c r="AB1148" s="29">
        <v>44773</v>
      </c>
      <c r="AC1148" s="29">
        <v>26837</v>
      </c>
      <c r="AD1148" s="29">
        <v>33107</v>
      </c>
      <c r="AE1148" s="29"/>
      <c r="AF1148">
        <v>32</v>
      </c>
      <c r="AG1148" t="s">
        <v>167</v>
      </c>
      <c r="AI1148">
        <v>18</v>
      </c>
      <c r="AJ1148">
        <v>1</v>
      </c>
      <c r="AK1148" t="s">
        <v>163</v>
      </c>
      <c r="AL1148" t="s">
        <v>77</v>
      </c>
      <c r="AM1148">
        <f t="shared" si="85"/>
        <v>3</v>
      </c>
      <c r="AN1148">
        <f t="shared" si="86"/>
        <v>8</v>
      </c>
      <c r="AO1148" t="str">
        <f t="shared" si="87"/>
        <v/>
      </c>
      <c r="AP1148" t="str">
        <f t="shared" si="88"/>
        <v/>
      </c>
      <c r="AQ1148">
        <f t="shared" si="89"/>
        <v>1990</v>
      </c>
    </row>
    <row r="1149" spans="1:43" x14ac:dyDescent="0.35">
      <c r="A1149">
        <v>644</v>
      </c>
      <c r="B1149">
        <v>50</v>
      </c>
      <c r="C1149" t="s">
        <v>148</v>
      </c>
      <c r="D1149" t="s">
        <v>151</v>
      </c>
      <c r="E1149" t="s">
        <v>168</v>
      </c>
      <c r="F1149" t="s">
        <v>38</v>
      </c>
      <c r="G1149" t="s">
        <v>41</v>
      </c>
      <c r="H1149" t="s">
        <v>82</v>
      </c>
      <c r="I1149" t="s">
        <v>43</v>
      </c>
      <c r="J1149" t="s">
        <v>169</v>
      </c>
      <c r="K1149" t="s">
        <v>42</v>
      </c>
      <c r="L1149" t="s">
        <v>147</v>
      </c>
      <c r="M1149" t="s">
        <v>49</v>
      </c>
      <c r="N1149" t="s">
        <v>160</v>
      </c>
      <c r="O1149" t="s">
        <v>41</v>
      </c>
      <c r="P1149" t="s">
        <v>148</v>
      </c>
      <c r="Q1149">
        <v>11</v>
      </c>
      <c r="R1149">
        <v>1</v>
      </c>
      <c r="S1149">
        <v>32</v>
      </c>
      <c r="T1149">
        <v>10</v>
      </c>
      <c r="U1149">
        <v>7</v>
      </c>
      <c r="V1149">
        <v>3</v>
      </c>
      <c r="W1149">
        <v>99</v>
      </c>
      <c r="X1149">
        <v>1246</v>
      </c>
      <c r="Y1149">
        <v>7999</v>
      </c>
      <c r="Z1149">
        <v>18200</v>
      </c>
      <c r="AA1149">
        <v>2</v>
      </c>
      <c r="AB1149" s="29">
        <v>44773</v>
      </c>
      <c r="AC1149" s="29">
        <v>26766</v>
      </c>
      <c r="AD1149" s="29">
        <v>33143</v>
      </c>
      <c r="AE1149" s="29"/>
      <c r="AF1149">
        <v>32</v>
      </c>
      <c r="AG1149" t="s">
        <v>167</v>
      </c>
      <c r="AI1149">
        <v>18</v>
      </c>
      <c r="AJ1149">
        <v>1</v>
      </c>
      <c r="AK1149" t="s">
        <v>163</v>
      </c>
      <c r="AL1149" t="s">
        <v>77</v>
      </c>
      <c r="AM1149">
        <f t="shared" si="85"/>
        <v>3</v>
      </c>
      <c r="AN1149">
        <f t="shared" si="86"/>
        <v>9</v>
      </c>
      <c r="AO1149" t="str">
        <f t="shared" si="87"/>
        <v/>
      </c>
      <c r="AP1149" t="str">
        <f t="shared" si="88"/>
        <v/>
      </c>
      <c r="AQ1149">
        <f t="shared" si="89"/>
        <v>1990</v>
      </c>
    </row>
    <row r="1150" spans="1:43" x14ac:dyDescent="0.35">
      <c r="A1150">
        <v>1606</v>
      </c>
      <c r="B1150">
        <v>50</v>
      </c>
      <c r="C1150" t="s">
        <v>148</v>
      </c>
      <c r="D1150" t="s">
        <v>151</v>
      </c>
      <c r="E1150" t="s">
        <v>4</v>
      </c>
      <c r="F1150" t="s">
        <v>34</v>
      </c>
      <c r="G1150" t="s">
        <v>42</v>
      </c>
      <c r="H1150" t="s">
        <v>82</v>
      </c>
      <c r="I1150" t="s">
        <v>43</v>
      </c>
      <c r="J1150" t="s">
        <v>161</v>
      </c>
      <c r="K1150" t="s">
        <v>43</v>
      </c>
      <c r="L1150" t="s">
        <v>147</v>
      </c>
      <c r="M1150" t="s">
        <v>49</v>
      </c>
      <c r="N1150" t="s">
        <v>160</v>
      </c>
      <c r="O1150" t="s">
        <v>41</v>
      </c>
      <c r="P1150" t="s">
        <v>144</v>
      </c>
      <c r="Q1150">
        <v>15</v>
      </c>
      <c r="R1150">
        <v>2</v>
      </c>
      <c r="S1150">
        <v>32</v>
      </c>
      <c r="T1150">
        <v>12</v>
      </c>
      <c r="U1150">
        <v>13</v>
      </c>
      <c r="V1150">
        <v>20</v>
      </c>
      <c r="W1150">
        <v>41</v>
      </c>
      <c r="X1150">
        <v>1234</v>
      </c>
      <c r="Y1150">
        <v>20689</v>
      </c>
      <c r="Z1150">
        <v>11245</v>
      </c>
      <c r="AA1150">
        <v>3</v>
      </c>
      <c r="AB1150" s="29">
        <v>44773</v>
      </c>
      <c r="AC1150" s="29">
        <v>26792</v>
      </c>
      <c r="AD1150" s="29">
        <v>33905</v>
      </c>
      <c r="AE1150" s="29"/>
      <c r="AF1150">
        <v>30</v>
      </c>
      <c r="AG1150" t="s">
        <v>167</v>
      </c>
      <c r="AI1150">
        <v>20</v>
      </c>
      <c r="AJ1150">
        <v>1</v>
      </c>
      <c r="AK1150" t="s">
        <v>163</v>
      </c>
      <c r="AL1150" t="s">
        <v>77</v>
      </c>
      <c r="AM1150">
        <f t="shared" si="85"/>
        <v>4</v>
      </c>
      <c r="AN1150">
        <f t="shared" si="86"/>
        <v>10</v>
      </c>
      <c r="AO1150" t="str">
        <f t="shared" si="87"/>
        <v/>
      </c>
      <c r="AP1150" t="str">
        <f t="shared" si="88"/>
        <v/>
      </c>
      <c r="AQ1150">
        <f t="shared" si="89"/>
        <v>1992</v>
      </c>
    </row>
    <row r="1151" spans="1:43" x14ac:dyDescent="0.35">
      <c r="A1151">
        <v>158</v>
      </c>
      <c r="B1151">
        <v>43</v>
      </c>
      <c r="C1151" t="s">
        <v>148</v>
      </c>
      <c r="D1151" t="s">
        <v>151</v>
      </c>
      <c r="E1151" t="s">
        <v>158</v>
      </c>
      <c r="F1151" t="s">
        <v>36</v>
      </c>
      <c r="G1151" t="s">
        <v>43</v>
      </c>
      <c r="H1151" t="s">
        <v>82</v>
      </c>
      <c r="I1151" t="s">
        <v>43</v>
      </c>
      <c r="J1151" t="s">
        <v>169</v>
      </c>
      <c r="K1151" t="s">
        <v>44</v>
      </c>
      <c r="L1151" t="s">
        <v>147</v>
      </c>
      <c r="M1151" t="s">
        <v>50</v>
      </c>
      <c r="N1151" t="s">
        <v>160</v>
      </c>
      <c r="O1151" t="s">
        <v>156</v>
      </c>
      <c r="P1151" t="s">
        <v>144</v>
      </c>
      <c r="Q1151">
        <v>12</v>
      </c>
      <c r="R1151">
        <v>1</v>
      </c>
      <c r="S1151">
        <v>25</v>
      </c>
      <c r="T1151">
        <v>4</v>
      </c>
      <c r="U1151">
        <v>12</v>
      </c>
      <c r="V1151">
        <v>26</v>
      </c>
      <c r="W1151">
        <v>92</v>
      </c>
      <c r="X1151">
        <v>394</v>
      </c>
      <c r="Y1151">
        <v>19494</v>
      </c>
      <c r="Z1151">
        <v>16959</v>
      </c>
      <c r="AA1151">
        <v>3</v>
      </c>
      <c r="AB1151" s="29">
        <v>44773</v>
      </c>
      <c r="AC1151" s="29">
        <v>29250</v>
      </c>
      <c r="AD1151" s="29">
        <v>35774</v>
      </c>
      <c r="AE1151" s="29"/>
      <c r="AF1151">
        <v>25</v>
      </c>
      <c r="AG1151" t="s">
        <v>153</v>
      </c>
      <c r="AI1151">
        <v>18</v>
      </c>
      <c r="AJ1151">
        <v>1</v>
      </c>
      <c r="AK1151" t="s">
        <v>163</v>
      </c>
      <c r="AL1151" t="s">
        <v>77</v>
      </c>
      <c r="AM1151">
        <f t="shared" si="85"/>
        <v>4</v>
      </c>
      <c r="AN1151">
        <f t="shared" si="86"/>
        <v>12</v>
      </c>
      <c r="AO1151" t="str">
        <f t="shared" si="87"/>
        <v/>
      </c>
      <c r="AP1151" t="str">
        <f t="shared" si="88"/>
        <v/>
      </c>
      <c r="AQ1151">
        <f t="shared" si="89"/>
        <v>1997</v>
      </c>
    </row>
    <row r="1152" spans="1:43" x14ac:dyDescent="0.35">
      <c r="A1152">
        <v>809</v>
      </c>
      <c r="B1152">
        <v>42</v>
      </c>
      <c r="C1152" t="s">
        <v>148</v>
      </c>
      <c r="D1152" t="s">
        <v>151</v>
      </c>
      <c r="E1152" t="s">
        <v>4</v>
      </c>
      <c r="F1152" t="s">
        <v>38</v>
      </c>
      <c r="G1152" t="s">
        <v>42</v>
      </c>
      <c r="H1152" t="s">
        <v>82</v>
      </c>
      <c r="I1152" t="s">
        <v>43</v>
      </c>
      <c r="J1152" t="s">
        <v>169</v>
      </c>
      <c r="K1152" t="s">
        <v>44</v>
      </c>
      <c r="L1152" t="s">
        <v>147</v>
      </c>
      <c r="M1152" t="s">
        <v>48</v>
      </c>
      <c r="N1152" t="s">
        <v>96</v>
      </c>
      <c r="O1152" t="s">
        <v>41</v>
      </c>
      <c r="P1152" t="s">
        <v>148</v>
      </c>
      <c r="Q1152">
        <v>13</v>
      </c>
      <c r="R1152">
        <v>1</v>
      </c>
      <c r="S1152">
        <v>24</v>
      </c>
      <c r="T1152">
        <v>14</v>
      </c>
      <c r="U1152">
        <v>9</v>
      </c>
      <c r="V1152">
        <v>8</v>
      </c>
      <c r="W1152">
        <v>66</v>
      </c>
      <c r="X1152">
        <v>570</v>
      </c>
      <c r="Y1152">
        <v>16225</v>
      </c>
      <c r="Z1152">
        <v>18430</v>
      </c>
      <c r="AA1152">
        <v>4</v>
      </c>
      <c r="AB1152" s="29">
        <v>44773</v>
      </c>
      <c r="AC1152" s="29">
        <v>29667</v>
      </c>
      <c r="AD1152" s="29">
        <v>36223</v>
      </c>
      <c r="AE1152" s="29"/>
      <c r="AF1152">
        <v>23</v>
      </c>
      <c r="AG1152" t="s">
        <v>153</v>
      </c>
      <c r="AI1152">
        <v>19</v>
      </c>
      <c r="AJ1152">
        <v>1</v>
      </c>
      <c r="AK1152" t="s">
        <v>163</v>
      </c>
      <c r="AL1152" t="s">
        <v>77</v>
      </c>
      <c r="AM1152">
        <f t="shared" si="85"/>
        <v>1</v>
      </c>
      <c r="AN1152">
        <f t="shared" si="86"/>
        <v>3</v>
      </c>
      <c r="AO1152" t="str">
        <f t="shared" si="87"/>
        <v/>
      </c>
      <c r="AP1152" t="str">
        <f t="shared" si="88"/>
        <v/>
      </c>
      <c r="AQ1152">
        <f t="shared" si="89"/>
        <v>1999</v>
      </c>
    </row>
    <row r="1153" spans="1:43" x14ac:dyDescent="0.35">
      <c r="A1153">
        <v>425</v>
      </c>
      <c r="B1153">
        <v>45</v>
      </c>
      <c r="C1153" t="s">
        <v>148</v>
      </c>
      <c r="D1153" t="s">
        <v>151</v>
      </c>
      <c r="E1153" t="s">
        <v>4</v>
      </c>
      <c r="F1153" t="s">
        <v>38</v>
      </c>
      <c r="G1153" t="s">
        <v>41</v>
      </c>
      <c r="H1153" t="s">
        <v>82</v>
      </c>
      <c r="I1153" t="s">
        <v>43</v>
      </c>
      <c r="J1153" t="s">
        <v>155</v>
      </c>
      <c r="K1153" t="s">
        <v>41</v>
      </c>
      <c r="L1153" t="s">
        <v>147</v>
      </c>
      <c r="M1153" t="s">
        <v>49</v>
      </c>
      <c r="N1153" t="s">
        <v>96</v>
      </c>
      <c r="O1153" t="s">
        <v>41</v>
      </c>
      <c r="P1153" t="s">
        <v>148</v>
      </c>
      <c r="Q1153">
        <v>18</v>
      </c>
      <c r="R1153">
        <v>1</v>
      </c>
      <c r="S1153">
        <v>24</v>
      </c>
      <c r="T1153">
        <v>9</v>
      </c>
      <c r="U1153">
        <v>11</v>
      </c>
      <c r="V1153">
        <v>7</v>
      </c>
      <c r="W1153">
        <v>97</v>
      </c>
      <c r="X1153">
        <v>1249</v>
      </c>
      <c r="Y1153">
        <v>20308</v>
      </c>
      <c r="Z1153">
        <v>5210</v>
      </c>
      <c r="AA1153">
        <v>2</v>
      </c>
      <c r="AB1153" s="29">
        <v>44773</v>
      </c>
      <c r="AC1153" s="29">
        <v>28693</v>
      </c>
      <c r="AD1153" s="29">
        <v>36267</v>
      </c>
      <c r="AE1153" s="29"/>
      <c r="AF1153">
        <v>23</v>
      </c>
      <c r="AG1153" t="s">
        <v>153</v>
      </c>
      <c r="AI1153">
        <v>22</v>
      </c>
      <c r="AJ1153">
        <v>1</v>
      </c>
      <c r="AK1153" t="s">
        <v>163</v>
      </c>
      <c r="AL1153" t="s">
        <v>77</v>
      </c>
      <c r="AM1153">
        <f t="shared" si="85"/>
        <v>2</v>
      </c>
      <c r="AN1153">
        <f t="shared" si="86"/>
        <v>4</v>
      </c>
      <c r="AO1153" t="str">
        <f t="shared" si="87"/>
        <v/>
      </c>
      <c r="AP1153" t="str">
        <f t="shared" si="88"/>
        <v/>
      </c>
      <c r="AQ1153">
        <f t="shared" si="89"/>
        <v>1999</v>
      </c>
    </row>
    <row r="1154" spans="1:43" x14ac:dyDescent="0.35">
      <c r="A1154">
        <v>746</v>
      </c>
      <c r="B1154">
        <v>47</v>
      </c>
      <c r="C1154" t="s">
        <v>148</v>
      </c>
      <c r="D1154" t="s">
        <v>151</v>
      </c>
      <c r="E1154" t="s">
        <v>158</v>
      </c>
      <c r="F1154" t="s">
        <v>38</v>
      </c>
      <c r="G1154" t="s">
        <v>44</v>
      </c>
      <c r="H1154" t="s">
        <v>81</v>
      </c>
      <c r="I1154" t="s">
        <v>43</v>
      </c>
      <c r="J1154" t="s">
        <v>159</v>
      </c>
      <c r="K1154" t="s">
        <v>43</v>
      </c>
      <c r="L1154" t="s">
        <v>147</v>
      </c>
      <c r="M1154" t="s">
        <v>48</v>
      </c>
      <c r="N1154" t="s">
        <v>96</v>
      </c>
      <c r="O1154" t="s">
        <v>156</v>
      </c>
      <c r="P1154" t="s">
        <v>144</v>
      </c>
      <c r="Q1154">
        <v>12</v>
      </c>
      <c r="R1154">
        <v>9</v>
      </c>
      <c r="S1154">
        <v>28</v>
      </c>
      <c r="T1154">
        <v>11</v>
      </c>
      <c r="U1154">
        <v>13</v>
      </c>
      <c r="V1154">
        <v>3</v>
      </c>
      <c r="W1154">
        <v>49</v>
      </c>
      <c r="X1154">
        <v>217</v>
      </c>
      <c r="Y1154">
        <v>10225</v>
      </c>
      <c r="Z1154">
        <v>13770</v>
      </c>
      <c r="AA1154">
        <v>2</v>
      </c>
      <c r="AB1154" s="29">
        <v>44773</v>
      </c>
      <c r="AC1154" s="29">
        <v>27809</v>
      </c>
      <c r="AD1154" s="29">
        <v>36754</v>
      </c>
      <c r="AE1154" s="29"/>
      <c r="AF1154">
        <v>22</v>
      </c>
      <c r="AG1154" t="s">
        <v>153</v>
      </c>
      <c r="AI1154">
        <v>25</v>
      </c>
      <c r="AJ1154">
        <v>1</v>
      </c>
      <c r="AK1154" t="s">
        <v>163</v>
      </c>
      <c r="AL1154" t="s">
        <v>77</v>
      </c>
      <c r="AM1154">
        <f t="shared" ref="AM1154:AM1217" si="90">ROUNDUP(MONTH(AD1154)/3,0)</f>
        <v>3</v>
      </c>
      <c r="AN1154">
        <f t="shared" ref="AN1154:AN1217" si="91">MONTH(AD1154)</f>
        <v>8</v>
      </c>
      <c r="AO1154" t="str">
        <f t="shared" ref="AO1154:AO1217" si="92">IF(C1154="Yes",ROUNDUP(MONTH(AE1154)/3,0),"")</f>
        <v/>
      </c>
      <c r="AP1154" t="str">
        <f t="shared" ref="AP1154:AP1217" si="93">IF(C1154="Yes",MONTH(AE1154),"")</f>
        <v/>
      </c>
      <c r="AQ1154">
        <f t="shared" ref="AQ1154:AQ1217" si="94">YEAR(AD1154)</f>
        <v>2000</v>
      </c>
    </row>
    <row r="1155" spans="1:43" x14ac:dyDescent="0.35">
      <c r="A1155">
        <v>1900</v>
      </c>
      <c r="B1155">
        <v>48</v>
      </c>
      <c r="C1155" t="s">
        <v>148</v>
      </c>
      <c r="D1155" t="s">
        <v>151</v>
      </c>
      <c r="E1155" t="s">
        <v>4</v>
      </c>
      <c r="F1155" t="s">
        <v>38</v>
      </c>
      <c r="G1155" t="s">
        <v>44</v>
      </c>
      <c r="H1155" t="s">
        <v>81</v>
      </c>
      <c r="I1155" t="s">
        <v>43</v>
      </c>
      <c r="J1155" t="s">
        <v>169</v>
      </c>
      <c r="K1155" t="s">
        <v>44</v>
      </c>
      <c r="L1155" t="s">
        <v>147</v>
      </c>
      <c r="M1155" t="s">
        <v>49</v>
      </c>
      <c r="N1155" t="s">
        <v>96</v>
      </c>
      <c r="O1155" t="s">
        <v>41</v>
      </c>
      <c r="P1155" t="s">
        <v>148</v>
      </c>
      <c r="Q1155">
        <v>11</v>
      </c>
      <c r="R1155">
        <v>3</v>
      </c>
      <c r="S1155">
        <v>24</v>
      </c>
      <c r="T1155">
        <v>4</v>
      </c>
      <c r="U1155">
        <v>7</v>
      </c>
      <c r="V1155">
        <v>22</v>
      </c>
      <c r="W1155">
        <v>58</v>
      </c>
      <c r="X1155">
        <v>117</v>
      </c>
      <c r="Y1155">
        <v>2437</v>
      </c>
      <c r="Z1155">
        <v>17174</v>
      </c>
      <c r="AA1155">
        <v>3</v>
      </c>
      <c r="AB1155" s="29">
        <v>44773</v>
      </c>
      <c r="AC1155" s="29">
        <v>27603</v>
      </c>
      <c r="AD1155" s="29">
        <v>36971</v>
      </c>
      <c r="AE1155" s="29"/>
      <c r="AF1155">
        <v>21</v>
      </c>
      <c r="AG1155" t="s">
        <v>153</v>
      </c>
      <c r="AI1155">
        <v>27</v>
      </c>
      <c r="AJ1155">
        <v>1</v>
      </c>
      <c r="AK1155" t="s">
        <v>163</v>
      </c>
      <c r="AL1155" t="s">
        <v>77</v>
      </c>
      <c r="AM1155">
        <f t="shared" si="90"/>
        <v>1</v>
      </c>
      <c r="AN1155">
        <f t="shared" si="91"/>
        <v>3</v>
      </c>
      <c r="AO1155" t="str">
        <f t="shared" si="92"/>
        <v/>
      </c>
      <c r="AP1155" t="str">
        <f t="shared" si="93"/>
        <v/>
      </c>
      <c r="AQ1155">
        <f t="shared" si="94"/>
        <v>2001</v>
      </c>
    </row>
    <row r="1156" spans="1:43" x14ac:dyDescent="0.35">
      <c r="A1156">
        <v>1043</v>
      </c>
      <c r="B1156">
        <v>39</v>
      </c>
      <c r="C1156" t="s">
        <v>148</v>
      </c>
      <c r="D1156" t="s">
        <v>151</v>
      </c>
      <c r="E1156" t="s">
        <v>4</v>
      </c>
      <c r="F1156" t="s">
        <v>38</v>
      </c>
      <c r="G1156" t="s">
        <v>44</v>
      </c>
      <c r="H1156" t="s">
        <v>81</v>
      </c>
      <c r="I1156" t="s">
        <v>43</v>
      </c>
      <c r="J1156" t="s">
        <v>165</v>
      </c>
      <c r="K1156" t="s">
        <v>41</v>
      </c>
      <c r="L1156" t="s">
        <v>147</v>
      </c>
      <c r="M1156" t="s">
        <v>49</v>
      </c>
      <c r="N1156" t="s">
        <v>95</v>
      </c>
      <c r="P1156" t="s">
        <v>144</v>
      </c>
      <c r="Q1156">
        <v>13</v>
      </c>
      <c r="R1156">
        <v>1</v>
      </c>
      <c r="S1156">
        <v>21</v>
      </c>
      <c r="T1156">
        <v>2</v>
      </c>
      <c r="U1156">
        <v>8</v>
      </c>
      <c r="V1156">
        <v>22</v>
      </c>
      <c r="W1156">
        <v>82</v>
      </c>
      <c r="X1156">
        <v>945</v>
      </c>
      <c r="Y1156">
        <v>5083</v>
      </c>
      <c r="Z1156">
        <v>10880</v>
      </c>
      <c r="AA1156">
        <v>2</v>
      </c>
      <c r="AB1156" s="29">
        <v>44773</v>
      </c>
      <c r="AC1156" s="29">
        <v>30581</v>
      </c>
      <c r="AD1156" s="29">
        <v>37129</v>
      </c>
      <c r="AE1156" s="29"/>
      <c r="AF1156">
        <v>21</v>
      </c>
      <c r="AG1156" t="s">
        <v>149</v>
      </c>
      <c r="AI1156">
        <v>18</v>
      </c>
      <c r="AJ1156">
        <v>1</v>
      </c>
      <c r="AK1156" t="s">
        <v>163</v>
      </c>
      <c r="AL1156" t="s">
        <v>77</v>
      </c>
      <c r="AM1156">
        <f t="shared" si="90"/>
        <v>3</v>
      </c>
      <c r="AN1156">
        <f t="shared" si="91"/>
        <v>8</v>
      </c>
      <c r="AO1156" t="str">
        <f t="shared" si="92"/>
        <v/>
      </c>
      <c r="AP1156" t="str">
        <f t="shared" si="93"/>
        <v/>
      </c>
      <c r="AQ1156">
        <f t="shared" si="94"/>
        <v>2001</v>
      </c>
    </row>
    <row r="1157" spans="1:43" x14ac:dyDescent="0.35">
      <c r="A1157">
        <v>444</v>
      </c>
      <c r="B1157">
        <v>39</v>
      </c>
      <c r="C1157" t="s">
        <v>148</v>
      </c>
      <c r="D1157" t="s">
        <v>151</v>
      </c>
      <c r="E1157" t="s">
        <v>4</v>
      </c>
      <c r="F1157" t="s">
        <v>36</v>
      </c>
      <c r="G1157" t="s">
        <v>43</v>
      </c>
      <c r="H1157" t="s">
        <v>82</v>
      </c>
      <c r="I1157" t="s">
        <v>42</v>
      </c>
      <c r="J1157" t="s">
        <v>169</v>
      </c>
      <c r="K1157" t="s">
        <v>44</v>
      </c>
      <c r="L1157" t="s">
        <v>147</v>
      </c>
      <c r="M1157" t="s">
        <v>49</v>
      </c>
      <c r="N1157" t="s">
        <v>160</v>
      </c>
      <c r="O1157" t="s">
        <v>41</v>
      </c>
      <c r="P1157" t="s">
        <v>148</v>
      </c>
      <c r="Q1157">
        <v>15</v>
      </c>
      <c r="R1157">
        <v>1</v>
      </c>
      <c r="S1157">
        <v>21</v>
      </c>
      <c r="T1157">
        <v>13</v>
      </c>
      <c r="U1157">
        <v>3</v>
      </c>
      <c r="V1157">
        <v>7</v>
      </c>
      <c r="W1157">
        <v>54</v>
      </c>
      <c r="X1157">
        <v>672</v>
      </c>
      <c r="Y1157">
        <v>21141</v>
      </c>
      <c r="Z1157">
        <v>19272</v>
      </c>
      <c r="AA1157">
        <v>2</v>
      </c>
      <c r="AB1157" s="29">
        <v>44773</v>
      </c>
      <c r="AC1157" s="29">
        <v>30534</v>
      </c>
      <c r="AD1157" s="29">
        <v>37153</v>
      </c>
      <c r="AE1157" s="29"/>
      <c r="AF1157">
        <v>21</v>
      </c>
      <c r="AG1157" t="s">
        <v>149</v>
      </c>
      <c r="AI1157">
        <v>18</v>
      </c>
      <c r="AJ1157">
        <v>1</v>
      </c>
      <c r="AK1157" t="s">
        <v>163</v>
      </c>
      <c r="AL1157" t="s">
        <v>77</v>
      </c>
      <c r="AM1157">
        <f t="shared" si="90"/>
        <v>3</v>
      </c>
      <c r="AN1157">
        <f t="shared" si="91"/>
        <v>9</v>
      </c>
      <c r="AO1157" t="str">
        <f t="shared" si="92"/>
        <v/>
      </c>
      <c r="AP1157" t="str">
        <f t="shared" si="93"/>
        <v/>
      </c>
      <c r="AQ1157">
        <f t="shared" si="94"/>
        <v>2001</v>
      </c>
    </row>
    <row r="1158" spans="1:43" x14ac:dyDescent="0.35">
      <c r="A1158">
        <v>1334</v>
      </c>
      <c r="B1158">
        <v>42</v>
      </c>
      <c r="C1158" t="s">
        <v>148</v>
      </c>
      <c r="D1158" t="s">
        <v>164</v>
      </c>
      <c r="E1158" t="s">
        <v>4</v>
      </c>
      <c r="F1158" t="s">
        <v>35</v>
      </c>
      <c r="G1158" t="s">
        <v>43</v>
      </c>
      <c r="H1158" t="s">
        <v>82</v>
      </c>
      <c r="I1158" t="s">
        <v>43</v>
      </c>
      <c r="J1158" t="s">
        <v>169</v>
      </c>
      <c r="K1158" t="s">
        <v>43</v>
      </c>
      <c r="L1158" t="s">
        <v>147</v>
      </c>
      <c r="M1158" t="s">
        <v>48</v>
      </c>
      <c r="N1158" t="s">
        <v>160</v>
      </c>
      <c r="P1158" t="s">
        <v>144</v>
      </c>
      <c r="Q1158">
        <v>13</v>
      </c>
      <c r="R1158">
        <v>0</v>
      </c>
      <c r="S1158">
        <v>21</v>
      </c>
      <c r="T1158">
        <v>2</v>
      </c>
      <c r="U1158">
        <v>10</v>
      </c>
      <c r="V1158">
        <v>2</v>
      </c>
      <c r="W1158">
        <v>37</v>
      </c>
      <c r="X1158">
        <v>495</v>
      </c>
      <c r="Y1158">
        <v>26582</v>
      </c>
      <c r="Z1158">
        <v>17861</v>
      </c>
      <c r="AA1158">
        <v>3</v>
      </c>
      <c r="AB1158" s="29">
        <v>44773</v>
      </c>
      <c r="AC1158" s="29">
        <v>29561</v>
      </c>
      <c r="AD1158" s="29">
        <v>37474</v>
      </c>
      <c r="AE1158" s="29"/>
      <c r="AF1158">
        <v>20</v>
      </c>
      <c r="AG1158" t="s">
        <v>153</v>
      </c>
      <c r="AI1158">
        <v>22</v>
      </c>
      <c r="AJ1158">
        <v>1</v>
      </c>
      <c r="AK1158" t="s">
        <v>163</v>
      </c>
      <c r="AL1158" t="s">
        <v>77</v>
      </c>
      <c r="AM1158">
        <f t="shared" si="90"/>
        <v>3</v>
      </c>
      <c r="AN1158">
        <f t="shared" si="91"/>
        <v>8</v>
      </c>
      <c r="AO1158" t="str">
        <f t="shared" si="92"/>
        <v/>
      </c>
      <c r="AP1158" t="str">
        <f t="shared" si="93"/>
        <v/>
      </c>
      <c r="AQ1158">
        <f t="shared" si="94"/>
        <v>2002</v>
      </c>
    </row>
    <row r="1159" spans="1:43" x14ac:dyDescent="0.35">
      <c r="A1159">
        <v>1547</v>
      </c>
      <c r="B1159">
        <v>42</v>
      </c>
      <c r="C1159" t="s">
        <v>148</v>
      </c>
      <c r="D1159" t="s">
        <v>151</v>
      </c>
      <c r="E1159" t="s">
        <v>4</v>
      </c>
      <c r="F1159" t="s">
        <v>38</v>
      </c>
      <c r="G1159" t="s">
        <v>44</v>
      </c>
      <c r="H1159" t="s">
        <v>82</v>
      </c>
      <c r="I1159" t="s">
        <v>43</v>
      </c>
      <c r="J1159" t="s">
        <v>161</v>
      </c>
      <c r="K1159" t="s">
        <v>44</v>
      </c>
      <c r="L1159" t="s">
        <v>147</v>
      </c>
      <c r="M1159" t="s">
        <v>47</v>
      </c>
      <c r="N1159" t="s">
        <v>160</v>
      </c>
      <c r="O1159" t="s">
        <v>41</v>
      </c>
      <c r="P1159" t="s">
        <v>144</v>
      </c>
      <c r="Q1159">
        <v>14</v>
      </c>
      <c r="R1159">
        <v>2</v>
      </c>
      <c r="S1159">
        <v>24</v>
      </c>
      <c r="T1159">
        <v>13</v>
      </c>
      <c r="U1159">
        <v>9</v>
      </c>
      <c r="V1159">
        <v>2</v>
      </c>
      <c r="W1159">
        <v>40</v>
      </c>
      <c r="X1159">
        <v>288</v>
      </c>
      <c r="Y1159">
        <v>18611</v>
      </c>
      <c r="Z1159">
        <v>10124</v>
      </c>
      <c r="AA1159">
        <v>3</v>
      </c>
      <c r="AB1159" s="29">
        <v>44773</v>
      </c>
      <c r="AC1159" s="29">
        <v>29687</v>
      </c>
      <c r="AD1159" s="29">
        <v>37510</v>
      </c>
      <c r="AE1159" s="29"/>
      <c r="AF1159">
        <v>20</v>
      </c>
      <c r="AG1159" t="s">
        <v>153</v>
      </c>
      <c r="AI1159">
        <v>22</v>
      </c>
      <c r="AJ1159">
        <v>1</v>
      </c>
      <c r="AK1159" t="s">
        <v>163</v>
      </c>
      <c r="AL1159" t="s">
        <v>77</v>
      </c>
      <c r="AM1159">
        <f t="shared" si="90"/>
        <v>3</v>
      </c>
      <c r="AN1159">
        <f t="shared" si="91"/>
        <v>9</v>
      </c>
      <c r="AO1159" t="str">
        <f t="shared" si="92"/>
        <v/>
      </c>
      <c r="AP1159" t="str">
        <f t="shared" si="93"/>
        <v/>
      </c>
      <c r="AQ1159">
        <f t="shared" si="94"/>
        <v>2002</v>
      </c>
    </row>
    <row r="1160" spans="1:43" x14ac:dyDescent="0.35">
      <c r="A1160">
        <v>202</v>
      </c>
      <c r="B1160">
        <v>40</v>
      </c>
      <c r="C1160" t="s">
        <v>148</v>
      </c>
      <c r="D1160" t="s">
        <v>151</v>
      </c>
      <c r="E1160" t="s">
        <v>4</v>
      </c>
      <c r="F1160" t="s">
        <v>38</v>
      </c>
      <c r="G1160" t="s">
        <v>42</v>
      </c>
      <c r="H1160" t="s">
        <v>81</v>
      </c>
      <c r="I1160" t="s">
        <v>43</v>
      </c>
      <c r="J1160" t="s">
        <v>146</v>
      </c>
      <c r="K1160" t="s">
        <v>42</v>
      </c>
      <c r="L1160" t="s">
        <v>147</v>
      </c>
      <c r="M1160" t="s">
        <v>49</v>
      </c>
      <c r="N1160" t="s">
        <v>96</v>
      </c>
      <c r="O1160" t="s">
        <v>41</v>
      </c>
      <c r="P1160" t="s">
        <v>148</v>
      </c>
      <c r="Q1160">
        <v>11</v>
      </c>
      <c r="R1160">
        <v>1</v>
      </c>
      <c r="S1160">
        <v>20</v>
      </c>
      <c r="T1160">
        <v>2</v>
      </c>
      <c r="U1160">
        <v>13</v>
      </c>
      <c r="V1160">
        <v>26</v>
      </c>
      <c r="W1160">
        <v>54</v>
      </c>
      <c r="X1160">
        <v>1395</v>
      </c>
      <c r="Y1160">
        <v>8504</v>
      </c>
      <c r="Z1160">
        <v>5605</v>
      </c>
      <c r="AA1160">
        <v>2</v>
      </c>
      <c r="AB1160" s="29">
        <v>44773</v>
      </c>
      <c r="AC1160" s="29">
        <v>30493</v>
      </c>
      <c r="AD1160" s="29">
        <v>37521</v>
      </c>
      <c r="AE1160" s="29"/>
      <c r="AF1160">
        <v>20</v>
      </c>
      <c r="AG1160" t="s">
        <v>153</v>
      </c>
      <c r="AI1160">
        <v>20</v>
      </c>
      <c r="AJ1160">
        <v>1</v>
      </c>
      <c r="AK1160" t="s">
        <v>163</v>
      </c>
      <c r="AL1160" t="s">
        <v>77</v>
      </c>
      <c r="AM1160">
        <f t="shared" si="90"/>
        <v>3</v>
      </c>
      <c r="AN1160">
        <f t="shared" si="91"/>
        <v>9</v>
      </c>
      <c r="AO1160" t="str">
        <f t="shared" si="92"/>
        <v/>
      </c>
      <c r="AP1160" t="str">
        <f t="shared" si="93"/>
        <v/>
      </c>
      <c r="AQ1160">
        <f t="shared" si="94"/>
        <v>2002</v>
      </c>
    </row>
    <row r="1161" spans="1:43" x14ac:dyDescent="0.35">
      <c r="A1161">
        <v>1976</v>
      </c>
      <c r="B1161">
        <v>42</v>
      </c>
      <c r="C1161" t="s">
        <v>148</v>
      </c>
      <c r="D1161" t="s">
        <v>164</v>
      </c>
      <c r="E1161" t="s">
        <v>4</v>
      </c>
      <c r="F1161" t="s">
        <v>36</v>
      </c>
      <c r="G1161" t="s">
        <v>44</v>
      </c>
      <c r="H1161" t="s">
        <v>82</v>
      </c>
      <c r="I1161" t="s">
        <v>42</v>
      </c>
      <c r="J1161" t="s">
        <v>146</v>
      </c>
      <c r="K1161" t="s">
        <v>43</v>
      </c>
      <c r="L1161" t="s">
        <v>147</v>
      </c>
      <c r="M1161" t="s">
        <v>49</v>
      </c>
      <c r="N1161" t="s">
        <v>95</v>
      </c>
      <c r="P1161" t="s">
        <v>148</v>
      </c>
      <c r="Q1161">
        <v>12</v>
      </c>
      <c r="R1161">
        <v>1</v>
      </c>
      <c r="S1161">
        <v>20</v>
      </c>
      <c r="T1161">
        <v>3</v>
      </c>
      <c r="U1161">
        <v>7</v>
      </c>
      <c r="V1161">
        <v>23</v>
      </c>
      <c r="W1161">
        <v>37</v>
      </c>
      <c r="X1161">
        <v>335</v>
      </c>
      <c r="Y1161">
        <v>14811</v>
      </c>
      <c r="Z1161">
        <v>4332</v>
      </c>
      <c r="AA1161">
        <v>2</v>
      </c>
      <c r="AB1161" s="29">
        <v>44773</v>
      </c>
      <c r="AC1161" s="29">
        <v>29718</v>
      </c>
      <c r="AD1161" s="29">
        <v>37522</v>
      </c>
      <c r="AE1161" s="29"/>
      <c r="AF1161">
        <v>20</v>
      </c>
      <c r="AG1161" t="s">
        <v>153</v>
      </c>
      <c r="AI1161">
        <v>22</v>
      </c>
      <c r="AJ1161">
        <v>1</v>
      </c>
      <c r="AK1161" t="s">
        <v>163</v>
      </c>
      <c r="AL1161" t="s">
        <v>77</v>
      </c>
      <c r="AM1161">
        <f t="shared" si="90"/>
        <v>3</v>
      </c>
      <c r="AN1161">
        <f t="shared" si="91"/>
        <v>9</v>
      </c>
      <c r="AO1161" t="str">
        <f t="shared" si="92"/>
        <v/>
      </c>
      <c r="AP1161" t="str">
        <f t="shared" si="93"/>
        <v/>
      </c>
      <c r="AQ1161">
        <f t="shared" si="94"/>
        <v>2002</v>
      </c>
    </row>
    <row r="1162" spans="1:43" x14ac:dyDescent="0.35">
      <c r="A1162">
        <v>404</v>
      </c>
      <c r="B1162">
        <v>42</v>
      </c>
      <c r="C1162" t="s">
        <v>148</v>
      </c>
      <c r="D1162" t="s">
        <v>151</v>
      </c>
      <c r="E1162" t="s">
        <v>158</v>
      </c>
      <c r="F1162" t="s">
        <v>38</v>
      </c>
      <c r="G1162" t="s">
        <v>43</v>
      </c>
      <c r="H1162" t="s">
        <v>81</v>
      </c>
      <c r="I1162" t="s">
        <v>43</v>
      </c>
      <c r="J1162" t="s">
        <v>159</v>
      </c>
      <c r="K1162" t="s">
        <v>42</v>
      </c>
      <c r="L1162" t="s">
        <v>147</v>
      </c>
      <c r="M1162" t="s">
        <v>50</v>
      </c>
      <c r="N1162" t="s">
        <v>160</v>
      </c>
      <c r="O1162" t="s">
        <v>41</v>
      </c>
      <c r="P1162" t="s">
        <v>148</v>
      </c>
      <c r="Q1162">
        <v>14</v>
      </c>
      <c r="R1162">
        <v>5</v>
      </c>
      <c r="S1162">
        <v>23</v>
      </c>
      <c r="T1162">
        <v>4</v>
      </c>
      <c r="U1162">
        <v>8</v>
      </c>
      <c r="V1162">
        <v>26</v>
      </c>
      <c r="W1162">
        <v>77</v>
      </c>
      <c r="X1162">
        <v>555</v>
      </c>
      <c r="Y1162">
        <v>14864</v>
      </c>
      <c r="Z1162">
        <v>13525</v>
      </c>
      <c r="AA1162">
        <v>2</v>
      </c>
      <c r="AB1162" s="29">
        <v>44773</v>
      </c>
      <c r="AC1162" s="29">
        <v>29623</v>
      </c>
      <c r="AD1162" s="29">
        <v>37658</v>
      </c>
      <c r="AE1162" s="29"/>
      <c r="AF1162">
        <v>19</v>
      </c>
      <c r="AG1162" t="s">
        <v>153</v>
      </c>
      <c r="AI1162">
        <v>23</v>
      </c>
      <c r="AJ1162">
        <v>1</v>
      </c>
      <c r="AK1162" t="s">
        <v>163</v>
      </c>
      <c r="AL1162" t="s">
        <v>77</v>
      </c>
      <c r="AM1162">
        <f t="shared" si="90"/>
        <v>1</v>
      </c>
      <c r="AN1162">
        <f t="shared" si="91"/>
        <v>2</v>
      </c>
      <c r="AO1162" t="str">
        <f t="shared" si="92"/>
        <v/>
      </c>
      <c r="AP1162" t="str">
        <f t="shared" si="93"/>
        <v/>
      </c>
      <c r="AQ1162">
        <f t="shared" si="94"/>
        <v>2003</v>
      </c>
    </row>
    <row r="1163" spans="1:43" x14ac:dyDescent="0.35">
      <c r="A1163">
        <v>987</v>
      </c>
      <c r="B1163">
        <v>47</v>
      </c>
      <c r="C1163" t="s">
        <v>148</v>
      </c>
      <c r="D1163" t="s">
        <v>151</v>
      </c>
      <c r="E1163" t="s">
        <v>4</v>
      </c>
      <c r="F1163" t="s">
        <v>37</v>
      </c>
      <c r="G1163" t="s">
        <v>43</v>
      </c>
      <c r="H1163" t="s">
        <v>82</v>
      </c>
      <c r="I1163" t="s">
        <v>44</v>
      </c>
      <c r="J1163" t="s">
        <v>165</v>
      </c>
      <c r="K1163" t="s">
        <v>43</v>
      </c>
      <c r="L1163" t="s">
        <v>147</v>
      </c>
      <c r="M1163" t="s">
        <v>50</v>
      </c>
      <c r="N1163" t="s">
        <v>96</v>
      </c>
      <c r="P1163" t="s">
        <v>144</v>
      </c>
      <c r="Q1163">
        <v>19</v>
      </c>
      <c r="R1163">
        <v>1</v>
      </c>
      <c r="S1163">
        <v>20</v>
      </c>
      <c r="T1163">
        <v>2</v>
      </c>
      <c r="U1163">
        <v>7</v>
      </c>
      <c r="V1163">
        <v>16</v>
      </c>
      <c r="W1163">
        <v>64</v>
      </c>
      <c r="X1163">
        <v>1379</v>
      </c>
      <c r="Y1163">
        <v>6759</v>
      </c>
      <c r="Z1163">
        <v>5067</v>
      </c>
      <c r="AA1163">
        <v>3</v>
      </c>
      <c r="AB1163" s="29">
        <v>44773</v>
      </c>
      <c r="AC1163" s="29">
        <v>27686</v>
      </c>
      <c r="AD1163" s="29">
        <v>37850</v>
      </c>
      <c r="AE1163" s="29"/>
      <c r="AF1163">
        <v>19</v>
      </c>
      <c r="AG1163" t="s">
        <v>153</v>
      </c>
      <c r="AI1163">
        <v>28</v>
      </c>
      <c r="AJ1163">
        <v>1</v>
      </c>
      <c r="AK1163" t="s">
        <v>163</v>
      </c>
      <c r="AL1163" t="s">
        <v>77</v>
      </c>
      <c r="AM1163">
        <f t="shared" si="90"/>
        <v>3</v>
      </c>
      <c r="AN1163">
        <f t="shared" si="91"/>
        <v>8</v>
      </c>
      <c r="AO1163" t="str">
        <f t="shared" si="92"/>
        <v/>
      </c>
      <c r="AP1163" t="str">
        <f t="shared" si="93"/>
        <v/>
      </c>
      <c r="AQ1163">
        <f t="shared" si="94"/>
        <v>2003</v>
      </c>
    </row>
    <row r="1164" spans="1:43" x14ac:dyDescent="0.35">
      <c r="A1164">
        <v>302</v>
      </c>
      <c r="B1164">
        <v>45</v>
      </c>
      <c r="C1164" t="s">
        <v>148</v>
      </c>
      <c r="D1164" t="s">
        <v>164</v>
      </c>
      <c r="E1164" t="s">
        <v>158</v>
      </c>
      <c r="F1164" t="s">
        <v>38</v>
      </c>
      <c r="G1164" t="s">
        <v>44</v>
      </c>
      <c r="H1164" t="s">
        <v>81</v>
      </c>
      <c r="I1164" t="s">
        <v>42</v>
      </c>
      <c r="J1164" t="s">
        <v>159</v>
      </c>
      <c r="K1164" t="s">
        <v>44</v>
      </c>
      <c r="L1164" t="s">
        <v>147</v>
      </c>
      <c r="M1164" t="s">
        <v>49</v>
      </c>
      <c r="N1164" t="s">
        <v>95</v>
      </c>
      <c r="P1164" t="s">
        <v>148</v>
      </c>
      <c r="Q1164">
        <v>12</v>
      </c>
      <c r="R1164">
        <v>6</v>
      </c>
      <c r="S1164">
        <v>23</v>
      </c>
      <c r="T1164">
        <v>12</v>
      </c>
      <c r="U1164">
        <v>8</v>
      </c>
      <c r="V1164">
        <v>6</v>
      </c>
      <c r="W1164">
        <v>57</v>
      </c>
      <c r="X1164">
        <v>1052</v>
      </c>
      <c r="Y1164">
        <v>16840</v>
      </c>
      <c r="Z1164">
        <v>8865</v>
      </c>
      <c r="AA1164">
        <v>2</v>
      </c>
      <c r="AB1164" s="29">
        <v>44773</v>
      </c>
      <c r="AC1164" s="29">
        <v>28556</v>
      </c>
      <c r="AD1164" s="29">
        <v>37991</v>
      </c>
      <c r="AE1164" s="29"/>
      <c r="AF1164">
        <v>19</v>
      </c>
      <c r="AG1164" t="s">
        <v>153</v>
      </c>
      <c r="AI1164">
        <v>26</v>
      </c>
      <c r="AJ1164">
        <v>1</v>
      </c>
      <c r="AK1164" t="s">
        <v>163</v>
      </c>
      <c r="AL1164" t="s">
        <v>77</v>
      </c>
      <c r="AM1164">
        <f t="shared" si="90"/>
        <v>1</v>
      </c>
      <c r="AN1164">
        <f t="shared" si="91"/>
        <v>1</v>
      </c>
      <c r="AO1164" t="str">
        <f t="shared" si="92"/>
        <v/>
      </c>
      <c r="AP1164" t="str">
        <f t="shared" si="93"/>
        <v/>
      </c>
      <c r="AQ1164">
        <f t="shared" si="94"/>
        <v>2004</v>
      </c>
    </row>
    <row r="1165" spans="1:43" x14ac:dyDescent="0.35">
      <c r="A1165">
        <v>1329</v>
      </c>
      <c r="B1165">
        <v>41</v>
      </c>
      <c r="C1165" t="s">
        <v>148</v>
      </c>
      <c r="D1165" t="s">
        <v>164</v>
      </c>
      <c r="E1165" t="s">
        <v>158</v>
      </c>
      <c r="F1165" t="s">
        <v>36</v>
      </c>
      <c r="G1165" t="s">
        <v>43</v>
      </c>
      <c r="H1165" t="s">
        <v>82</v>
      </c>
      <c r="I1165" t="s">
        <v>41</v>
      </c>
      <c r="J1165" t="s">
        <v>159</v>
      </c>
      <c r="K1165" t="s">
        <v>42</v>
      </c>
      <c r="L1165" t="s">
        <v>147</v>
      </c>
      <c r="M1165" t="s">
        <v>49</v>
      </c>
      <c r="N1165" t="s">
        <v>95</v>
      </c>
      <c r="P1165" t="s">
        <v>148</v>
      </c>
      <c r="Q1165">
        <v>13</v>
      </c>
      <c r="R1165">
        <v>1</v>
      </c>
      <c r="S1165">
        <v>19</v>
      </c>
      <c r="T1165">
        <v>11</v>
      </c>
      <c r="U1165">
        <v>9</v>
      </c>
      <c r="V1165">
        <v>10</v>
      </c>
      <c r="W1165">
        <v>40</v>
      </c>
      <c r="X1165">
        <v>256</v>
      </c>
      <c r="Y1165">
        <v>22074</v>
      </c>
      <c r="Z1165">
        <v>6151</v>
      </c>
      <c r="AA1165">
        <v>4</v>
      </c>
      <c r="AB1165" s="29">
        <v>44773</v>
      </c>
      <c r="AC1165" s="29">
        <v>29816</v>
      </c>
      <c r="AD1165" s="29">
        <v>38088</v>
      </c>
      <c r="AE1165" s="29"/>
      <c r="AF1165">
        <v>18</v>
      </c>
      <c r="AG1165" t="s">
        <v>153</v>
      </c>
      <c r="AI1165">
        <v>23</v>
      </c>
      <c r="AJ1165">
        <v>1</v>
      </c>
      <c r="AK1165" t="s">
        <v>163</v>
      </c>
      <c r="AL1165" t="s">
        <v>77</v>
      </c>
      <c r="AM1165">
        <f t="shared" si="90"/>
        <v>2</v>
      </c>
      <c r="AN1165">
        <f t="shared" si="91"/>
        <v>4</v>
      </c>
      <c r="AO1165" t="str">
        <f t="shared" si="92"/>
        <v/>
      </c>
      <c r="AP1165" t="str">
        <f t="shared" si="93"/>
        <v/>
      </c>
      <c r="AQ1165">
        <f t="shared" si="94"/>
        <v>2004</v>
      </c>
    </row>
    <row r="1166" spans="1:43" x14ac:dyDescent="0.35">
      <c r="A1166">
        <v>573</v>
      </c>
      <c r="B1166">
        <v>60</v>
      </c>
      <c r="C1166" t="s">
        <v>148</v>
      </c>
      <c r="D1166" t="s">
        <v>151</v>
      </c>
      <c r="E1166" t="s">
        <v>158</v>
      </c>
      <c r="F1166" t="s">
        <v>38</v>
      </c>
      <c r="G1166" t="s">
        <v>43</v>
      </c>
      <c r="H1166" t="s">
        <v>81</v>
      </c>
      <c r="I1166" t="s">
        <v>42</v>
      </c>
      <c r="J1166" t="s">
        <v>159</v>
      </c>
      <c r="K1166" t="s">
        <v>41</v>
      </c>
      <c r="L1166" t="s">
        <v>147</v>
      </c>
      <c r="M1166" t="s">
        <v>50</v>
      </c>
      <c r="N1166" t="s">
        <v>160</v>
      </c>
      <c r="P1166" t="s">
        <v>148</v>
      </c>
      <c r="Q1166">
        <v>19</v>
      </c>
      <c r="R1166">
        <v>4</v>
      </c>
      <c r="S1166">
        <v>22</v>
      </c>
      <c r="T1166">
        <v>13</v>
      </c>
      <c r="U1166">
        <v>11</v>
      </c>
      <c r="V1166">
        <v>28</v>
      </c>
      <c r="W1166">
        <v>80</v>
      </c>
      <c r="X1166">
        <v>1499</v>
      </c>
      <c r="Y1166">
        <v>2845</v>
      </c>
      <c r="Z1166">
        <v>10266</v>
      </c>
      <c r="AA1166">
        <v>5</v>
      </c>
      <c r="AB1166" s="29">
        <v>44773</v>
      </c>
      <c r="AC1166" s="29">
        <v>23225</v>
      </c>
      <c r="AD1166" s="29">
        <v>38388</v>
      </c>
      <c r="AE1166" s="29"/>
      <c r="AF1166">
        <v>17</v>
      </c>
      <c r="AG1166" t="s">
        <v>174</v>
      </c>
      <c r="AI1166">
        <v>43</v>
      </c>
      <c r="AJ1166">
        <v>1</v>
      </c>
      <c r="AK1166" t="s">
        <v>163</v>
      </c>
      <c r="AL1166" t="s">
        <v>77</v>
      </c>
      <c r="AM1166">
        <f t="shared" si="90"/>
        <v>1</v>
      </c>
      <c r="AN1166">
        <f t="shared" si="91"/>
        <v>2</v>
      </c>
      <c r="AO1166" t="str">
        <f t="shared" si="92"/>
        <v/>
      </c>
      <c r="AP1166" t="str">
        <f t="shared" si="93"/>
        <v/>
      </c>
      <c r="AQ1166">
        <f t="shared" si="94"/>
        <v>2005</v>
      </c>
    </row>
    <row r="1167" spans="1:43" x14ac:dyDescent="0.35">
      <c r="A1167">
        <v>73</v>
      </c>
      <c r="B1167">
        <v>33</v>
      </c>
      <c r="C1167" t="s">
        <v>148</v>
      </c>
      <c r="D1167" t="s">
        <v>151</v>
      </c>
      <c r="E1167" t="s">
        <v>4</v>
      </c>
      <c r="F1167" t="s">
        <v>36</v>
      </c>
      <c r="G1167" t="s">
        <v>41</v>
      </c>
      <c r="H1167" t="s">
        <v>81</v>
      </c>
      <c r="I1167" t="s">
        <v>43</v>
      </c>
      <c r="J1167" t="s">
        <v>173</v>
      </c>
      <c r="K1167" t="s">
        <v>44</v>
      </c>
      <c r="L1167" t="s">
        <v>147</v>
      </c>
      <c r="M1167" t="s">
        <v>49</v>
      </c>
      <c r="N1167" t="s">
        <v>95</v>
      </c>
      <c r="P1167" t="s">
        <v>144</v>
      </c>
      <c r="Q1167">
        <v>12</v>
      </c>
      <c r="R1167">
        <v>1</v>
      </c>
      <c r="S1167">
        <v>15</v>
      </c>
      <c r="T1167">
        <v>8</v>
      </c>
      <c r="U1167">
        <v>12</v>
      </c>
      <c r="V1167">
        <v>1</v>
      </c>
      <c r="W1167">
        <v>98</v>
      </c>
      <c r="X1167">
        <v>515</v>
      </c>
      <c r="Y1167">
        <v>15146</v>
      </c>
      <c r="Z1167">
        <v>13458</v>
      </c>
      <c r="AA1167">
        <v>1</v>
      </c>
      <c r="AB1167" s="29">
        <v>44773</v>
      </c>
      <c r="AC1167" s="29">
        <v>33004</v>
      </c>
      <c r="AD1167" s="29">
        <v>39348</v>
      </c>
      <c r="AE1167" s="29"/>
      <c r="AF1167">
        <v>15</v>
      </c>
      <c r="AG1167" t="s">
        <v>149</v>
      </c>
      <c r="AI1167">
        <v>18</v>
      </c>
      <c r="AJ1167">
        <v>1</v>
      </c>
      <c r="AK1167" t="s">
        <v>163</v>
      </c>
      <c r="AL1167" t="s">
        <v>78</v>
      </c>
      <c r="AM1167">
        <f t="shared" si="90"/>
        <v>3</v>
      </c>
      <c r="AN1167">
        <f t="shared" si="91"/>
        <v>9</v>
      </c>
      <c r="AO1167" t="str">
        <f t="shared" si="92"/>
        <v/>
      </c>
      <c r="AP1167" t="str">
        <f t="shared" si="93"/>
        <v/>
      </c>
      <c r="AQ1167">
        <f t="shared" si="94"/>
        <v>2007</v>
      </c>
    </row>
    <row r="1168" spans="1:43" x14ac:dyDescent="0.35">
      <c r="A1168">
        <v>1050</v>
      </c>
      <c r="B1168">
        <v>53</v>
      </c>
      <c r="C1168" t="s">
        <v>148</v>
      </c>
      <c r="D1168" t="s">
        <v>151</v>
      </c>
      <c r="E1168" t="s">
        <v>158</v>
      </c>
      <c r="F1168" t="s">
        <v>38</v>
      </c>
      <c r="G1168" t="s">
        <v>43</v>
      </c>
      <c r="H1168" t="s">
        <v>81</v>
      </c>
      <c r="I1168" t="s">
        <v>42</v>
      </c>
      <c r="J1168" t="s">
        <v>159</v>
      </c>
      <c r="K1168" t="s">
        <v>42</v>
      </c>
      <c r="L1168" t="s">
        <v>147</v>
      </c>
      <c r="M1168" t="s">
        <v>49</v>
      </c>
      <c r="N1168" t="s">
        <v>160</v>
      </c>
      <c r="O1168" t="s">
        <v>41</v>
      </c>
      <c r="P1168" t="s">
        <v>148</v>
      </c>
      <c r="Q1168">
        <v>12</v>
      </c>
      <c r="R1168">
        <v>2</v>
      </c>
      <c r="S1168">
        <v>30</v>
      </c>
      <c r="T1168">
        <v>6</v>
      </c>
      <c r="U1168">
        <v>12</v>
      </c>
      <c r="V1168">
        <v>2</v>
      </c>
      <c r="W1168">
        <v>38</v>
      </c>
      <c r="X1168">
        <v>124</v>
      </c>
      <c r="Y1168">
        <v>23537</v>
      </c>
      <c r="Z1168">
        <v>7525</v>
      </c>
      <c r="AA1168">
        <v>2</v>
      </c>
      <c r="AB1168" s="29">
        <v>44773</v>
      </c>
      <c r="AC1168" s="29">
        <v>25592</v>
      </c>
      <c r="AD1168" s="29">
        <v>39475</v>
      </c>
      <c r="AE1168" s="29"/>
      <c r="AF1168">
        <v>15</v>
      </c>
      <c r="AG1168" t="s">
        <v>167</v>
      </c>
      <c r="AI1168">
        <v>38</v>
      </c>
      <c r="AJ1168">
        <v>1</v>
      </c>
      <c r="AK1168" t="s">
        <v>163</v>
      </c>
      <c r="AL1168" t="s">
        <v>77</v>
      </c>
      <c r="AM1168">
        <f t="shared" si="90"/>
        <v>1</v>
      </c>
      <c r="AN1168">
        <f t="shared" si="91"/>
        <v>1</v>
      </c>
      <c r="AO1168" t="str">
        <f t="shared" si="92"/>
        <v/>
      </c>
      <c r="AP1168" t="str">
        <f t="shared" si="93"/>
        <v/>
      </c>
      <c r="AQ1168">
        <f t="shared" si="94"/>
        <v>2008</v>
      </c>
    </row>
    <row r="1169" spans="1:43" x14ac:dyDescent="0.35">
      <c r="A1169">
        <v>803</v>
      </c>
      <c r="B1169">
        <v>38</v>
      </c>
      <c r="C1169" t="s">
        <v>148</v>
      </c>
      <c r="D1169" t="s">
        <v>151</v>
      </c>
      <c r="E1169" t="s">
        <v>4</v>
      </c>
      <c r="F1169" t="s">
        <v>37</v>
      </c>
      <c r="G1169" t="s">
        <v>41</v>
      </c>
      <c r="H1169" t="s">
        <v>81</v>
      </c>
      <c r="I1169" t="s">
        <v>44</v>
      </c>
      <c r="J1169" t="s">
        <v>165</v>
      </c>
      <c r="K1169" t="s">
        <v>41</v>
      </c>
      <c r="L1169" t="s">
        <v>147</v>
      </c>
      <c r="M1169" t="s">
        <v>49</v>
      </c>
      <c r="N1169" t="s">
        <v>95</v>
      </c>
      <c r="P1169" t="s">
        <v>144</v>
      </c>
      <c r="Q1169">
        <v>12</v>
      </c>
      <c r="R1169">
        <v>6</v>
      </c>
      <c r="S1169">
        <v>17</v>
      </c>
      <c r="T1169">
        <v>4</v>
      </c>
      <c r="U1169">
        <v>12</v>
      </c>
      <c r="V1169">
        <v>2</v>
      </c>
      <c r="W1169">
        <v>75</v>
      </c>
      <c r="X1169">
        <v>240</v>
      </c>
      <c r="Y1169">
        <v>26085</v>
      </c>
      <c r="Z1169">
        <v>5980</v>
      </c>
      <c r="AA1169">
        <v>2</v>
      </c>
      <c r="AB1169" s="29">
        <v>44773</v>
      </c>
      <c r="AC1169" s="29">
        <v>31199</v>
      </c>
      <c r="AD1169" s="29">
        <v>39518</v>
      </c>
      <c r="AE1169" s="29"/>
      <c r="AF1169">
        <v>14</v>
      </c>
      <c r="AG1169" t="s">
        <v>149</v>
      </c>
      <c r="AI1169">
        <v>24</v>
      </c>
      <c r="AJ1169">
        <v>1</v>
      </c>
      <c r="AK1169" t="s">
        <v>154</v>
      </c>
      <c r="AL1169" t="s">
        <v>77</v>
      </c>
      <c r="AM1169">
        <f t="shared" si="90"/>
        <v>1</v>
      </c>
      <c r="AN1169">
        <f t="shared" si="91"/>
        <v>3</v>
      </c>
      <c r="AO1169" t="str">
        <f t="shared" si="92"/>
        <v/>
      </c>
      <c r="AP1169" t="str">
        <f t="shared" si="93"/>
        <v/>
      </c>
      <c r="AQ1169">
        <f t="shared" si="94"/>
        <v>2008</v>
      </c>
    </row>
    <row r="1170" spans="1:43" x14ac:dyDescent="0.35">
      <c r="A1170">
        <v>1362</v>
      </c>
      <c r="B1170">
        <v>36</v>
      </c>
      <c r="C1170" t="s">
        <v>148</v>
      </c>
      <c r="D1170" t="s">
        <v>151</v>
      </c>
      <c r="E1170" t="s">
        <v>158</v>
      </c>
      <c r="F1170" t="s">
        <v>38</v>
      </c>
      <c r="G1170" t="s">
        <v>41</v>
      </c>
      <c r="H1170" t="s">
        <v>81</v>
      </c>
      <c r="I1170" t="s">
        <v>44</v>
      </c>
      <c r="J1170" t="s">
        <v>159</v>
      </c>
      <c r="K1170" t="s">
        <v>41</v>
      </c>
      <c r="L1170" t="s">
        <v>147</v>
      </c>
      <c r="M1170" t="s">
        <v>48</v>
      </c>
      <c r="N1170" t="s">
        <v>160</v>
      </c>
      <c r="O1170" t="s">
        <v>41</v>
      </c>
      <c r="P1170" t="s">
        <v>148</v>
      </c>
      <c r="Q1170">
        <v>16</v>
      </c>
      <c r="R1170">
        <v>2</v>
      </c>
      <c r="S1170">
        <v>17</v>
      </c>
      <c r="T1170">
        <v>6</v>
      </c>
      <c r="U1170">
        <v>13</v>
      </c>
      <c r="V1170">
        <v>7</v>
      </c>
      <c r="W1170">
        <v>83</v>
      </c>
      <c r="X1170">
        <v>607</v>
      </c>
      <c r="Y1170">
        <v>2261</v>
      </c>
      <c r="Z1170">
        <v>4639</v>
      </c>
      <c r="AA1170">
        <v>2</v>
      </c>
      <c r="AB1170" s="29">
        <v>44773</v>
      </c>
      <c r="AC1170" s="29">
        <v>31867</v>
      </c>
      <c r="AD1170" s="29">
        <v>39564</v>
      </c>
      <c r="AE1170" s="29"/>
      <c r="AF1170">
        <v>14</v>
      </c>
      <c r="AG1170" t="s">
        <v>149</v>
      </c>
      <c r="AI1170">
        <v>22</v>
      </c>
      <c r="AJ1170">
        <v>1</v>
      </c>
      <c r="AK1170" t="s">
        <v>154</v>
      </c>
      <c r="AL1170" t="s">
        <v>77</v>
      </c>
      <c r="AM1170">
        <f t="shared" si="90"/>
        <v>2</v>
      </c>
      <c r="AN1170">
        <f t="shared" si="91"/>
        <v>4</v>
      </c>
      <c r="AO1170" t="str">
        <f t="shared" si="92"/>
        <v/>
      </c>
      <c r="AP1170" t="str">
        <f t="shared" si="93"/>
        <v/>
      </c>
      <c r="AQ1170">
        <f t="shared" si="94"/>
        <v>2008</v>
      </c>
    </row>
    <row r="1171" spans="1:43" x14ac:dyDescent="0.35">
      <c r="A1171">
        <v>1117</v>
      </c>
      <c r="B1171">
        <v>45</v>
      </c>
      <c r="C1171" t="s">
        <v>148</v>
      </c>
      <c r="D1171" t="s">
        <v>164</v>
      </c>
      <c r="E1171" t="s">
        <v>158</v>
      </c>
      <c r="F1171" t="s">
        <v>37</v>
      </c>
      <c r="G1171" t="s">
        <v>42</v>
      </c>
      <c r="H1171" t="s">
        <v>81</v>
      </c>
      <c r="I1171" t="s">
        <v>42</v>
      </c>
      <c r="J1171" t="s">
        <v>159</v>
      </c>
      <c r="K1171" t="s">
        <v>43</v>
      </c>
      <c r="L1171" t="s">
        <v>147</v>
      </c>
      <c r="M1171" t="s">
        <v>49</v>
      </c>
      <c r="N1171" t="s">
        <v>160</v>
      </c>
      <c r="O1171" t="s">
        <v>41</v>
      </c>
      <c r="P1171" t="s">
        <v>148</v>
      </c>
      <c r="Q1171">
        <v>13</v>
      </c>
      <c r="R1171">
        <v>1</v>
      </c>
      <c r="S1171">
        <v>15</v>
      </c>
      <c r="T1171">
        <v>4</v>
      </c>
      <c r="U1171">
        <v>12</v>
      </c>
      <c r="V1171">
        <v>9</v>
      </c>
      <c r="W1171">
        <v>65</v>
      </c>
      <c r="X1171">
        <v>1050</v>
      </c>
      <c r="Y1171">
        <v>17970</v>
      </c>
      <c r="Z1171">
        <v>5593</v>
      </c>
      <c r="AA1171">
        <v>2</v>
      </c>
      <c r="AB1171" s="29">
        <v>44773</v>
      </c>
      <c r="AC1171" s="29">
        <v>28342</v>
      </c>
      <c r="AD1171" s="29">
        <v>39611</v>
      </c>
      <c r="AE1171" s="29"/>
      <c r="AF1171">
        <v>14</v>
      </c>
      <c r="AG1171" t="s">
        <v>153</v>
      </c>
      <c r="AI1171">
        <v>31</v>
      </c>
      <c r="AJ1171">
        <v>1</v>
      </c>
      <c r="AK1171" t="s">
        <v>154</v>
      </c>
      <c r="AL1171" t="s">
        <v>77</v>
      </c>
      <c r="AM1171">
        <f t="shared" si="90"/>
        <v>2</v>
      </c>
      <c r="AN1171">
        <f t="shared" si="91"/>
        <v>6</v>
      </c>
      <c r="AO1171" t="str">
        <f t="shared" si="92"/>
        <v/>
      </c>
      <c r="AP1171" t="str">
        <f t="shared" si="93"/>
        <v/>
      </c>
      <c r="AQ1171">
        <f t="shared" si="94"/>
        <v>2008</v>
      </c>
    </row>
    <row r="1172" spans="1:43" x14ac:dyDescent="0.35">
      <c r="A1172">
        <v>1932</v>
      </c>
      <c r="B1172">
        <v>34</v>
      </c>
      <c r="C1172" t="s">
        <v>148</v>
      </c>
      <c r="D1172" t="s">
        <v>151</v>
      </c>
      <c r="E1172" t="s">
        <v>4</v>
      </c>
      <c r="F1172" t="s">
        <v>37</v>
      </c>
      <c r="G1172" t="s">
        <v>43</v>
      </c>
      <c r="H1172" t="s">
        <v>82</v>
      </c>
      <c r="I1172" t="s">
        <v>42</v>
      </c>
      <c r="J1172" t="s">
        <v>146</v>
      </c>
      <c r="K1172" t="s">
        <v>44</v>
      </c>
      <c r="L1172" t="s">
        <v>147</v>
      </c>
      <c r="M1172" t="s">
        <v>49</v>
      </c>
      <c r="N1172" t="s">
        <v>160</v>
      </c>
      <c r="P1172" t="s">
        <v>144</v>
      </c>
      <c r="Q1172">
        <v>15</v>
      </c>
      <c r="R1172">
        <v>1</v>
      </c>
      <c r="S1172">
        <v>16</v>
      </c>
      <c r="T1172">
        <v>6</v>
      </c>
      <c r="U1172">
        <v>11</v>
      </c>
      <c r="V1172">
        <v>22</v>
      </c>
      <c r="W1172">
        <v>86</v>
      </c>
      <c r="X1172">
        <v>735</v>
      </c>
      <c r="Y1172">
        <v>26496</v>
      </c>
      <c r="Z1172">
        <v>5747</v>
      </c>
      <c r="AA1172">
        <v>3</v>
      </c>
      <c r="AB1172" s="29">
        <v>44773</v>
      </c>
      <c r="AC1172" s="29">
        <v>32407</v>
      </c>
      <c r="AD1172" s="29">
        <v>39620</v>
      </c>
      <c r="AE1172" s="29"/>
      <c r="AF1172">
        <v>14</v>
      </c>
      <c r="AG1172" t="s">
        <v>149</v>
      </c>
      <c r="AI1172">
        <v>20</v>
      </c>
      <c r="AJ1172">
        <v>1</v>
      </c>
      <c r="AK1172" t="s">
        <v>154</v>
      </c>
      <c r="AL1172" t="s">
        <v>77</v>
      </c>
      <c r="AM1172">
        <f t="shared" si="90"/>
        <v>2</v>
      </c>
      <c r="AN1172">
        <f t="shared" si="91"/>
        <v>6</v>
      </c>
      <c r="AO1172" t="str">
        <f t="shared" si="92"/>
        <v/>
      </c>
      <c r="AP1172" t="str">
        <f t="shared" si="93"/>
        <v/>
      </c>
      <c r="AQ1172">
        <f t="shared" si="94"/>
        <v>2008</v>
      </c>
    </row>
    <row r="1173" spans="1:43" x14ac:dyDescent="0.35">
      <c r="A1173">
        <v>1243</v>
      </c>
      <c r="B1173">
        <v>35</v>
      </c>
      <c r="C1173" t="s">
        <v>148</v>
      </c>
      <c r="D1173" t="s">
        <v>164</v>
      </c>
      <c r="E1173" t="s">
        <v>158</v>
      </c>
      <c r="F1173" t="s">
        <v>36</v>
      </c>
      <c r="G1173" t="s">
        <v>43</v>
      </c>
      <c r="H1173" t="s">
        <v>81</v>
      </c>
      <c r="I1173" t="s">
        <v>42</v>
      </c>
      <c r="J1173" t="s">
        <v>159</v>
      </c>
      <c r="K1173" t="s">
        <v>44</v>
      </c>
      <c r="L1173" t="s">
        <v>147</v>
      </c>
      <c r="M1173" t="s">
        <v>48</v>
      </c>
      <c r="N1173" t="s">
        <v>160</v>
      </c>
      <c r="O1173" t="s">
        <v>41</v>
      </c>
      <c r="P1173" t="s">
        <v>144</v>
      </c>
      <c r="Q1173">
        <v>11</v>
      </c>
      <c r="R1173">
        <v>4</v>
      </c>
      <c r="S1173">
        <v>16</v>
      </c>
      <c r="T1173">
        <v>4</v>
      </c>
      <c r="U1173">
        <v>12</v>
      </c>
      <c r="V1173">
        <v>8</v>
      </c>
      <c r="W1173">
        <v>78</v>
      </c>
      <c r="X1173">
        <v>1212</v>
      </c>
      <c r="Y1173">
        <v>13755</v>
      </c>
      <c r="Z1173">
        <v>10377</v>
      </c>
      <c r="AA1173">
        <v>6</v>
      </c>
      <c r="AB1173" s="29">
        <v>44773</v>
      </c>
      <c r="AC1173" s="29">
        <v>32139</v>
      </c>
      <c r="AD1173" s="29">
        <v>40199</v>
      </c>
      <c r="AE1173" s="29"/>
      <c r="AF1173">
        <v>13</v>
      </c>
      <c r="AG1173" t="s">
        <v>149</v>
      </c>
      <c r="AI1173">
        <v>22</v>
      </c>
      <c r="AJ1173">
        <v>1</v>
      </c>
      <c r="AK1173" t="s">
        <v>154</v>
      </c>
      <c r="AL1173" t="s">
        <v>77</v>
      </c>
      <c r="AM1173">
        <f t="shared" si="90"/>
        <v>1</v>
      </c>
      <c r="AN1173">
        <f t="shared" si="91"/>
        <v>1</v>
      </c>
      <c r="AO1173" t="str">
        <f t="shared" si="92"/>
        <v/>
      </c>
      <c r="AP1173" t="str">
        <f t="shared" si="93"/>
        <v/>
      </c>
      <c r="AQ1173">
        <f t="shared" si="94"/>
        <v>2010</v>
      </c>
    </row>
    <row r="1174" spans="1:43" x14ac:dyDescent="0.35">
      <c r="A1174">
        <v>529</v>
      </c>
      <c r="B1174">
        <v>37</v>
      </c>
      <c r="C1174" t="s">
        <v>148</v>
      </c>
      <c r="D1174" t="s">
        <v>164</v>
      </c>
      <c r="E1174" t="s">
        <v>4</v>
      </c>
      <c r="F1174" t="s">
        <v>34</v>
      </c>
      <c r="G1174" t="s">
        <v>42</v>
      </c>
      <c r="H1174" t="s">
        <v>81</v>
      </c>
      <c r="I1174" t="s">
        <v>43</v>
      </c>
      <c r="J1174" t="s">
        <v>146</v>
      </c>
      <c r="K1174" t="s">
        <v>43</v>
      </c>
      <c r="L1174" t="s">
        <v>147</v>
      </c>
      <c r="M1174" t="s">
        <v>49</v>
      </c>
      <c r="N1174" t="s">
        <v>160</v>
      </c>
      <c r="O1174" t="s">
        <v>156</v>
      </c>
      <c r="P1174" t="s">
        <v>144</v>
      </c>
      <c r="Q1174">
        <v>15</v>
      </c>
      <c r="R1174">
        <v>3</v>
      </c>
      <c r="S1174">
        <v>15</v>
      </c>
      <c r="T1174">
        <v>10</v>
      </c>
      <c r="U1174">
        <v>7</v>
      </c>
      <c r="V1174">
        <v>25</v>
      </c>
      <c r="W1174">
        <v>72</v>
      </c>
      <c r="X1174">
        <v>1063</v>
      </c>
      <c r="Y1174">
        <v>23866</v>
      </c>
      <c r="Z1174">
        <v>4449</v>
      </c>
      <c r="AA1174">
        <v>2</v>
      </c>
      <c r="AB1174" s="29">
        <v>44773</v>
      </c>
      <c r="AC1174" s="29">
        <v>31381</v>
      </c>
      <c r="AD1174" s="29">
        <v>40222</v>
      </c>
      <c r="AE1174" s="29"/>
      <c r="AF1174">
        <v>12</v>
      </c>
      <c r="AG1174" t="s">
        <v>149</v>
      </c>
      <c r="AI1174">
        <v>25</v>
      </c>
      <c r="AJ1174">
        <v>1</v>
      </c>
      <c r="AK1174" t="s">
        <v>154</v>
      </c>
      <c r="AL1174" t="s">
        <v>77</v>
      </c>
      <c r="AM1174">
        <f t="shared" si="90"/>
        <v>1</v>
      </c>
      <c r="AN1174">
        <f t="shared" si="91"/>
        <v>2</v>
      </c>
      <c r="AO1174" t="str">
        <f t="shared" si="92"/>
        <v/>
      </c>
      <c r="AP1174" t="str">
        <f t="shared" si="93"/>
        <v/>
      </c>
      <c r="AQ1174">
        <f t="shared" si="94"/>
        <v>2010</v>
      </c>
    </row>
    <row r="1175" spans="1:43" x14ac:dyDescent="0.35">
      <c r="A1175">
        <v>1668</v>
      </c>
      <c r="B1175">
        <v>38</v>
      </c>
      <c r="C1175" t="s">
        <v>148</v>
      </c>
      <c r="D1175" t="s">
        <v>151</v>
      </c>
      <c r="E1175" t="s">
        <v>4</v>
      </c>
      <c r="F1175" t="s">
        <v>38</v>
      </c>
      <c r="G1175" t="s">
        <v>44</v>
      </c>
      <c r="H1175" t="s">
        <v>82</v>
      </c>
      <c r="I1175" t="s">
        <v>43</v>
      </c>
      <c r="J1175" t="s">
        <v>146</v>
      </c>
      <c r="K1175" t="s">
        <v>44</v>
      </c>
      <c r="L1175" t="s">
        <v>147</v>
      </c>
      <c r="M1175" t="s">
        <v>50</v>
      </c>
      <c r="N1175" t="s">
        <v>160</v>
      </c>
      <c r="O1175" t="s">
        <v>156</v>
      </c>
      <c r="P1175" t="s">
        <v>148</v>
      </c>
      <c r="Q1175">
        <v>15</v>
      </c>
      <c r="R1175">
        <v>7</v>
      </c>
      <c r="S1175">
        <v>19</v>
      </c>
      <c r="T1175">
        <v>2</v>
      </c>
      <c r="U1175">
        <v>9</v>
      </c>
      <c r="V1175">
        <v>1</v>
      </c>
      <c r="W1175">
        <v>90</v>
      </c>
      <c r="X1175">
        <v>1189</v>
      </c>
      <c r="Y1175">
        <v>9867</v>
      </c>
      <c r="Z1175">
        <v>4735</v>
      </c>
      <c r="AA1175">
        <v>4</v>
      </c>
      <c r="AB1175" s="29">
        <v>44773</v>
      </c>
      <c r="AC1175" s="29">
        <v>31193</v>
      </c>
      <c r="AD1175" s="29">
        <v>40237</v>
      </c>
      <c r="AE1175" s="29"/>
      <c r="AF1175">
        <v>12</v>
      </c>
      <c r="AG1175" t="s">
        <v>149</v>
      </c>
      <c r="AI1175">
        <v>26</v>
      </c>
      <c r="AJ1175">
        <v>1</v>
      </c>
      <c r="AK1175" t="s">
        <v>154</v>
      </c>
      <c r="AL1175" t="s">
        <v>78</v>
      </c>
      <c r="AM1175">
        <f t="shared" si="90"/>
        <v>1</v>
      </c>
      <c r="AN1175">
        <f t="shared" si="91"/>
        <v>2</v>
      </c>
      <c r="AO1175" t="str">
        <f t="shared" si="92"/>
        <v/>
      </c>
      <c r="AP1175" t="str">
        <f t="shared" si="93"/>
        <v/>
      </c>
      <c r="AQ1175">
        <f t="shared" si="94"/>
        <v>2010</v>
      </c>
    </row>
    <row r="1176" spans="1:43" x14ac:dyDescent="0.35">
      <c r="A1176">
        <v>2000</v>
      </c>
      <c r="B1176">
        <v>47</v>
      </c>
      <c r="C1176" t="s">
        <v>148</v>
      </c>
      <c r="D1176" t="s">
        <v>164</v>
      </c>
      <c r="E1176" t="s">
        <v>4</v>
      </c>
      <c r="F1176" t="s">
        <v>35</v>
      </c>
      <c r="G1176" t="s">
        <v>43</v>
      </c>
      <c r="H1176" t="s">
        <v>81</v>
      </c>
      <c r="I1176" t="s">
        <v>43</v>
      </c>
      <c r="J1176" t="s">
        <v>173</v>
      </c>
      <c r="K1176" t="s">
        <v>42</v>
      </c>
      <c r="L1176" t="s">
        <v>147</v>
      </c>
      <c r="M1176" t="s">
        <v>47</v>
      </c>
      <c r="N1176" t="s">
        <v>160</v>
      </c>
      <c r="O1176" t="s">
        <v>156</v>
      </c>
      <c r="P1176" t="s">
        <v>148</v>
      </c>
      <c r="Q1176">
        <v>18</v>
      </c>
      <c r="R1176">
        <v>0</v>
      </c>
      <c r="S1176">
        <v>14</v>
      </c>
      <c r="T1176">
        <v>5</v>
      </c>
      <c r="U1176">
        <v>12</v>
      </c>
      <c r="V1176">
        <v>1</v>
      </c>
      <c r="W1176">
        <v>98</v>
      </c>
      <c r="X1176">
        <v>1162</v>
      </c>
      <c r="Y1176">
        <v>17231</v>
      </c>
      <c r="Z1176">
        <v>11957</v>
      </c>
      <c r="AA1176">
        <v>3</v>
      </c>
      <c r="AB1176" s="29">
        <v>44773</v>
      </c>
      <c r="AC1176" s="29">
        <v>27909</v>
      </c>
      <c r="AD1176" s="29">
        <v>40269</v>
      </c>
      <c r="AE1176" s="29"/>
      <c r="AF1176">
        <v>12</v>
      </c>
      <c r="AG1176" t="s">
        <v>153</v>
      </c>
      <c r="AI1176">
        <v>35</v>
      </c>
      <c r="AJ1176">
        <v>1</v>
      </c>
      <c r="AK1176" t="s">
        <v>154</v>
      </c>
      <c r="AL1176" t="s">
        <v>77</v>
      </c>
      <c r="AM1176">
        <f t="shared" si="90"/>
        <v>2</v>
      </c>
      <c r="AN1176">
        <f t="shared" si="91"/>
        <v>4</v>
      </c>
      <c r="AO1176" t="str">
        <f t="shared" si="92"/>
        <v/>
      </c>
      <c r="AP1176" t="str">
        <f t="shared" si="93"/>
        <v/>
      </c>
      <c r="AQ1176">
        <f t="shared" si="94"/>
        <v>2010</v>
      </c>
    </row>
    <row r="1177" spans="1:43" x14ac:dyDescent="0.35">
      <c r="A1177">
        <v>1480</v>
      </c>
      <c r="B1177">
        <v>42</v>
      </c>
      <c r="C1177" t="s">
        <v>148</v>
      </c>
      <c r="D1177" t="s">
        <v>151</v>
      </c>
      <c r="E1177" t="s">
        <v>4</v>
      </c>
      <c r="F1177" t="s">
        <v>36</v>
      </c>
      <c r="G1177" t="s">
        <v>41</v>
      </c>
      <c r="H1177" t="s">
        <v>81</v>
      </c>
      <c r="I1177" t="s">
        <v>43</v>
      </c>
      <c r="J1177" t="s">
        <v>155</v>
      </c>
      <c r="K1177" t="s">
        <v>44</v>
      </c>
      <c r="L1177" t="s">
        <v>147</v>
      </c>
      <c r="M1177" t="s">
        <v>49</v>
      </c>
      <c r="N1177" t="s">
        <v>95</v>
      </c>
      <c r="P1177" t="s">
        <v>148</v>
      </c>
      <c r="Q1177">
        <v>13</v>
      </c>
      <c r="R1177">
        <v>1</v>
      </c>
      <c r="S1177">
        <v>12</v>
      </c>
      <c r="T1177">
        <v>5</v>
      </c>
      <c r="U1177">
        <v>8</v>
      </c>
      <c r="V1177">
        <v>9</v>
      </c>
      <c r="W1177">
        <v>74</v>
      </c>
      <c r="X1177">
        <v>748</v>
      </c>
      <c r="Y1177">
        <v>16458</v>
      </c>
      <c r="Z1177">
        <v>3673</v>
      </c>
      <c r="AA1177">
        <v>3</v>
      </c>
      <c r="AB1177" s="29">
        <v>44773</v>
      </c>
      <c r="AC1177" s="29">
        <v>29601</v>
      </c>
      <c r="AD1177" s="29">
        <v>40550</v>
      </c>
      <c r="AE1177" s="29"/>
      <c r="AF1177">
        <v>12</v>
      </c>
      <c r="AG1177" t="s">
        <v>153</v>
      </c>
      <c r="AI1177">
        <v>30</v>
      </c>
      <c r="AJ1177">
        <v>1</v>
      </c>
      <c r="AK1177" t="s">
        <v>154</v>
      </c>
      <c r="AL1177" t="s">
        <v>77</v>
      </c>
      <c r="AM1177">
        <f t="shared" si="90"/>
        <v>1</v>
      </c>
      <c r="AN1177">
        <f t="shared" si="91"/>
        <v>1</v>
      </c>
      <c r="AO1177" t="str">
        <f t="shared" si="92"/>
        <v/>
      </c>
      <c r="AP1177" t="str">
        <f t="shared" si="93"/>
        <v/>
      </c>
      <c r="AQ1177">
        <f t="shared" si="94"/>
        <v>2011</v>
      </c>
    </row>
    <row r="1178" spans="1:43" x14ac:dyDescent="0.35">
      <c r="A1178">
        <v>239</v>
      </c>
      <c r="B1178">
        <v>30</v>
      </c>
      <c r="C1178" t="s">
        <v>148</v>
      </c>
      <c r="D1178" t="s">
        <v>164</v>
      </c>
      <c r="E1178" t="s">
        <v>4</v>
      </c>
      <c r="F1178" t="s">
        <v>38</v>
      </c>
      <c r="G1178" t="s">
        <v>43</v>
      </c>
      <c r="H1178" t="s">
        <v>82</v>
      </c>
      <c r="I1178" t="s">
        <v>43</v>
      </c>
      <c r="J1178" t="s">
        <v>155</v>
      </c>
      <c r="K1178" t="s">
        <v>41</v>
      </c>
      <c r="L1178" t="s">
        <v>147</v>
      </c>
      <c r="M1178" t="s">
        <v>49</v>
      </c>
      <c r="N1178" t="s">
        <v>96</v>
      </c>
      <c r="O1178" t="s">
        <v>156</v>
      </c>
      <c r="P1178" t="s">
        <v>148</v>
      </c>
      <c r="Q1178">
        <v>11</v>
      </c>
      <c r="R1178">
        <v>1</v>
      </c>
      <c r="S1178">
        <v>12</v>
      </c>
      <c r="T1178">
        <v>6</v>
      </c>
      <c r="U1178">
        <v>10</v>
      </c>
      <c r="V1178">
        <v>9</v>
      </c>
      <c r="W1178">
        <v>66</v>
      </c>
      <c r="X1178">
        <v>111</v>
      </c>
      <c r="Y1178">
        <v>11012</v>
      </c>
      <c r="Z1178">
        <v>3072</v>
      </c>
      <c r="AA1178">
        <v>4</v>
      </c>
      <c r="AB1178" s="29">
        <v>44773</v>
      </c>
      <c r="AC1178" s="29">
        <v>33838</v>
      </c>
      <c r="AD1178" s="29">
        <v>40685</v>
      </c>
      <c r="AE1178" s="29"/>
      <c r="AF1178">
        <v>11</v>
      </c>
      <c r="AG1178" t="s">
        <v>149</v>
      </c>
      <c r="AI1178">
        <v>19</v>
      </c>
      <c r="AJ1178">
        <v>1</v>
      </c>
      <c r="AK1178" t="s">
        <v>154</v>
      </c>
      <c r="AL1178" t="s">
        <v>77</v>
      </c>
      <c r="AM1178">
        <f t="shared" si="90"/>
        <v>2</v>
      </c>
      <c r="AN1178">
        <f t="shared" si="91"/>
        <v>5</v>
      </c>
      <c r="AO1178" t="str">
        <f t="shared" si="92"/>
        <v/>
      </c>
      <c r="AP1178" t="str">
        <f t="shared" si="93"/>
        <v/>
      </c>
      <c r="AQ1178">
        <f t="shared" si="94"/>
        <v>2011</v>
      </c>
    </row>
    <row r="1179" spans="1:43" x14ac:dyDescent="0.35">
      <c r="A1179">
        <v>312</v>
      </c>
      <c r="B1179">
        <v>29</v>
      </c>
      <c r="C1179" t="s">
        <v>148</v>
      </c>
      <c r="D1179" t="s">
        <v>151</v>
      </c>
      <c r="E1179" t="s">
        <v>158</v>
      </c>
      <c r="F1179" t="s">
        <v>35</v>
      </c>
      <c r="G1179" t="s">
        <v>42</v>
      </c>
      <c r="H1179" t="s">
        <v>81</v>
      </c>
      <c r="I1179" t="s">
        <v>43</v>
      </c>
      <c r="J1179" t="s">
        <v>159</v>
      </c>
      <c r="K1179" t="s">
        <v>44</v>
      </c>
      <c r="L1179" t="s">
        <v>147</v>
      </c>
      <c r="M1179" t="s">
        <v>49</v>
      </c>
      <c r="N1179" t="s">
        <v>160</v>
      </c>
      <c r="O1179" t="s">
        <v>41</v>
      </c>
      <c r="P1179" t="s">
        <v>148</v>
      </c>
      <c r="Q1179">
        <v>14</v>
      </c>
      <c r="R1179">
        <v>1</v>
      </c>
      <c r="S1179">
        <v>13</v>
      </c>
      <c r="T1179">
        <v>4</v>
      </c>
      <c r="U1179">
        <v>1</v>
      </c>
      <c r="V1179">
        <v>1</v>
      </c>
      <c r="W1179">
        <v>42</v>
      </c>
      <c r="X1179">
        <v>1413</v>
      </c>
      <c r="Y1179">
        <v>6599</v>
      </c>
      <c r="Z1179">
        <v>7918</v>
      </c>
      <c r="AA1179">
        <v>5</v>
      </c>
      <c r="AB1179" s="29">
        <v>44773</v>
      </c>
      <c r="AC1179" s="29">
        <v>34520</v>
      </c>
      <c r="AD1179" s="29">
        <v>40755</v>
      </c>
      <c r="AE1179" s="29"/>
      <c r="AF1179">
        <v>11</v>
      </c>
      <c r="AG1179" t="s">
        <v>157</v>
      </c>
      <c r="AI1179">
        <v>18</v>
      </c>
      <c r="AJ1179">
        <v>1</v>
      </c>
      <c r="AK1179" t="s">
        <v>154</v>
      </c>
      <c r="AL1179" t="s">
        <v>77</v>
      </c>
      <c r="AM1179">
        <f t="shared" si="90"/>
        <v>3</v>
      </c>
      <c r="AN1179">
        <f t="shared" si="91"/>
        <v>7</v>
      </c>
      <c r="AO1179" t="str">
        <f t="shared" si="92"/>
        <v/>
      </c>
      <c r="AP1179" t="str">
        <f t="shared" si="93"/>
        <v/>
      </c>
      <c r="AQ1179">
        <f t="shared" si="94"/>
        <v>2011</v>
      </c>
    </row>
    <row r="1180" spans="1:43" x14ac:dyDescent="0.35">
      <c r="A1180">
        <v>571</v>
      </c>
      <c r="B1180">
        <v>30</v>
      </c>
      <c r="C1180" t="s">
        <v>148</v>
      </c>
      <c r="D1180" t="s">
        <v>164</v>
      </c>
      <c r="E1180" t="s">
        <v>4</v>
      </c>
      <c r="F1180" t="s">
        <v>38</v>
      </c>
      <c r="G1180" t="s">
        <v>43</v>
      </c>
      <c r="H1180" t="s">
        <v>81</v>
      </c>
      <c r="I1180" t="s">
        <v>43</v>
      </c>
      <c r="J1180" t="s">
        <v>155</v>
      </c>
      <c r="K1180" t="s">
        <v>44</v>
      </c>
      <c r="L1180" t="s">
        <v>147</v>
      </c>
      <c r="M1180" t="s">
        <v>48</v>
      </c>
      <c r="N1180" t="s">
        <v>95</v>
      </c>
      <c r="P1180" t="s">
        <v>148</v>
      </c>
      <c r="Q1180">
        <v>14</v>
      </c>
      <c r="R1180">
        <v>0</v>
      </c>
      <c r="S1180">
        <v>12</v>
      </c>
      <c r="T1180">
        <v>6</v>
      </c>
      <c r="U1180">
        <v>7</v>
      </c>
      <c r="V1180">
        <v>2</v>
      </c>
      <c r="W1180">
        <v>49</v>
      </c>
      <c r="X1180">
        <v>1116</v>
      </c>
      <c r="Y1180">
        <v>7181</v>
      </c>
      <c r="Z1180">
        <v>2564</v>
      </c>
      <c r="AA1180">
        <v>2</v>
      </c>
      <c r="AB1180" s="29">
        <v>44773</v>
      </c>
      <c r="AC1180" s="29">
        <v>33885</v>
      </c>
      <c r="AD1180" s="29">
        <v>40856</v>
      </c>
      <c r="AE1180" s="29"/>
      <c r="AF1180">
        <v>11</v>
      </c>
      <c r="AG1180" t="s">
        <v>149</v>
      </c>
      <c r="AI1180">
        <v>19</v>
      </c>
      <c r="AJ1180">
        <v>1</v>
      </c>
      <c r="AK1180" t="s">
        <v>154</v>
      </c>
      <c r="AL1180" t="s">
        <v>77</v>
      </c>
      <c r="AM1180">
        <f t="shared" si="90"/>
        <v>4</v>
      </c>
      <c r="AN1180">
        <f t="shared" si="91"/>
        <v>11</v>
      </c>
      <c r="AO1180" t="str">
        <f t="shared" si="92"/>
        <v/>
      </c>
      <c r="AP1180" t="str">
        <f t="shared" si="93"/>
        <v/>
      </c>
      <c r="AQ1180">
        <f t="shared" si="94"/>
        <v>2011</v>
      </c>
    </row>
    <row r="1181" spans="1:43" x14ac:dyDescent="0.35">
      <c r="A1181">
        <v>1805</v>
      </c>
      <c r="B1181">
        <v>38</v>
      </c>
      <c r="C1181" t="s">
        <v>148</v>
      </c>
      <c r="D1181" t="s">
        <v>164</v>
      </c>
      <c r="E1181" t="s">
        <v>168</v>
      </c>
      <c r="F1181" t="s">
        <v>38</v>
      </c>
      <c r="G1181" t="s">
        <v>41</v>
      </c>
      <c r="H1181" t="s">
        <v>82</v>
      </c>
      <c r="I1181" t="s">
        <v>43</v>
      </c>
      <c r="J1181" t="s">
        <v>168</v>
      </c>
      <c r="K1181" t="s">
        <v>42</v>
      </c>
      <c r="L1181" t="s">
        <v>147</v>
      </c>
      <c r="M1181" t="s">
        <v>49</v>
      </c>
      <c r="N1181" t="s">
        <v>96</v>
      </c>
      <c r="O1181" t="s">
        <v>43</v>
      </c>
      <c r="P1181" t="s">
        <v>148</v>
      </c>
      <c r="Q1181">
        <v>13</v>
      </c>
      <c r="R1181">
        <v>5</v>
      </c>
      <c r="S1181">
        <v>13</v>
      </c>
      <c r="T1181">
        <v>3</v>
      </c>
      <c r="U1181">
        <v>8</v>
      </c>
      <c r="V1181">
        <v>2</v>
      </c>
      <c r="W1181">
        <v>100</v>
      </c>
      <c r="X1181">
        <v>1336</v>
      </c>
      <c r="Y1181">
        <v>7129</v>
      </c>
      <c r="Z1181">
        <v>2592</v>
      </c>
      <c r="AA1181">
        <v>3</v>
      </c>
      <c r="AB1181" s="29">
        <v>44773</v>
      </c>
      <c r="AC1181" s="29">
        <v>31037</v>
      </c>
      <c r="AD1181" s="29">
        <v>41054</v>
      </c>
      <c r="AE1181" s="29"/>
      <c r="AF1181">
        <v>10</v>
      </c>
      <c r="AG1181" t="s">
        <v>149</v>
      </c>
      <c r="AI1181">
        <v>28</v>
      </c>
      <c r="AJ1181">
        <v>1</v>
      </c>
      <c r="AK1181" t="s">
        <v>154</v>
      </c>
      <c r="AL1181" t="s">
        <v>77</v>
      </c>
      <c r="AM1181">
        <f t="shared" si="90"/>
        <v>2</v>
      </c>
      <c r="AN1181">
        <f t="shared" si="91"/>
        <v>5</v>
      </c>
      <c r="AO1181" t="str">
        <f t="shared" si="92"/>
        <v/>
      </c>
      <c r="AP1181" t="str">
        <f t="shared" si="93"/>
        <v/>
      </c>
      <c r="AQ1181">
        <f t="shared" si="94"/>
        <v>2012</v>
      </c>
    </row>
    <row r="1182" spans="1:43" x14ac:dyDescent="0.35">
      <c r="A1182">
        <v>1285</v>
      </c>
      <c r="B1182">
        <v>34</v>
      </c>
      <c r="C1182" t="s">
        <v>148</v>
      </c>
      <c r="D1182" t="s">
        <v>151</v>
      </c>
      <c r="E1182" t="s">
        <v>4</v>
      </c>
      <c r="F1182" t="s">
        <v>38</v>
      </c>
      <c r="G1182" t="s">
        <v>43</v>
      </c>
      <c r="H1182" t="s">
        <v>81</v>
      </c>
      <c r="I1182" t="s">
        <v>43</v>
      </c>
      <c r="J1182" t="s">
        <v>155</v>
      </c>
      <c r="K1182" t="s">
        <v>42</v>
      </c>
      <c r="L1182" t="s">
        <v>147</v>
      </c>
      <c r="M1182" t="s">
        <v>50</v>
      </c>
      <c r="N1182" t="s">
        <v>96</v>
      </c>
      <c r="O1182" t="s">
        <v>156</v>
      </c>
      <c r="P1182" t="s">
        <v>148</v>
      </c>
      <c r="Q1182">
        <v>13</v>
      </c>
      <c r="R1182">
        <v>4</v>
      </c>
      <c r="S1182">
        <v>15</v>
      </c>
      <c r="T1182">
        <v>5</v>
      </c>
      <c r="U1182">
        <v>10</v>
      </c>
      <c r="V1182">
        <v>19</v>
      </c>
      <c r="W1182">
        <v>46</v>
      </c>
      <c r="X1182">
        <v>135</v>
      </c>
      <c r="Y1182">
        <v>22534</v>
      </c>
      <c r="Z1182">
        <v>4444</v>
      </c>
      <c r="AA1182">
        <v>2</v>
      </c>
      <c r="AB1182" s="29">
        <v>44773</v>
      </c>
      <c r="AC1182" s="29">
        <v>32403</v>
      </c>
      <c r="AD1182" s="29">
        <v>41076</v>
      </c>
      <c r="AE1182" s="29"/>
      <c r="AF1182">
        <v>10</v>
      </c>
      <c r="AG1182" t="s">
        <v>149</v>
      </c>
      <c r="AI1182">
        <v>24</v>
      </c>
      <c r="AJ1182">
        <v>1</v>
      </c>
      <c r="AK1182" t="s">
        <v>154</v>
      </c>
      <c r="AL1182" t="s">
        <v>77</v>
      </c>
      <c r="AM1182">
        <f t="shared" si="90"/>
        <v>2</v>
      </c>
      <c r="AN1182">
        <f t="shared" si="91"/>
        <v>6</v>
      </c>
      <c r="AO1182" t="str">
        <f t="shared" si="92"/>
        <v/>
      </c>
      <c r="AP1182" t="str">
        <f t="shared" si="93"/>
        <v/>
      </c>
      <c r="AQ1182">
        <f t="shared" si="94"/>
        <v>2012</v>
      </c>
    </row>
    <row r="1183" spans="1:43" x14ac:dyDescent="0.35">
      <c r="A1183">
        <v>1612</v>
      </c>
      <c r="B1183">
        <v>45</v>
      </c>
      <c r="C1183" t="s">
        <v>148</v>
      </c>
      <c r="D1183" t="s">
        <v>164</v>
      </c>
      <c r="E1183" t="s">
        <v>158</v>
      </c>
      <c r="F1183" t="s">
        <v>38</v>
      </c>
      <c r="G1183" t="s">
        <v>41</v>
      </c>
      <c r="H1183" t="s">
        <v>82</v>
      </c>
      <c r="I1183" t="s">
        <v>42</v>
      </c>
      <c r="J1183" t="s">
        <v>159</v>
      </c>
      <c r="K1183" t="s">
        <v>41</v>
      </c>
      <c r="L1183" t="s">
        <v>147</v>
      </c>
      <c r="M1183" t="s">
        <v>49</v>
      </c>
      <c r="N1183" t="s">
        <v>160</v>
      </c>
      <c r="O1183" t="s">
        <v>41</v>
      </c>
      <c r="P1183" t="s">
        <v>148</v>
      </c>
      <c r="Q1183">
        <v>15</v>
      </c>
      <c r="R1183">
        <v>1</v>
      </c>
      <c r="S1183">
        <v>10</v>
      </c>
      <c r="T1183">
        <v>4</v>
      </c>
      <c r="U1183">
        <v>5</v>
      </c>
      <c r="V1183">
        <v>26</v>
      </c>
      <c r="W1183">
        <v>52</v>
      </c>
      <c r="X1183">
        <v>336</v>
      </c>
      <c r="Y1183">
        <v>24162</v>
      </c>
      <c r="Z1183">
        <v>4385</v>
      </c>
      <c r="AA1183">
        <v>2</v>
      </c>
      <c r="AB1183" s="29">
        <v>44773</v>
      </c>
      <c r="AC1183" s="29">
        <v>28648</v>
      </c>
      <c r="AD1183" s="29">
        <v>41169</v>
      </c>
      <c r="AE1183" s="29"/>
      <c r="AF1183">
        <v>10</v>
      </c>
      <c r="AG1183" t="s">
        <v>153</v>
      </c>
      <c r="AI1183">
        <v>35</v>
      </c>
      <c r="AJ1183">
        <v>1</v>
      </c>
      <c r="AK1183" t="s">
        <v>154</v>
      </c>
      <c r="AL1183" t="s">
        <v>77</v>
      </c>
      <c r="AM1183">
        <f t="shared" si="90"/>
        <v>3</v>
      </c>
      <c r="AN1183">
        <f t="shared" si="91"/>
        <v>9</v>
      </c>
      <c r="AO1183" t="str">
        <f t="shared" si="92"/>
        <v/>
      </c>
      <c r="AP1183" t="str">
        <f t="shared" si="93"/>
        <v/>
      </c>
      <c r="AQ1183">
        <f t="shared" si="94"/>
        <v>2012</v>
      </c>
    </row>
    <row r="1184" spans="1:43" x14ac:dyDescent="0.35">
      <c r="A1184">
        <v>710</v>
      </c>
      <c r="B1184">
        <v>29</v>
      </c>
      <c r="C1184" t="s">
        <v>148</v>
      </c>
      <c r="D1184" t="s">
        <v>151</v>
      </c>
      <c r="E1184" t="s">
        <v>4</v>
      </c>
      <c r="F1184" t="s">
        <v>37</v>
      </c>
      <c r="G1184" t="s">
        <v>42</v>
      </c>
      <c r="H1184" t="s">
        <v>82</v>
      </c>
      <c r="I1184" t="s">
        <v>41</v>
      </c>
      <c r="J1184" t="s">
        <v>146</v>
      </c>
      <c r="K1184" t="s">
        <v>44</v>
      </c>
      <c r="L1184" t="s">
        <v>147</v>
      </c>
      <c r="M1184" t="s">
        <v>49</v>
      </c>
      <c r="N1184" t="s">
        <v>96</v>
      </c>
      <c r="O1184" t="s">
        <v>41</v>
      </c>
      <c r="P1184" t="s">
        <v>148</v>
      </c>
      <c r="Q1184">
        <v>18</v>
      </c>
      <c r="R1184">
        <v>1</v>
      </c>
      <c r="S1184">
        <v>10</v>
      </c>
      <c r="T1184">
        <v>2</v>
      </c>
      <c r="U1184">
        <v>8</v>
      </c>
      <c r="V1184">
        <v>1</v>
      </c>
      <c r="W1184">
        <v>76</v>
      </c>
      <c r="X1184">
        <v>806</v>
      </c>
      <c r="Y1184">
        <v>18959</v>
      </c>
      <c r="Z1184">
        <v>2720</v>
      </c>
      <c r="AA1184">
        <v>5</v>
      </c>
      <c r="AB1184" s="29">
        <v>44773</v>
      </c>
      <c r="AC1184" s="29">
        <v>34352</v>
      </c>
      <c r="AD1184" s="29">
        <v>41264</v>
      </c>
      <c r="AE1184" s="29"/>
      <c r="AF1184">
        <v>10</v>
      </c>
      <c r="AG1184" t="s">
        <v>157</v>
      </c>
      <c r="AI1184">
        <v>19</v>
      </c>
      <c r="AJ1184">
        <v>1</v>
      </c>
      <c r="AK1184" t="s">
        <v>154</v>
      </c>
      <c r="AL1184" t="s">
        <v>77</v>
      </c>
      <c r="AM1184">
        <f t="shared" si="90"/>
        <v>4</v>
      </c>
      <c r="AN1184">
        <f t="shared" si="91"/>
        <v>12</v>
      </c>
      <c r="AO1184" t="str">
        <f t="shared" si="92"/>
        <v/>
      </c>
      <c r="AP1184" t="str">
        <f t="shared" si="93"/>
        <v/>
      </c>
      <c r="AQ1184">
        <f t="shared" si="94"/>
        <v>2012</v>
      </c>
    </row>
    <row r="1185" spans="1:43" x14ac:dyDescent="0.35">
      <c r="A1185">
        <v>592</v>
      </c>
      <c r="B1185">
        <v>36</v>
      </c>
      <c r="C1185" t="s">
        <v>148</v>
      </c>
      <c r="D1185" t="s">
        <v>164</v>
      </c>
      <c r="E1185" t="s">
        <v>158</v>
      </c>
      <c r="F1185" t="s">
        <v>37</v>
      </c>
      <c r="G1185" t="s">
        <v>42</v>
      </c>
      <c r="H1185" t="s">
        <v>82</v>
      </c>
      <c r="I1185" t="s">
        <v>43</v>
      </c>
      <c r="J1185" t="s">
        <v>159</v>
      </c>
      <c r="K1185" t="s">
        <v>44</v>
      </c>
      <c r="L1185" t="s">
        <v>147</v>
      </c>
      <c r="M1185" t="s">
        <v>48</v>
      </c>
      <c r="N1185" t="s">
        <v>95</v>
      </c>
      <c r="P1185" t="s">
        <v>148</v>
      </c>
      <c r="Q1185">
        <v>14</v>
      </c>
      <c r="R1185">
        <v>1</v>
      </c>
      <c r="S1185">
        <v>10</v>
      </c>
      <c r="T1185">
        <v>9</v>
      </c>
      <c r="U1185">
        <v>7</v>
      </c>
      <c r="V1185">
        <v>10</v>
      </c>
      <c r="W1185">
        <v>32</v>
      </c>
      <c r="X1185">
        <v>635</v>
      </c>
      <c r="Y1185">
        <v>15318</v>
      </c>
      <c r="Z1185">
        <v>9980</v>
      </c>
      <c r="AA1185">
        <v>3</v>
      </c>
      <c r="AB1185" s="29">
        <v>44773</v>
      </c>
      <c r="AC1185" s="29">
        <v>31832</v>
      </c>
      <c r="AD1185" s="29">
        <v>41275</v>
      </c>
      <c r="AE1185" s="29"/>
      <c r="AF1185">
        <v>10</v>
      </c>
      <c r="AG1185" t="s">
        <v>149</v>
      </c>
      <c r="AI1185">
        <v>26</v>
      </c>
      <c r="AJ1185">
        <v>1</v>
      </c>
      <c r="AK1185" t="s">
        <v>154</v>
      </c>
      <c r="AL1185" t="s">
        <v>77</v>
      </c>
      <c r="AM1185">
        <f t="shared" si="90"/>
        <v>1</v>
      </c>
      <c r="AN1185">
        <f t="shared" si="91"/>
        <v>1</v>
      </c>
      <c r="AO1185" t="str">
        <f t="shared" si="92"/>
        <v/>
      </c>
      <c r="AP1185" t="str">
        <f t="shared" si="93"/>
        <v/>
      </c>
      <c r="AQ1185">
        <f t="shared" si="94"/>
        <v>2013</v>
      </c>
    </row>
    <row r="1186" spans="1:43" x14ac:dyDescent="0.35">
      <c r="A1186">
        <v>772</v>
      </c>
      <c r="B1186">
        <v>32</v>
      </c>
      <c r="C1186" t="s">
        <v>148</v>
      </c>
      <c r="D1186" t="s">
        <v>151</v>
      </c>
      <c r="E1186" t="s">
        <v>4</v>
      </c>
      <c r="F1186" t="s">
        <v>37</v>
      </c>
      <c r="G1186" t="s">
        <v>41</v>
      </c>
      <c r="H1186" t="s">
        <v>82</v>
      </c>
      <c r="I1186" t="s">
        <v>43</v>
      </c>
      <c r="J1186" t="s">
        <v>155</v>
      </c>
      <c r="K1186" t="s">
        <v>44</v>
      </c>
      <c r="L1186" t="s">
        <v>147</v>
      </c>
      <c r="M1186" t="s">
        <v>49</v>
      </c>
      <c r="N1186" t="s">
        <v>160</v>
      </c>
      <c r="O1186" t="s">
        <v>156</v>
      </c>
      <c r="P1186" t="s">
        <v>148</v>
      </c>
      <c r="Q1186">
        <v>15</v>
      </c>
      <c r="R1186">
        <v>1</v>
      </c>
      <c r="S1186">
        <v>10</v>
      </c>
      <c r="T1186">
        <v>4</v>
      </c>
      <c r="U1186">
        <v>7</v>
      </c>
      <c r="V1186">
        <v>24</v>
      </c>
      <c r="W1186">
        <v>80</v>
      </c>
      <c r="X1186">
        <v>430</v>
      </c>
      <c r="Y1186">
        <v>21146</v>
      </c>
      <c r="Z1186">
        <v>5309</v>
      </c>
      <c r="AA1186">
        <v>2</v>
      </c>
      <c r="AB1186" s="29">
        <v>44773</v>
      </c>
      <c r="AC1186" s="29">
        <v>33287</v>
      </c>
      <c r="AD1186" s="29">
        <v>41289</v>
      </c>
      <c r="AE1186" s="29"/>
      <c r="AF1186">
        <v>10</v>
      </c>
      <c r="AG1186" t="s">
        <v>149</v>
      </c>
      <c r="AI1186">
        <v>22</v>
      </c>
      <c r="AJ1186">
        <v>1</v>
      </c>
      <c r="AK1186" t="s">
        <v>154</v>
      </c>
      <c r="AL1186" t="s">
        <v>77</v>
      </c>
      <c r="AM1186">
        <f t="shared" si="90"/>
        <v>1</v>
      </c>
      <c r="AN1186">
        <f t="shared" si="91"/>
        <v>1</v>
      </c>
      <c r="AO1186" t="str">
        <f t="shared" si="92"/>
        <v/>
      </c>
      <c r="AP1186" t="str">
        <f t="shared" si="93"/>
        <v/>
      </c>
      <c r="AQ1186">
        <f t="shared" si="94"/>
        <v>2013</v>
      </c>
    </row>
    <row r="1187" spans="1:43" x14ac:dyDescent="0.35">
      <c r="A1187">
        <v>1985</v>
      </c>
      <c r="B1187">
        <v>40</v>
      </c>
      <c r="C1187" t="s">
        <v>148</v>
      </c>
      <c r="D1187" t="s">
        <v>151</v>
      </c>
      <c r="E1187" t="s">
        <v>4</v>
      </c>
      <c r="F1187" t="s">
        <v>38</v>
      </c>
      <c r="G1187" t="s">
        <v>44</v>
      </c>
      <c r="H1187" t="s">
        <v>81</v>
      </c>
      <c r="I1187" t="s">
        <v>43</v>
      </c>
      <c r="J1187" t="s">
        <v>155</v>
      </c>
      <c r="K1187" t="s">
        <v>43</v>
      </c>
      <c r="L1187" t="s">
        <v>147</v>
      </c>
      <c r="M1187" t="s">
        <v>50</v>
      </c>
      <c r="N1187" t="s">
        <v>160</v>
      </c>
      <c r="O1187" t="s">
        <v>41</v>
      </c>
      <c r="P1187" t="s">
        <v>148</v>
      </c>
      <c r="Q1187">
        <v>11</v>
      </c>
      <c r="R1187">
        <v>1</v>
      </c>
      <c r="S1187">
        <v>10</v>
      </c>
      <c r="T1187">
        <v>9</v>
      </c>
      <c r="U1187">
        <v>4</v>
      </c>
      <c r="V1187">
        <v>11</v>
      </c>
      <c r="W1187">
        <v>73</v>
      </c>
      <c r="X1187">
        <v>692</v>
      </c>
      <c r="Y1187">
        <v>26849</v>
      </c>
      <c r="Z1187">
        <v>6323</v>
      </c>
      <c r="AA1187">
        <v>2</v>
      </c>
      <c r="AB1187" s="29">
        <v>44773</v>
      </c>
      <c r="AC1187" s="29">
        <v>30396</v>
      </c>
      <c r="AD1187" s="29">
        <v>41295</v>
      </c>
      <c r="AE1187" s="29"/>
      <c r="AF1187">
        <v>10</v>
      </c>
      <c r="AG1187" t="s">
        <v>153</v>
      </c>
      <c r="AI1187">
        <v>30</v>
      </c>
      <c r="AJ1187">
        <v>1</v>
      </c>
      <c r="AK1187" t="s">
        <v>154</v>
      </c>
      <c r="AL1187" t="s">
        <v>78</v>
      </c>
      <c r="AM1187">
        <f t="shared" si="90"/>
        <v>1</v>
      </c>
      <c r="AN1187">
        <f t="shared" si="91"/>
        <v>1</v>
      </c>
      <c r="AO1187" t="str">
        <f t="shared" si="92"/>
        <v/>
      </c>
      <c r="AP1187" t="str">
        <f t="shared" si="93"/>
        <v/>
      </c>
      <c r="AQ1187">
        <f t="shared" si="94"/>
        <v>2013</v>
      </c>
    </row>
    <row r="1188" spans="1:43" x14ac:dyDescent="0.35">
      <c r="A1188">
        <v>428</v>
      </c>
      <c r="B1188">
        <v>33</v>
      </c>
      <c r="C1188" t="s">
        <v>148</v>
      </c>
      <c r="D1188" t="s">
        <v>151</v>
      </c>
      <c r="E1188" t="s">
        <v>4</v>
      </c>
      <c r="F1188" t="s">
        <v>37</v>
      </c>
      <c r="G1188" t="s">
        <v>44</v>
      </c>
      <c r="H1188" t="s">
        <v>81</v>
      </c>
      <c r="I1188" t="s">
        <v>43</v>
      </c>
      <c r="J1188" t="s">
        <v>169</v>
      </c>
      <c r="K1188" t="s">
        <v>42</v>
      </c>
      <c r="L1188" t="s">
        <v>147</v>
      </c>
      <c r="M1188" t="s">
        <v>49</v>
      </c>
      <c r="N1188" t="s">
        <v>160</v>
      </c>
      <c r="O1188" t="s">
        <v>156</v>
      </c>
      <c r="P1188" t="s">
        <v>148</v>
      </c>
      <c r="Q1188">
        <v>11</v>
      </c>
      <c r="R1188">
        <v>6</v>
      </c>
      <c r="S1188">
        <v>12</v>
      </c>
      <c r="T1188">
        <v>8</v>
      </c>
      <c r="U1188">
        <v>8</v>
      </c>
      <c r="V1188">
        <v>5</v>
      </c>
      <c r="W1188">
        <v>74</v>
      </c>
      <c r="X1188">
        <v>553</v>
      </c>
      <c r="Y1188">
        <v>23364</v>
      </c>
      <c r="Z1188">
        <v>11878</v>
      </c>
      <c r="AA1188">
        <v>2</v>
      </c>
      <c r="AB1188" s="29">
        <v>44773</v>
      </c>
      <c r="AC1188" s="29">
        <v>32758</v>
      </c>
      <c r="AD1188" s="29">
        <v>41308</v>
      </c>
      <c r="AE1188" s="29"/>
      <c r="AF1188">
        <v>9</v>
      </c>
      <c r="AG1188" t="s">
        <v>149</v>
      </c>
      <c r="AI1188">
        <v>24</v>
      </c>
      <c r="AJ1188">
        <v>1</v>
      </c>
      <c r="AK1188" t="s">
        <v>150</v>
      </c>
      <c r="AL1188" t="s">
        <v>77</v>
      </c>
      <c r="AM1188">
        <f t="shared" si="90"/>
        <v>1</v>
      </c>
      <c r="AN1188">
        <f t="shared" si="91"/>
        <v>2</v>
      </c>
      <c r="AO1188" t="str">
        <f t="shared" si="92"/>
        <v/>
      </c>
      <c r="AP1188" t="str">
        <f t="shared" si="93"/>
        <v/>
      </c>
      <c r="AQ1188">
        <f t="shared" si="94"/>
        <v>2013</v>
      </c>
    </row>
    <row r="1189" spans="1:43" x14ac:dyDescent="0.35">
      <c r="A1189">
        <v>79</v>
      </c>
      <c r="B1189">
        <v>38</v>
      </c>
      <c r="C1189" t="s">
        <v>148</v>
      </c>
      <c r="D1189" t="s">
        <v>151</v>
      </c>
      <c r="E1189" t="s">
        <v>4</v>
      </c>
      <c r="F1189" t="s">
        <v>34</v>
      </c>
      <c r="G1189" t="s">
        <v>44</v>
      </c>
      <c r="H1189" t="s">
        <v>81</v>
      </c>
      <c r="I1189" t="s">
        <v>43</v>
      </c>
      <c r="J1189" t="s">
        <v>155</v>
      </c>
      <c r="K1189" t="s">
        <v>44</v>
      </c>
      <c r="L1189" t="s">
        <v>147</v>
      </c>
      <c r="M1189" t="s">
        <v>49</v>
      </c>
      <c r="N1189" t="s">
        <v>95</v>
      </c>
      <c r="P1189" t="s">
        <v>148</v>
      </c>
      <c r="Q1189">
        <v>11</v>
      </c>
      <c r="R1189">
        <v>1</v>
      </c>
      <c r="S1189">
        <v>10</v>
      </c>
      <c r="T1189">
        <v>9</v>
      </c>
      <c r="U1189">
        <v>9</v>
      </c>
      <c r="V1189">
        <v>29</v>
      </c>
      <c r="W1189">
        <v>50</v>
      </c>
      <c r="X1189">
        <v>653</v>
      </c>
      <c r="Y1189">
        <v>5456</v>
      </c>
      <c r="Z1189">
        <v>2406</v>
      </c>
      <c r="AA1189">
        <v>2</v>
      </c>
      <c r="AB1189" s="29">
        <v>44773</v>
      </c>
      <c r="AC1189" s="29">
        <v>30982</v>
      </c>
      <c r="AD1189" s="29">
        <v>41372</v>
      </c>
      <c r="AE1189" s="29"/>
      <c r="AF1189">
        <v>9</v>
      </c>
      <c r="AG1189" t="s">
        <v>149</v>
      </c>
      <c r="AI1189">
        <v>29</v>
      </c>
      <c r="AJ1189">
        <v>2</v>
      </c>
      <c r="AK1189" t="s">
        <v>150</v>
      </c>
      <c r="AL1189" t="s">
        <v>77</v>
      </c>
      <c r="AM1189">
        <f t="shared" si="90"/>
        <v>2</v>
      </c>
      <c r="AN1189">
        <f t="shared" si="91"/>
        <v>4</v>
      </c>
      <c r="AO1189" t="str">
        <f t="shared" si="92"/>
        <v/>
      </c>
      <c r="AP1189" t="str">
        <f t="shared" si="93"/>
        <v/>
      </c>
      <c r="AQ1189">
        <f t="shared" si="94"/>
        <v>2013</v>
      </c>
    </row>
    <row r="1190" spans="1:43" x14ac:dyDescent="0.35">
      <c r="A1190">
        <v>992</v>
      </c>
      <c r="B1190">
        <v>33</v>
      </c>
      <c r="C1190" t="s">
        <v>148</v>
      </c>
      <c r="D1190" t="s">
        <v>164</v>
      </c>
      <c r="E1190" t="s">
        <v>158</v>
      </c>
      <c r="F1190" t="s">
        <v>38</v>
      </c>
      <c r="G1190" t="s">
        <v>44</v>
      </c>
      <c r="H1190" t="s">
        <v>82</v>
      </c>
      <c r="I1190" t="s">
        <v>43</v>
      </c>
      <c r="J1190" t="s">
        <v>169</v>
      </c>
      <c r="K1190" t="s">
        <v>43</v>
      </c>
      <c r="L1190" t="s">
        <v>147</v>
      </c>
      <c r="M1190" t="s">
        <v>49</v>
      </c>
      <c r="N1190" t="s">
        <v>95</v>
      </c>
      <c r="P1190" t="s">
        <v>148</v>
      </c>
      <c r="Q1190">
        <v>11</v>
      </c>
      <c r="R1190">
        <v>1</v>
      </c>
      <c r="S1190">
        <v>10</v>
      </c>
      <c r="T1190">
        <v>6</v>
      </c>
      <c r="U1190">
        <v>0</v>
      </c>
      <c r="V1190">
        <v>17</v>
      </c>
      <c r="W1190">
        <v>38</v>
      </c>
      <c r="X1190">
        <v>722</v>
      </c>
      <c r="Y1190">
        <v>20489</v>
      </c>
      <c r="Z1190">
        <v>17444</v>
      </c>
      <c r="AA1190">
        <v>2</v>
      </c>
      <c r="AB1190" s="29">
        <v>44773</v>
      </c>
      <c r="AC1190" s="29">
        <v>32784</v>
      </c>
      <c r="AD1190" s="29">
        <v>41419</v>
      </c>
      <c r="AE1190" s="29"/>
      <c r="AF1190">
        <v>9</v>
      </c>
      <c r="AG1190" t="s">
        <v>149</v>
      </c>
      <c r="AI1190">
        <v>24</v>
      </c>
      <c r="AJ1190">
        <v>1</v>
      </c>
      <c r="AK1190" t="s">
        <v>150</v>
      </c>
      <c r="AL1190" t="s">
        <v>77</v>
      </c>
      <c r="AM1190">
        <f t="shared" si="90"/>
        <v>2</v>
      </c>
      <c r="AN1190">
        <f t="shared" si="91"/>
        <v>5</v>
      </c>
      <c r="AO1190" t="str">
        <f t="shared" si="92"/>
        <v/>
      </c>
      <c r="AP1190" t="str">
        <f t="shared" si="93"/>
        <v/>
      </c>
      <c r="AQ1190">
        <f t="shared" si="94"/>
        <v>2013</v>
      </c>
    </row>
    <row r="1191" spans="1:43" x14ac:dyDescent="0.35">
      <c r="A1191">
        <v>1324</v>
      </c>
      <c r="B1191">
        <v>31</v>
      </c>
      <c r="C1191" t="s">
        <v>148</v>
      </c>
      <c r="D1191" t="s">
        <v>164</v>
      </c>
      <c r="E1191" t="s">
        <v>158</v>
      </c>
      <c r="F1191" t="s">
        <v>37</v>
      </c>
      <c r="G1191" t="s">
        <v>44</v>
      </c>
      <c r="H1191" t="s">
        <v>81</v>
      </c>
      <c r="I1191" t="s">
        <v>43</v>
      </c>
      <c r="J1191" t="s">
        <v>159</v>
      </c>
      <c r="K1191" t="s">
        <v>43</v>
      </c>
      <c r="L1191" t="s">
        <v>147</v>
      </c>
      <c r="M1191" t="s">
        <v>48</v>
      </c>
      <c r="N1191" t="s">
        <v>96</v>
      </c>
      <c r="O1191" t="s">
        <v>41</v>
      </c>
      <c r="P1191" t="s">
        <v>144</v>
      </c>
      <c r="Q1191">
        <v>19</v>
      </c>
      <c r="R1191">
        <v>1</v>
      </c>
      <c r="S1191">
        <v>10</v>
      </c>
      <c r="T1191">
        <v>9</v>
      </c>
      <c r="U1191">
        <v>6</v>
      </c>
      <c r="V1191">
        <v>2</v>
      </c>
      <c r="W1191">
        <v>57</v>
      </c>
      <c r="X1191">
        <v>587</v>
      </c>
      <c r="Y1191">
        <v>8935</v>
      </c>
      <c r="Z1191">
        <v>9852</v>
      </c>
      <c r="AA1191">
        <v>5</v>
      </c>
      <c r="AB1191" s="29">
        <v>44773</v>
      </c>
      <c r="AC1191" s="29">
        <v>33677</v>
      </c>
      <c r="AD1191" s="29">
        <v>41441</v>
      </c>
      <c r="AE1191" s="29"/>
      <c r="AF1191">
        <v>9</v>
      </c>
      <c r="AG1191" t="s">
        <v>149</v>
      </c>
      <c r="AI1191">
        <v>22</v>
      </c>
      <c r="AJ1191">
        <v>1</v>
      </c>
      <c r="AK1191" t="s">
        <v>150</v>
      </c>
      <c r="AL1191" t="s">
        <v>77</v>
      </c>
      <c r="AM1191">
        <f t="shared" si="90"/>
        <v>2</v>
      </c>
      <c r="AN1191">
        <f t="shared" si="91"/>
        <v>6</v>
      </c>
      <c r="AO1191" t="str">
        <f t="shared" si="92"/>
        <v/>
      </c>
      <c r="AP1191" t="str">
        <f t="shared" si="93"/>
        <v/>
      </c>
      <c r="AQ1191">
        <f t="shared" si="94"/>
        <v>2013</v>
      </c>
    </row>
    <row r="1192" spans="1:43" x14ac:dyDescent="0.35">
      <c r="A1192">
        <v>1315</v>
      </c>
      <c r="B1192">
        <v>28</v>
      </c>
      <c r="C1192" t="s">
        <v>148</v>
      </c>
      <c r="D1192" t="s">
        <v>164</v>
      </c>
      <c r="E1192" t="s">
        <v>4</v>
      </c>
      <c r="F1192" t="s">
        <v>38</v>
      </c>
      <c r="G1192" t="s">
        <v>43</v>
      </c>
      <c r="H1192" t="s">
        <v>81</v>
      </c>
      <c r="I1192" t="s">
        <v>41</v>
      </c>
      <c r="J1192" t="s">
        <v>155</v>
      </c>
      <c r="K1192" t="s">
        <v>44</v>
      </c>
      <c r="L1192" t="s">
        <v>147</v>
      </c>
      <c r="M1192" t="s">
        <v>49</v>
      </c>
      <c r="N1192" t="s">
        <v>160</v>
      </c>
      <c r="O1192" t="s">
        <v>43</v>
      </c>
      <c r="P1192" t="s">
        <v>148</v>
      </c>
      <c r="Q1192">
        <v>11</v>
      </c>
      <c r="R1192">
        <v>0</v>
      </c>
      <c r="S1192">
        <v>10</v>
      </c>
      <c r="T1192">
        <v>7</v>
      </c>
      <c r="U1192">
        <v>5</v>
      </c>
      <c r="V1192">
        <v>1</v>
      </c>
      <c r="W1192">
        <v>55</v>
      </c>
      <c r="X1192">
        <v>1476</v>
      </c>
      <c r="Y1192">
        <v>16392</v>
      </c>
      <c r="Z1192">
        <v>6674</v>
      </c>
      <c r="AA1192">
        <v>6</v>
      </c>
      <c r="AB1192" s="29">
        <v>44773</v>
      </c>
      <c r="AC1192" s="29">
        <v>34840</v>
      </c>
      <c r="AD1192" s="29">
        <v>41504</v>
      </c>
      <c r="AE1192" s="29"/>
      <c r="AF1192">
        <v>9</v>
      </c>
      <c r="AG1192" t="s">
        <v>157</v>
      </c>
      <c r="AI1192">
        <v>19</v>
      </c>
      <c r="AJ1192">
        <v>1</v>
      </c>
      <c r="AK1192" t="s">
        <v>150</v>
      </c>
      <c r="AL1192" t="s">
        <v>77</v>
      </c>
      <c r="AM1192">
        <f t="shared" si="90"/>
        <v>3</v>
      </c>
      <c r="AN1192">
        <f t="shared" si="91"/>
        <v>8</v>
      </c>
      <c r="AO1192" t="str">
        <f t="shared" si="92"/>
        <v/>
      </c>
      <c r="AP1192" t="str">
        <f t="shared" si="93"/>
        <v/>
      </c>
      <c r="AQ1192">
        <f t="shared" si="94"/>
        <v>2013</v>
      </c>
    </row>
    <row r="1193" spans="1:43" x14ac:dyDescent="0.35">
      <c r="A1193">
        <v>1468</v>
      </c>
      <c r="B1193">
        <v>40</v>
      </c>
      <c r="C1193" t="s">
        <v>148</v>
      </c>
      <c r="D1193" t="s">
        <v>164</v>
      </c>
      <c r="E1193" t="s">
        <v>4</v>
      </c>
      <c r="F1193" t="s">
        <v>35</v>
      </c>
      <c r="G1193" t="s">
        <v>44</v>
      </c>
      <c r="H1193" t="s">
        <v>82</v>
      </c>
      <c r="I1193" t="s">
        <v>42</v>
      </c>
      <c r="J1193" t="s">
        <v>173</v>
      </c>
      <c r="K1193" t="s">
        <v>42</v>
      </c>
      <c r="L1193" t="s">
        <v>147</v>
      </c>
      <c r="M1193" t="s">
        <v>49</v>
      </c>
      <c r="N1193" t="s">
        <v>96</v>
      </c>
      <c r="O1193" t="s">
        <v>41</v>
      </c>
      <c r="P1193" t="s">
        <v>148</v>
      </c>
      <c r="Q1193">
        <v>11</v>
      </c>
      <c r="R1193">
        <v>2</v>
      </c>
      <c r="S1193">
        <v>16</v>
      </c>
      <c r="T1193">
        <v>4</v>
      </c>
      <c r="U1193">
        <v>8</v>
      </c>
      <c r="V1193">
        <v>8</v>
      </c>
      <c r="W1193">
        <v>55</v>
      </c>
      <c r="X1193">
        <v>218</v>
      </c>
      <c r="Y1193">
        <v>25178</v>
      </c>
      <c r="Z1193">
        <v>13757</v>
      </c>
      <c r="AA1193">
        <v>5</v>
      </c>
      <c r="AB1193" s="29">
        <v>44773</v>
      </c>
      <c r="AC1193" s="29">
        <v>30373</v>
      </c>
      <c r="AD1193" s="29">
        <v>41533</v>
      </c>
      <c r="AE1193" s="29"/>
      <c r="AF1193">
        <v>9</v>
      </c>
      <c r="AG1193" t="s">
        <v>153</v>
      </c>
      <c r="AI1193">
        <v>31</v>
      </c>
      <c r="AJ1193">
        <v>1</v>
      </c>
      <c r="AK1193" t="s">
        <v>150</v>
      </c>
      <c r="AL1193" t="s">
        <v>77</v>
      </c>
      <c r="AM1193">
        <f t="shared" si="90"/>
        <v>3</v>
      </c>
      <c r="AN1193">
        <f t="shared" si="91"/>
        <v>9</v>
      </c>
      <c r="AO1193" t="str">
        <f t="shared" si="92"/>
        <v/>
      </c>
      <c r="AP1193" t="str">
        <f t="shared" si="93"/>
        <v/>
      </c>
      <c r="AQ1193">
        <f t="shared" si="94"/>
        <v>2013</v>
      </c>
    </row>
    <row r="1194" spans="1:43" x14ac:dyDescent="0.35">
      <c r="A1194">
        <v>154</v>
      </c>
      <c r="B1194">
        <v>36</v>
      </c>
      <c r="C1194" t="s">
        <v>148</v>
      </c>
      <c r="D1194" t="s">
        <v>151</v>
      </c>
      <c r="E1194" t="s">
        <v>158</v>
      </c>
      <c r="F1194" t="s">
        <v>36</v>
      </c>
      <c r="G1194" t="s">
        <v>42</v>
      </c>
      <c r="H1194" t="s">
        <v>81</v>
      </c>
      <c r="I1194" t="s">
        <v>43</v>
      </c>
      <c r="J1194" t="s">
        <v>159</v>
      </c>
      <c r="K1194" t="s">
        <v>44</v>
      </c>
      <c r="L1194" t="s">
        <v>147</v>
      </c>
      <c r="M1194" t="s">
        <v>49</v>
      </c>
      <c r="N1194" t="s">
        <v>160</v>
      </c>
      <c r="O1194" t="s">
        <v>41</v>
      </c>
      <c r="P1194" t="s">
        <v>148</v>
      </c>
      <c r="Q1194">
        <v>14</v>
      </c>
      <c r="R1194">
        <v>0</v>
      </c>
      <c r="S1194">
        <v>10</v>
      </c>
      <c r="T1194">
        <v>2</v>
      </c>
      <c r="U1194">
        <v>8</v>
      </c>
      <c r="V1194">
        <v>11</v>
      </c>
      <c r="W1194">
        <v>92</v>
      </c>
      <c r="X1194">
        <v>1467</v>
      </c>
      <c r="Y1194">
        <v>22952</v>
      </c>
      <c r="Z1194">
        <v>9738</v>
      </c>
      <c r="AA1194">
        <v>6</v>
      </c>
      <c r="AB1194" s="29">
        <v>44773</v>
      </c>
      <c r="AC1194" s="29">
        <v>31845</v>
      </c>
      <c r="AD1194" s="29">
        <v>41567</v>
      </c>
      <c r="AE1194" s="29"/>
      <c r="AF1194">
        <v>9</v>
      </c>
      <c r="AG1194" t="s">
        <v>149</v>
      </c>
      <c r="AI1194">
        <v>27</v>
      </c>
      <c r="AJ1194">
        <v>2</v>
      </c>
      <c r="AK1194" t="s">
        <v>150</v>
      </c>
      <c r="AL1194" t="s">
        <v>77</v>
      </c>
      <c r="AM1194">
        <f t="shared" si="90"/>
        <v>4</v>
      </c>
      <c r="AN1194">
        <f t="shared" si="91"/>
        <v>10</v>
      </c>
      <c r="AO1194" t="str">
        <f t="shared" si="92"/>
        <v/>
      </c>
      <c r="AP1194" t="str">
        <f t="shared" si="93"/>
        <v/>
      </c>
      <c r="AQ1194">
        <f t="shared" si="94"/>
        <v>2013</v>
      </c>
    </row>
    <row r="1195" spans="1:43" x14ac:dyDescent="0.35">
      <c r="A1195">
        <v>207</v>
      </c>
      <c r="B1195">
        <v>32</v>
      </c>
      <c r="C1195" t="s">
        <v>148</v>
      </c>
      <c r="D1195" t="s">
        <v>151</v>
      </c>
      <c r="E1195" t="s">
        <v>158</v>
      </c>
      <c r="F1195" t="s">
        <v>38</v>
      </c>
      <c r="G1195" t="s">
        <v>42</v>
      </c>
      <c r="H1195" t="s">
        <v>81</v>
      </c>
      <c r="I1195" t="s">
        <v>43</v>
      </c>
      <c r="J1195" t="s">
        <v>159</v>
      </c>
      <c r="K1195" t="s">
        <v>44</v>
      </c>
      <c r="L1195" t="s">
        <v>147</v>
      </c>
      <c r="M1195" t="s">
        <v>49</v>
      </c>
      <c r="N1195" t="s">
        <v>95</v>
      </c>
      <c r="P1195" t="s">
        <v>148</v>
      </c>
      <c r="Q1195">
        <v>14</v>
      </c>
      <c r="R1195">
        <v>1</v>
      </c>
      <c r="S1195">
        <v>9</v>
      </c>
      <c r="T1195">
        <v>3</v>
      </c>
      <c r="U1195">
        <v>7</v>
      </c>
      <c r="V1195">
        <v>8</v>
      </c>
      <c r="W1195">
        <v>43</v>
      </c>
      <c r="X1195">
        <v>967</v>
      </c>
      <c r="Y1195">
        <v>15589</v>
      </c>
      <c r="Z1195">
        <v>8998</v>
      </c>
      <c r="AA1195">
        <v>2</v>
      </c>
      <c r="AB1195" s="29">
        <v>44773</v>
      </c>
      <c r="AC1195" s="29">
        <v>33190</v>
      </c>
      <c r="AD1195" s="29">
        <v>41581</v>
      </c>
      <c r="AE1195" s="29"/>
      <c r="AF1195">
        <v>9</v>
      </c>
      <c r="AG1195" t="s">
        <v>149</v>
      </c>
      <c r="AI1195">
        <v>23</v>
      </c>
      <c r="AJ1195">
        <v>1</v>
      </c>
      <c r="AK1195" t="s">
        <v>150</v>
      </c>
      <c r="AL1195" t="s">
        <v>78</v>
      </c>
      <c r="AM1195">
        <f t="shared" si="90"/>
        <v>4</v>
      </c>
      <c r="AN1195">
        <f t="shared" si="91"/>
        <v>11</v>
      </c>
      <c r="AO1195" t="str">
        <f t="shared" si="92"/>
        <v/>
      </c>
      <c r="AP1195" t="str">
        <f t="shared" si="93"/>
        <v/>
      </c>
      <c r="AQ1195">
        <f t="shared" si="94"/>
        <v>2013</v>
      </c>
    </row>
    <row r="1196" spans="1:43" x14ac:dyDescent="0.35">
      <c r="A1196">
        <v>1615</v>
      </c>
      <c r="B1196">
        <v>34</v>
      </c>
      <c r="C1196" t="s">
        <v>148</v>
      </c>
      <c r="D1196" t="s">
        <v>151</v>
      </c>
      <c r="E1196" t="s">
        <v>4</v>
      </c>
      <c r="F1196" t="s">
        <v>37</v>
      </c>
      <c r="G1196" t="s">
        <v>43</v>
      </c>
      <c r="H1196" t="s">
        <v>82</v>
      </c>
      <c r="I1196" t="s">
        <v>44</v>
      </c>
      <c r="J1196" t="s">
        <v>165</v>
      </c>
      <c r="K1196" t="s">
        <v>44</v>
      </c>
      <c r="L1196" t="s">
        <v>147</v>
      </c>
      <c r="M1196" t="s">
        <v>49</v>
      </c>
      <c r="N1196" t="s">
        <v>96</v>
      </c>
      <c r="O1196" t="s">
        <v>41</v>
      </c>
      <c r="P1196" t="s">
        <v>148</v>
      </c>
      <c r="Q1196">
        <v>13</v>
      </c>
      <c r="R1196">
        <v>1</v>
      </c>
      <c r="S1196">
        <v>9</v>
      </c>
      <c r="T1196">
        <v>7</v>
      </c>
      <c r="U1196">
        <v>2</v>
      </c>
      <c r="V1196">
        <v>10</v>
      </c>
      <c r="W1196">
        <v>42</v>
      </c>
      <c r="X1196">
        <v>426</v>
      </c>
      <c r="Y1196">
        <v>17000</v>
      </c>
      <c r="Z1196">
        <v>4724</v>
      </c>
      <c r="AA1196">
        <v>3</v>
      </c>
      <c r="AB1196" s="29">
        <v>44773</v>
      </c>
      <c r="AC1196" s="29">
        <v>32640</v>
      </c>
      <c r="AD1196" s="29">
        <v>41618</v>
      </c>
      <c r="AE1196" s="29"/>
      <c r="AF1196">
        <v>9</v>
      </c>
      <c r="AG1196" t="s">
        <v>149</v>
      </c>
      <c r="AI1196">
        <v>25</v>
      </c>
      <c r="AJ1196">
        <v>1</v>
      </c>
      <c r="AK1196" t="s">
        <v>150</v>
      </c>
      <c r="AL1196" t="s">
        <v>77</v>
      </c>
      <c r="AM1196">
        <f t="shared" si="90"/>
        <v>4</v>
      </c>
      <c r="AN1196">
        <f t="shared" si="91"/>
        <v>12</v>
      </c>
      <c r="AO1196" t="str">
        <f t="shared" si="92"/>
        <v/>
      </c>
      <c r="AP1196" t="str">
        <f t="shared" si="93"/>
        <v/>
      </c>
      <c r="AQ1196">
        <f t="shared" si="94"/>
        <v>2013</v>
      </c>
    </row>
    <row r="1197" spans="1:43" x14ac:dyDescent="0.35">
      <c r="A1197">
        <v>1633</v>
      </c>
      <c r="B1197">
        <v>39</v>
      </c>
      <c r="C1197" t="s">
        <v>148</v>
      </c>
      <c r="D1197" t="s">
        <v>151</v>
      </c>
      <c r="E1197" t="s">
        <v>4</v>
      </c>
      <c r="F1197" t="s">
        <v>38</v>
      </c>
      <c r="G1197" t="s">
        <v>41</v>
      </c>
      <c r="H1197" t="s">
        <v>81</v>
      </c>
      <c r="I1197" t="s">
        <v>43</v>
      </c>
      <c r="J1197" t="s">
        <v>165</v>
      </c>
      <c r="K1197" t="s">
        <v>43</v>
      </c>
      <c r="L1197" t="s">
        <v>147</v>
      </c>
      <c r="M1197" t="s">
        <v>47</v>
      </c>
      <c r="N1197" t="s">
        <v>95</v>
      </c>
      <c r="P1197" t="s">
        <v>148</v>
      </c>
      <c r="Q1197">
        <v>13</v>
      </c>
      <c r="R1197">
        <v>0</v>
      </c>
      <c r="S1197">
        <v>10</v>
      </c>
      <c r="T1197">
        <v>3</v>
      </c>
      <c r="U1197">
        <v>8</v>
      </c>
      <c r="V1197">
        <v>4</v>
      </c>
      <c r="W1197">
        <v>81</v>
      </c>
      <c r="X1197">
        <v>711</v>
      </c>
      <c r="Y1197">
        <v>3140</v>
      </c>
      <c r="Z1197">
        <v>5042</v>
      </c>
      <c r="AA1197">
        <v>2</v>
      </c>
      <c r="AB1197" s="29">
        <v>44773</v>
      </c>
      <c r="AC1197" s="29">
        <v>30754</v>
      </c>
      <c r="AD1197" s="29">
        <v>41659</v>
      </c>
      <c r="AE1197" s="29"/>
      <c r="AF1197">
        <v>9</v>
      </c>
      <c r="AG1197" t="s">
        <v>149</v>
      </c>
      <c r="AI1197">
        <v>30</v>
      </c>
      <c r="AJ1197">
        <v>2</v>
      </c>
      <c r="AK1197" t="s">
        <v>150</v>
      </c>
      <c r="AL1197" t="s">
        <v>77</v>
      </c>
      <c r="AM1197">
        <f t="shared" si="90"/>
        <v>1</v>
      </c>
      <c r="AN1197">
        <f t="shared" si="91"/>
        <v>1</v>
      </c>
      <c r="AO1197" t="str">
        <f t="shared" si="92"/>
        <v/>
      </c>
      <c r="AP1197" t="str">
        <f t="shared" si="93"/>
        <v/>
      </c>
      <c r="AQ1197">
        <f t="shared" si="94"/>
        <v>2014</v>
      </c>
    </row>
    <row r="1198" spans="1:43" x14ac:dyDescent="0.35">
      <c r="A1198">
        <v>626</v>
      </c>
      <c r="B1198">
        <v>37</v>
      </c>
      <c r="C1198" t="s">
        <v>148</v>
      </c>
      <c r="D1198" t="s">
        <v>164</v>
      </c>
      <c r="E1198" t="s">
        <v>158</v>
      </c>
      <c r="F1198" t="s">
        <v>37</v>
      </c>
      <c r="G1198" t="s">
        <v>41</v>
      </c>
      <c r="H1198" t="s">
        <v>82</v>
      </c>
      <c r="I1198" t="s">
        <v>43</v>
      </c>
      <c r="J1198" t="s">
        <v>159</v>
      </c>
      <c r="K1198" t="s">
        <v>42</v>
      </c>
      <c r="L1198" t="s">
        <v>147</v>
      </c>
      <c r="M1198" t="s">
        <v>49</v>
      </c>
      <c r="N1198" t="s">
        <v>96</v>
      </c>
      <c r="O1198" t="s">
        <v>41</v>
      </c>
      <c r="P1198" t="s">
        <v>148</v>
      </c>
      <c r="Q1198">
        <v>13</v>
      </c>
      <c r="R1198">
        <v>1</v>
      </c>
      <c r="S1198">
        <v>9</v>
      </c>
      <c r="T1198">
        <v>7</v>
      </c>
      <c r="U1198">
        <v>7</v>
      </c>
      <c r="V1198">
        <v>9</v>
      </c>
      <c r="W1198">
        <v>69</v>
      </c>
      <c r="X1198">
        <v>142</v>
      </c>
      <c r="Y1198">
        <v>24666</v>
      </c>
      <c r="Z1198">
        <v>8834</v>
      </c>
      <c r="AA1198">
        <v>6</v>
      </c>
      <c r="AB1198" s="29">
        <v>44773</v>
      </c>
      <c r="AC1198" s="29">
        <v>31442</v>
      </c>
      <c r="AD1198" s="29">
        <v>41667</v>
      </c>
      <c r="AE1198" s="29"/>
      <c r="AF1198">
        <v>9</v>
      </c>
      <c r="AG1198" t="s">
        <v>149</v>
      </c>
      <c r="AI1198">
        <v>28</v>
      </c>
      <c r="AJ1198">
        <v>1</v>
      </c>
      <c r="AK1198" t="s">
        <v>150</v>
      </c>
      <c r="AL1198" t="s">
        <v>77</v>
      </c>
      <c r="AM1198">
        <f t="shared" si="90"/>
        <v>1</v>
      </c>
      <c r="AN1198">
        <f t="shared" si="91"/>
        <v>1</v>
      </c>
      <c r="AO1198" t="str">
        <f t="shared" si="92"/>
        <v/>
      </c>
      <c r="AP1198" t="str">
        <f t="shared" si="93"/>
        <v/>
      </c>
      <c r="AQ1198">
        <f t="shared" si="94"/>
        <v>2014</v>
      </c>
    </row>
    <row r="1199" spans="1:43" x14ac:dyDescent="0.35">
      <c r="A1199">
        <v>1074</v>
      </c>
      <c r="B1199">
        <v>55</v>
      </c>
      <c r="C1199" t="s">
        <v>148</v>
      </c>
      <c r="D1199" t="s">
        <v>164</v>
      </c>
      <c r="E1199" t="s">
        <v>4</v>
      </c>
      <c r="F1199" t="s">
        <v>35</v>
      </c>
      <c r="G1199" t="s">
        <v>43</v>
      </c>
      <c r="H1199" t="s">
        <v>82</v>
      </c>
      <c r="I1199" t="s">
        <v>42</v>
      </c>
      <c r="J1199" t="s">
        <v>169</v>
      </c>
      <c r="K1199" t="s">
        <v>41</v>
      </c>
      <c r="L1199" t="s">
        <v>147</v>
      </c>
      <c r="M1199" t="s">
        <v>50</v>
      </c>
      <c r="N1199" t="s">
        <v>95</v>
      </c>
      <c r="P1199" t="s">
        <v>148</v>
      </c>
      <c r="Q1199">
        <v>15</v>
      </c>
      <c r="R1199">
        <v>7</v>
      </c>
      <c r="S1199">
        <v>31</v>
      </c>
      <c r="T1199">
        <v>6</v>
      </c>
      <c r="U1199">
        <v>2</v>
      </c>
      <c r="V1199">
        <v>2</v>
      </c>
      <c r="W1199">
        <v>40</v>
      </c>
      <c r="X1199">
        <v>444</v>
      </c>
      <c r="Y1199">
        <v>17323</v>
      </c>
      <c r="Z1199">
        <v>16756</v>
      </c>
      <c r="AA1199">
        <v>3</v>
      </c>
      <c r="AB1199" s="29">
        <v>44773</v>
      </c>
      <c r="AC1199" s="29">
        <v>24699</v>
      </c>
      <c r="AD1199" s="29">
        <v>41732</v>
      </c>
      <c r="AE1199" s="29"/>
      <c r="AF1199">
        <v>8</v>
      </c>
      <c r="AG1199" t="s">
        <v>167</v>
      </c>
      <c r="AI1199">
        <v>47</v>
      </c>
      <c r="AJ1199">
        <v>2</v>
      </c>
      <c r="AK1199" t="s">
        <v>150</v>
      </c>
      <c r="AL1199" t="s">
        <v>78</v>
      </c>
      <c r="AM1199">
        <f t="shared" si="90"/>
        <v>2</v>
      </c>
      <c r="AN1199">
        <f t="shared" si="91"/>
        <v>4</v>
      </c>
      <c r="AO1199" t="str">
        <f t="shared" si="92"/>
        <v/>
      </c>
      <c r="AP1199" t="str">
        <f t="shared" si="93"/>
        <v/>
      </c>
      <c r="AQ1199">
        <f t="shared" si="94"/>
        <v>2014</v>
      </c>
    </row>
    <row r="1200" spans="1:43" x14ac:dyDescent="0.35">
      <c r="A1200">
        <v>567</v>
      </c>
      <c r="B1200">
        <v>30</v>
      </c>
      <c r="C1200" t="s">
        <v>148</v>
      </c>
      <c r="D1200" t="s">
        <v>164</v>
      </c>
      <c r="E1200" t="s">
        <v>158</v>
      </c>
      <c r="F1200" t="s">
        <v>37</v>
      </c>
      <c r="G1200" t="s">
        <v>43</v>
      </c>
      <c r="H1200" t="s">
        <v>81</v>
      </c>
      <c r="I1200" t="s">
        <v>43</v>
      </c>
      <c r="J1200" t="s">
        <v>159</v>
      </c>
      <c r="K1200" t="s">
        <v>41</v>
      </c>
      <c r="L1200" t="s">
        <v>147</v>
      </c>
      <c r="M1200" t="s">
        <v>49</v>
      </c>
      <c r="N1200" t="s">
        <v>160</v>
      </c>
      <c r="P1200" t="s">
        <v>148</v>
      </c>
      <c r="Q1200">
        <v>11</v>
      </c>
      <c r="R1200">
        <v>0</v>
      </c>
      <c r="S1200">
        <v>10</v>
      </c>
      <c r="T1200">
        <v>7</v>
      </c>
      <c r="U1200">
        <v>8</v>
      </c>
      <c r="V1200">
        <v>22</v>
      </c>
      <c r="W1200">
        <v>69</v>
      </c>
      <c r="X1200">
        <v>1398</v>
      </c>
      <c r="Y1200">
        <v>2890</v>
      </c>
      <c r="Z1200">
        <v>8412</v>
      </c>
      <c r="AA1200">
        <v>3</v>
      </c>
      <c r="AB1200" s="29">
        <v>44773</v>
      </c>
      <c r="AC1200" s="29">
        <v>33946</v>
      </c>
      <c r="AD1200" s="29">
        <v>41747</v>
      </c>
      <c r="AE1200" s="29"/>
      <c r="AF1200">
        <v>8</v>
      </c>
      <c r="AG1200" t="s">
        <v>149</v>
      </c>
      <c r="AI1200">
        <v>22</v>
      </c>
      <c r="AJ1200">
        <v>2</v>
      </c>
      <c r="AK1200" t="s">
        <v>150</v>
      </c>
      <c r="AL1200" t="s">
        <v>77</v>
      </c>
      <c r="AM1200">
        <f t="shared" si="90"/>
        <v>2</v>
      </c>
      <c r="AN1200">
        <f t="shared" si="91"/>
        <v>4</v>
      </c>
      <c r="AO1200" t="str">
        <f t="shared" si="92"/>
        <v/>
      </c>
      <c r="AP1200" t="str">
        <f t="shared" si="93"/>
        <v/>
      </c>
      <c r="AQ1200">
        <f t="shared" si="94"/>
        <v>2014</v>
      </c>
    </row>
    <row r="1201" spans="1:43" x14ac:dyDescent="0.35">
      <c r="A1201">
        <v>1737</v>
      </c>
      <c r="B1201">
        <v>39</v>
      </c>
      <c r="C1201" t="s">
        <v>148</v>
      </c>
      <c r="D1201" t="s">
        <v>164</v>
      </c>
      <c r="E1201" t="s">
        <v>4</v>
      </c>
      <c r="F1201" t="s">
        <v>38</v>
      </c>
      <c r="G1201" t="s">
        <v>44</v>
      </c>
      <c r="H1201" t="s">
        <v>82</v>
      </c>
      <c r="I1201" t="s">
        <v>43</v>
      </c>
      <c r="J1201" t="s">
        <v>155</v>
      </c>
      <c r="K1201" t="s">
        <v>44</v>
      </c>
      <c r="L1201" t="s">
        <v>147</v>
      </c>
      <c r="M1201" t="s">
        <v>49</v>
      </c>
      <c r="N1201" t="s">
        <v>160</v>
      </c>
      <c r="O1201" t="s">
        <v>41</v>
      </c>
      <c r="P1201" t="s">
        <v>144</v>
      </c>
      <c r="Q1201">
        <v>15</v>
      </c>
      <c r="R1201">
        <v>1</v>
      </c>
      <c r="S1201">
        <v>9</v>
      </c>
      <c r="T1201">
        <v>5</v>
      </c>
      <c r="U1201">
        <v>8</v>
      </c>
      <c r="V1201">
        <v>1</v>
      </c>
      <c r="W1201">
        <v>77</v>
      </c>
      <c r="X1201">
        <v>792</v>
      </c>
      <c r="Y1201">
        <v>8989</v>
      </c>
      <c r="Z1201">
        <v>6472</v>
      </c>
      <c r="AA1201">
        <v>2</v>
      </c>
      <c r="AB1201" s="29">
        <v>44773</v>
      </c>
      <c r="AC1201" s="29">
        <v>30740</v>
      </c>
      <c r="AD1201" s="29">
        <v>41782</v>
      </c>
      <c r="AE1201" s="29"/>
      <c r="AF1201">
        <v>8</v>
      </c>
      <c r="AG1201" t="s">
        <v>149</v>
      </c>
      <c r="AI1201">
        <v>31</v>
      </c>
      <c r="AJ1201">
        <v>1</v>
      </c>
      <c r="AK1201" t="s">
        <v>150</v>
      </c>
      <c r="AL1201" t="s">
        <v>77</v>
      </c>
      <c r="AM1201">
        <f t="shared" si="90"/>
        <v>2</v>
      </c>
      <c r="AN1201">
        <f t="shared" si="91"/>
        <v>5</v>
      </c>
      <c r="AO1201" t="str">
        <f t="shared" si="92"/>
        <v/>
      </c>
      <c r="AP1201" t="str">
        <f t="shared" si="93"/>
        <v/>
      </c>
      <c r="AQ1201">
        <f t="shared" si="94"/>
        <v>2014</v>
      </c>
    </row>
    <row r="1202" spans="1:43" x14ac:dyDescent="0.35">
      <c r="A1202">
        <v>311</v>
      </c>
      <c r="B1202">
        <v>37</v>
      </c>
      <c r="C1202" t="s">
        <v>148</v>
      </c>
      <c r="D1202" t="s">
        <v>151</v>
      </c>
      <c r="E1202" t="s">
        <v>158</v>
      </c>
      <c r="F1202" t="s">
        <v>37</v>
      </c>
      <c r="G1202" t="s">
        <v>41</v>
      </c>
      <c r="H1202" t="s">
        <v>82</v>
      </c>
      <c r="I1202" t="s">
        <v>43</v>
      </c>
      <c r="J1202" t="s">
        <v>166</v>
      </c>
      <c r="K1202" t="s">
        <v>44</v>
      </c>
      <c r="L1202" t="s">
        <v>147</v>
      </c>
      <c r="M1202" t="s">
        <v>49</v>
      </c>
      <c r="N1202" t="s">
        <v>96</v>
      </c>
      <c r="O1202" t="s">
        <v>41</v>
      </c>
      <c r="P1202" t="s">
        <v>148</v>
      </c>
      <c r="Q1202">
        <v>17</v>
      </c>
      <c r="R1202">
        <v>4</v>
      </c>
      <c r="S1202">
        <v>13</v>
      </c>
      <c r="T1202">
        <v>5</v>
      </c>
      <c r="U1202">
        <v>8</v>
      </c>
      <c r="V1202">
        <v>4</v>
      </c>
      <c r="W1202">
        <v>41</v>
      </c>
      <c r="X1202">
        <v>319</v>
      </c>
      <c r="Y1202">
        <v>2539</v>
      </c>
      <c r="Z1202">
        <v>2793</v>
      </c>
      <c r="AA1202">
        <v>2</v>
      </c>
      <c r="AB1202" s="29">
        <v>44773</v>
      </c>
      <c r="AC1202" s="29">
        <v>31569</v>
      </c>
      <c r="AD1202" s="29">
        <v>41811</v>
      </c>
      <c r="AE1202" s="29"/>
      <c r="AF1202">
        <v>8</v>
      </c>
      <c r="AG1202" t="s">
        <v>149</v>
      </c>
      <c r="AI1202">
        <v>29</v>
      </c>
      <c r="AJ1202">
        <v>2</v>
      </c>
      <c r="AK1202" t="s">
        <v>150</v>
      </c>
      <c r="AL1202" t="s">
        <v>78</v>
      </c>
      <c r="AM1202">
        <f t="shared" si="90"/>
        <v>2</v>
      </c>
      <c r="AN1202">
        <f t="shared" si="91"/>
        <v>6</v>
      </c>
      <c r="AO1202" t="str">
        <f t="shared" si="92"/>
        <v/>
      </c>
      <c r="AP1202" t="str">
        <f t="shared" si="93"/>
        <v/>
      </c>
      <c r="AQ1202">
        <f t="shared" si="94"/>
        <v>2014</v>
      </c>
    </row>
    <row r="1203" spans="1:43" x14ac:dyDescent="0.35">
      <c r="A1203">
        <v>361</v>
      </c>
      <c r="B1203">
        <v>38</v>
      </c>
      <c r="C1203" t="s">
        <v>148</v>
      </c>
      <c r="D1203" t="s">
        <v>164</v>
      </c>
      <c r="E1203" t="s">
        <v>158</v>
      </c>
      <c r="F1203" t="s">
        <v>36</v>
      </c>
      <c r="G1203" t="s">
        <v>44</v>
      </c>
      <c r="H1203" t="s">
        <v>82</v>
      </c>
      <c r="I1203" t="s">
        <v>42</v>
      </c>
      <c r="J1203" t="s">
        <v>159</v>
      </c>
      <c r="K1203" t="s">
        <v>44</v>
      </c>
      <c r="L1203" t="s">
        <v>147</v>
      </c>
      <c r="M1203" t="s">
        <v>49</v>
      </c>
      <c r="N1203" t="s">
        <v>160</v>
      </c>
      <c r="O1203" t="s">
        <v>41</v>
      </c>
      <c r="P1203" t="s">
        <v>148</v>
      </c>
      <c r="Q1203">
        <v>18</v>
      </c>
      <c r="R1203">
        <v>3</v>
      </c>
      <c r="S1203">
        <v>13</v>
      </c>
      <c r="T1203">
        <v>7</v>
      </c>
      <c r="U1203">
        <v>5</v>
      </c>
      <c r="V1203">
        <v>2</v>
      </c>
      <c r="W1203">
        <v>39</v>
      </c>
      <c r="X1203">
        <v>1327</v>
      </c>
      <c r="Y1203">
        <v>19682</v>
      </c>
      <c r="Z1203">
        <v>5249</v>
      </c>
      <c r="AA1203">
        <v>0</v>
      </c>
      <c r="AB1203" s="29">
        <v>44773</v>
      </c>
      <c r="AC1203" s="29">
        <v>30949</v>
      </c>
      <c r="AD1203" s="29">
        <v>41848</v>
      </c>
      <c r="AE1203" s="29"/>
      <c r="AF1203">
        <v>8</v>
      </c>
      <c r="AG1203" t="s">
        <v>149</v>
      </c>
      <c r="AI1203">
        <v>30</v>
      </c>
      <c r="AJ1203">
        <v>2</v>
      </c>
      <c r="AK1203" t="s">
        <v>150</v>
      </c>
      <c r="AL1203" t="s">
        <v>77</v>
      </c>
      <c r="AM1203">
        <f t="shared" si="90"/>
        <v>3</v>
      </c>
      <c r="AN1203">
        <f t="shared" si="91"/>
        <v>7</v>
      </c>
      <c r="AO1203" t="str">
        <f t="shared" si="92"/>
        <v/>
      </c>
      <c r="AP1203" t="str">
        <f t="shared" si="93"/>
        <v/>
      </c>
      <c r="AQ1203">
        <f t="shared" si="94"/>
        <v>2014</v>
      </c>
    </row>
    <row r="1204" spans="1:43" x14ac:dyDescent="0.35">
      <c r="A1204">
        <v>238</v>
      </c>
      <c r="B1204">
        <v>36</v>
      </c>
      <c r="C1204" t="s">
        <v>148</v>
      </c>
      <c r="D1204" t="s">
        <v>151</v>
      </c>
      <c r="E1204" t="s">
        <v>4</v>
      </c>
      <c r="F1204" t="s">
        <v>36</v>
      </c>
      <c r="G1204" t="s">
        <v>44</v>
      </c>
      <c r="H1204" t="s">
        <v>82</v>
      </c>
      <c r="I1204" t="s">
        <v>43</v>
      </c>
      <c r="J1204" t="s">
        <v>155</v>
      </c>
      <c r="K1204" t="s">
        <v>42</v>
      </c>
      <c r="L1204" t="s">
        <v>147</v>
      </c>
      <c r="M1204" t="s">
        <v>48</v>
      </c>
      <c r="N1204" t="s">
        <v>95</v>
      </c>
      <c r="P1204" t="s">
        <v>148</v>
      </c>
      <c r="Q1204">
        <v>12</v>
      </c>
      <c r="R1204">
        <v>4</v>
      </c>
      <c r="S1204">
        <v>13</v>
      </c>
      <c r="T1204">
        <v>7</v>
      </c>
      <c r="U1204">
        <v>2</v>
      </c>
      <c r="V1204">
        <v>3</v>
      </c>
      <c r="W1204">
        <v>30</v>
      </c>
      <c r="X1204">
        <v>1480</v>
      </c>
      <c r="Y1204">
        <v>15062</v>
      </c>
      <c r="Z1204">
        <v>2088</v>
      </c>
      <c r="AA1204">
        <v>3</v>
      </c>
      <c r="AB1204" s="29">
        <v>44773</v>
      </c>
      <c r="AC1204" s="29">
        <v>31949</v>
      </c>
      <c r="AD1204" s="29">
        <v>41915</v>
      </c>
      <c r="AE1204" s="29"/>
      <c r="AF1204">
        <v>8</v>
      </c>
      <c r="AG1204" t="s">
        <v>149</v>
      </c>
      <c r="AI1204">
        <v>28</v>
      </c>
      <c r="AJ1204">
        <v>1</v>
      </c>
      <c r="AK1204" t="s">
        <v>150</v>
      </c>
      <c r="AL1204" t="s">
        <v>77</v>
      </c>
      <c r="AM1204">
        <f t="shared" si="90"/>
        <v>4</v>
      </c>
      <c r="AN1204">
        <f t="shared" si="91"/>
        <v>10</v>
      </c>
      <c r="AO1204" t="str">
        <f t="shared" si="92"/>
        <v/>
      </c>
      <c r="AP1204" t="str">
        <f t="shared" si="93"/>
        <v/>
      </c>
      <c r="AQ1204">
        <f t="shared" si="94"/>
        <v>2014</v>
      </c>
    </row>
    <row r="1205" spans="1:43" x14ac:dyDescent="0.35">
      <c r="A1205">
        <v>5</v>
      </c>
      <c r="B1205">
        <v>33</v>
      </c>
      <c r="C1205" t="s">
        <v>148</v>
      </c>
      <c r="D1205" t="s">
        <v>151</v>
      </c>
      <c r="E1205" t="s">
        <v>4</v>
      </c>
      <c r="F1205" t="s">
        <v>37</v>
      </c>
      <c r="G1205" t="s">
        <v>44</v>
      </c>
      <c r="H1205" t="s">
        <v>81</v>
      </c>
      <c r="I1205" t="s">
        <v>43</v>
      </c>
      <c r="J1205" t="s">
        <v>146</v>
      </c>
      <c r="K1205" t="s">
        <v>43</v>
      </c>
      <c r="L1205" t="s">
        <v>147</v>
      </c>
      <c r="M1205" t="s">
        <v>49</v>
      </c>
      <c r="N1205" t="s">
        <v>160</v>
      </c>
      <c r="P1205" t="s">
        <v>144</v>
      </c>
      <c r="Q1205">
        <v>11</v>
      </c>
      <c r="R1205">
        <v>1</v>
      </c>
      <c r="S1205">
        <v>8</v>
      </c>
      <c r="T1205">
        <v>3</v>
      </c>
      <c r="U1205">
        <v>0</v>
      </c>
      <c r="V1205">
        <v>3</v>
      </c>
      <c r="W1205">
        <v>56</v>
      </c>
      <c r="X1205">
        <v>1392</v>
      </c>
      <c r="Y1205">
        <v>23159</v>
      </c>
      <c r="Z1205">
        <v>2909</v>
      </c>
      <c r="AA1205">
        <v>3</v>
      </c>
      <c r="AB1205" s="29">
        <v>44773</v>
      </c>
      <c r="AC1205" s="29">
        <v>32976</v>
      </c>
      <c r="AD1205" s="29">
        <v>42039</v>
      </c>
      <c r="AE1205" s="29"/>
      <c r="AF1205">
        <v>7</v>
      </c>
      <c r="AG1205" t="s">
        <v>149</v>
      </c>
      <c r="AI1205">
        <v>26</v>
      </c>
      <c r="AJ1205">
        <v>1</v>
      </c>
      <c r="AK1205" t="s">
        <v>150</v>
      </c>
      <c r="AL1205" t="s">
        <v>78</v>
      </c>
      <c r="AM1205">
        <f t="shared" si="90"/>
        <v>1</v>
      </c>
      <c r="AN1205">
        <f t="shared" si="91"/>
        <v>2</v>
      </c>
      <c r="AO1205" t="str">
        <f t="shared" si="92"/>
        <v/>
      </c>
      <c r="AP1205" t="str">
        <f t="shared" si="93"/>
        <v/>
      </c>
      <c r="AQ1205">
        <f t="shared" si="94"/>
        <v>2015</v>
      </c>
    </row>
    <row r="1206" spans="1:43" x14ac:dyDescent="0.35">
      <c r="A1206">
        <v>1997</v>
      </c>
      <c r="B1206">
        <v>38</v>
      </c>
      <c r="C1206" t="s">
        <v>148</v>
      </c>
      <c r="D1206" t="s">
        <v>151</v>
      </c>
      <c r="E1206" t="s">
        <v>4</v>
      </c>
      <c r="F1206" t="s">
        <v>37</v>
      </c>
      <c r="G1206" t="s">
        <v>41</v>
      </c>
      <c r="H1206" t="s">
        <v>82</v>
      </c>
      <c r="I1206" t="s">
        <v>42</v>
      </c>
      <c r="J1206" t="s">
        <v>165</v>
      </c>
      <c r="K1206" t="s">
        <v>43</v>
      </c>
      <c r="L1206" t="s">
        <v>147</v>
      </c>
      <c r="M1206" t="s">
        <v>49</v>
      </c>
      <c r="N1206" t="s">
        <v>160</v>
      </c>
      <c r="O1206" t="s">
        <v>41</v>
      </c>
      <c r="P1206" t="s">
        <v>148</v>
      </c>
      <c r="Q1206">
        <v>11</v>
      </c>
      <c r="R1206">
        <v>2</v>
      </c>
      <c r="S1206">
        <v>10</v>
      </c>
      <c r="T1206">
        <v>7</v>
      </c>
      <c r="U1206">
        <v>7</v>
      </c>
      <c r="V1206">
        <v>6</v>
      </c>
      <c r="W1206">
        <v>72</v>
      </c>
      <c r="X1206">
        <v>508</v>
      </c>
      <c r="Y1206">
        <v>14284</v>
      </c>
      <c r="Z1206">
        <v>5321</v>
      </c>
      <c r="AA1206">
        <v>1</v>
      </c>
      <c r="AB1206" s="29">
        <v>44773</v>
      </c>
      <c r="AC1206" s="29">
        <v>31105</v>
      </c>
      <c r="AD1206" s="29">
        <v>42093</v>
      </c>
      <c r="AE1206" s="29"/>
      <c r="AF1206">
        <v>7</v>
      </c>
      <c r="AG1206" t="s">
        <v>149</v>
      </c>
      <c r="AI1206">
        <v>31</v>
      </c>
      <c r="AJ1206">
        <v>2</v>
      </c>
      <c r="AK1206" t="s">
        <v>150</v>
      </c>
      <c r="AL1206" t="s">
        <v>77</v>
      </c>
      <c r="AM1206">
        <f t="shared" si="90"/>
        <v>1</v>
      </c>
      <c r="AN1206">
        <f t="shared" si="91"/>
        <v>3</v>
      </c>
      <c r="AO1206" t="str">
        <f t="shared" si="92"/>
        <v/>
      </c>
      <c r="AP1206" t="str">
        <f t="shared" si="93"/>
        <v/>
      </c>
      <c r="AQ1206">
        <f t="shared" si="94"/>
        <v>2015</v>
      </c>
    </row>
    <row r="1207" spans="1:43" x14ac:dyDescent="0.35">
      <c r="A1207">
        <v>663</v>
      </c>
      <c r="B1207">
        <v>43</v>
      </c>
      <c r="C1207" t="s">
        <v>148</v>
      </c>
      <c r="D1207" t="s">
        <v>151</v>
      </c>
      <c r="E1207" t="s">
        <v>4</v>
      </c>
      <c r="F1207" t="s">
        <v>34</v>
      </c>
      <c r="G1207" t="s">
        <v>44</v>
      </c>
      <c r="H1207" t="s">
        <v>82</v>
      </c>
      <c r="I1207" t="s">
        <v>43</v>
      </c>
      <c r="J1207" t="s">
        <v>155</v>
      </c>
      <c r="K1207" t="s">
        <v>43</v>
      </c>
      <c r="L1207" t="s">
        <v>147</v>
      </c>
      <c r="M1207" t="s">
        <v>49</v>
      </c>
      <c r="N1207" t="s">
        <v>96</v>
      </c>
      <c r="O1207" t="s">
        <v>41</v>
      </c>
      <c r="P1207" t="s">
        <v>144</v>
      </c>
      <c r="Q1207">
        <v>13</v>
      </c>
      <c r="R1207">
        <v>3</v>
      </c>
      <c r="S1207">
        <v>10</v>
      </c>
      <c r="T1207">
        <v>4</v>
      </c>
      <c r="U1207">
        <v>7</v>
      </c>
      <c r="V1207">
        <v>9</v>
      </c>
      <c r="W1207">
        <v>72</v>
      </c>
      <c r="X1207">
        <v>1001</v>
      </c>
      <c r="Y1207">
        <v>19627</v>
      </c>
      <c r="Z1207">
        <v>5679</v>
      </c>
      <c r="AA1207">
        <v>3</v>
      </c>
      <c r="AB1207" s="29">
        <v>44773</v>
      </c>
      <c r="AC1207" s="29">
        <v>29427</v>
      </c>
      <c r="AD1207" s="29">
        <v>42195</v>
      </c>
      <c r="AE1207" s="29"/>
      <c r="AF1207">
        <v>7</v>
      </c>
      <c r="AG1207" t="s">
        <v>153</v>
      </c>
      <c r="AI1207">
        <v>36</v>
      </c>
      <c r="AJ1207">
        <v>1</v>
      </c>
      <c r="AK1207" t="s">
        <v>150</v>
      </c>
      <c r="AL1207" t="s">
        <v>77</v>
      </c>
      <c r="AM1207">
        <f t="shared" si="90"/>
        <v>3</v>
      </c>
      <c r="AN1207">
        <f t="shared" si="91"/>
        <v>7</v>
      </c>
      <c r="AO1207" t="str">
        <f t="shared" si="92"/>
        <v/>
      </c>
      <c r="AP1207" t="str">
        <f t="shared" si="93"/>
        <v/>
      </c>
      <c r="AQ1207">
        <f t="shared" si="94"/>
        <v>2015</v>
      </c>
    </row>
    <row r="1208" spans="1:43" x14ac:dyDescent="0.35">
      <c r="A1208">
        <v>1034</v>
      </c>
      <c r="B1208">
        <v>55</v>
      </c>
      <c r="C1208" t="s">
        <v>148</v>
      </c>
      <c r="D1208" t="s">
        <v>151</v>
      </c>
      <c r="E1208" t="s">
        <v>4</v>
      </c>
      <c r="F1208" t="s">
        <v>37</v>
      </c>
      <c r="G1208" t="s">
        <v>43</v>
      </c>
      <c r="H1208" t="s">
        <v>82</v>
      </c>
      <c r="I1208" t="s">
        <v>43</v>
      </c>
      <c r="J1208" t="s">
        <v>161</v>
      </c>
      <c r="K1208" t="s">
        <v>42</v>
      </c>
      <c r="L1208" t="s">
        <v>147</v>
      </c>
      <c r="M1208" t="s">
        <v>49</v>
      </c>
      <c r="N1208" t="s">
        <v>160</v>
      </c>
      <c r="O1208" t="s">
        <v>156</v>
      </c>
      <c r="P1208" t="s">
        <v>144</v>
      </c>
      <c r="Q1208">
        <v>14</v>
      </c>
      <c r="R1208">
        <v>3</v>
      </c>
      <c r="S1208">
        <v>17</v>
      </c>
      <c r="T1208">
        <v>6</v>
      </c>
      <c r="U1208">
        <v>7</v>
      </c>
      <c r="V1208">
        <v>18</v>
      </c>
      <c r="W1208">
        <v>62</v>
      </c>
      <c r="X1208">
        <v>135</v>
      </c>
      <c r="Y1208">
        <v>12992</v>
      </c>
      <c r="Z1208">
        <v>6385</v>
      </c>
      <c r="AA1208">
        <v>3</v>
      </c>
      <c r="AB1208" s="29">
        <v>44773</v>
      </c>
      <c r="AC1208" s="29">
        <v>24954</v>
      </c>
      <c r="AD1208" s="29">
        <v>42200</v>
      </c>
      <c r="AE1208" s="29"/>
      <c r="AF1208">
        <v>7</v>
      </c>
      <c r="AG1208" t="s">
        <v>167</v>
      </c>
      <c r="AI1208">
        <v>48</v>
      </c>
      <c r="AJ1208">
        <v>1</v>
      </c>
      <c r="AK1208" t="s">
        <v>150</v>
      </c>
      <c r="AL1208" t="s">
        <v>77</v>
      </c>
      <c r="AM1208">
        <f t="shared" si="90"/>
        <v>3</v>
      </c>
      <c r="AN1208">
        <f t="shared" si="91"/>
        <v>7</v>
      </c>
      <c r="AO1208" t="str">
        <f t="shared" si="92"/>
        <v/>
      </c>
      <c r="AP1208" t="str">
        <f t="shared" si="93"/>
        <v/>
      </c>
      <c r="AQ1208">
        <f t="shared" si="94"/>
        <v>2015</v>
      </c>
    </row>
    <row r="1209" spans="1:43" x14ac:dyDescent="0.35">
      <c r="A1209">
        <v>1297</v>
      </c>
      <c r="B1209">
        <v>51</v>
      </c>
      <c r="C1209" t="s">
        <v>148</v>
      </c>
      <c r="D1209" t="s">
        <v>151</v>
      </c>
      <c r="E1209" t="s">
        <v>4</v>
      </c>
      <c r="F1209" t="s">
        <v>36</v>
      </c>
      <c r="G1209" t="s">
        <v>42</v>
      </c>
      <c r="H1209" t="s">
        <v>81</v>
      </c>
      <c r="I1209" t="s">
        <v>42</v>
      </c>
      <c r="J1209" t="s">
        <v>155</v>
      </c>
      <c r="K1209" t="s">
        <v>43</v>
      </c>
      <c r="L1209" t="s">
        <v>147</v>
      </c>
      <c r="M1209" t="s">
        <v>48</v>
      </c>
      <c r="N1209" t="s">
        <v>95</v>
      </c>
      <c r="P1209" t="s">
        <v>148</v>
      </c>
      <c r="Q1209">
        <v>14</v>
      </c>
      <c r="R1209">
        <v>0</v>
      </c>
      <c r="S1209">
        <v>8</v>
      </c>
      <c r="T1209">
        <v>7</v>
      </c>
      <c r="U1209">
        <v>7</v>
      </c>
      <c r="V1209">
        <v>6</v>
      </c>
      <c r="W1209">
        <v>40</v>
      </c>
      <c r="X1209">
        <v>968</v>
      </c>
      <c r="Y1209">
        <v>4257</v>
      </c>
      <c r="Z1209">
        <v>2838</v>
      </c>
      <c r="AA1209">
        <v>6</v>
      </c>
      <c r="AB1209" s="29">
        <v>44773</v>
      </c>
      <c r="AC1209" s="29">
        <v>26306</v>
      </c>
      <c r="AD1209" s="29">
        <v>42268</v>
      </c>
      <c r="AE1209" s="29"/>
      <c r="AF1209">
        <v>7</v>
      </c>
      <c r="AG1209" t="s">
        <v>167</v>
      </c>
      <c r="AI1209">
        <v>44</v>
      </c>
      <c r="AJ1209">
        <v>1</v>
      </c>
      <c r="AK1209" t="s">
        <v>150</v>
      </c>
      <c r="AL1209" t="s">
        <v>77</v>
      </c>
      <c r="AM1209">
        <f t="shared" si="90"/>
        <v>3</v>
      </c>
      <c r="AN1209">
        <f t="shared" si="91"/>
        <v>9</v>
      </c>
      <c r="AO1209" t="str">
        <f t="shared" si="92"/>
        <v/>
      </c>
      <c r="AP1209" t="str">
        <f t="shared" si="93"/>
        <v/>
      </c>
      <c r="AQ1209">
        <f t="shared" si="94"/>
        <v>2015</v>
      </c>
    </row>
    <row r="1210" spans="1:43" x14ac:dyDescent="0.35">
      <c r="A1210">
        <v>532</v>
      </c>
      <c r="B1210">
        <v>56</v>
      </c>
      <c r="C1210" t="s">
        <v>148</v>
      </c>
      <c r="D1210" t="s">
        <v>151</v>
      </c>
      <c r="E1210" t="s">
        <v>158</v>
      </c>
      <c r="F1210" t="s">
        <v>38</v>
      </c>
      <c r="G1210" t="s">
        <v>43</v>
      </c>
      <c r="H1210" t="s">
        <v>81</v>
      </c>
      <c r="I1210" t="s">
        <v>44</v>
      </c>
      <c r="J1210" t="s">
        <v>159</v>
      </c>
      <c r="K1210" t="s">
        <v>41</v>
      </c>
      <c r="L1210" t="s">
        <v>147</v>
      </c>
      <c r="M1210" t="s">
        <v>48</v>
      </c>
      <c r="N1210" t="s">
        <v>160</v>
      </c>
      <c r="O1210" t="s">
        <v>43</v>
      </c>
      <c r="P1210" t="s">
        <v>148</v>
      </c>
      <c r="Q1210">
        <v>11</v>
      </c>
      <c r="R1210">
        <v>9</v>
      </c>
      <c r="S1210">
        <v>36</v>
      </c>
      <c r="T1210">
        <v>7</v>
      </c>
      <c r="U1210">
        <v>7</v>
      </c>
      <c r="V1210">
        <v>6</v>
      </c>
      <c r="W1210">
        <v>86</v>
      </c>
      <c r="X1210">
        <v>906</v>
      </c>
      <c r="Y1210">
        <v>18256</v>
      </c>
      <c r="Z1210">
        <v>13212</v>
      </c>
      <c r="AA1210">
        <v>0</v>
      </c>
      <c r="AB1210" s="29">
        <v>44773</v>
      </c>
      <c r="AC1210" s="29">
        <v>24566</v>
      </c>
      <c r="AD1210" s="29">
        <v>42273</v>
      </c>
      <c r="AE1210" s="29"/>
      <c r="AF1210">
        <v>7</v>
      </c>
      <c r="AG1210" t="s">
        <v>167</v>
      </c>
      <c r="AI1210">
        <v>49</v>
      </c>
      <c r="AJ1210">
        <v>1</v>
      </c>
      <c r="AK1210" t="s">
        <v>150</v>
      </c>
      <c r="AL1210" t="s">
        <v>77</v>
      </c>
      <c r="AM1210">
        <f t="shared" si="90"/>
        <v>3</v>
      </c>
      <c r="AN1210">
        <f t="shared" si="91"/>
        <v>9</v>
      </c>
      <c r="AO1210" t="str">
        <f t="shared" si="92"/>
        <v/>
      </c>
      <c r="AP1210" t="str">
        <f t="shared" si="93"/>
        <v/>
      </c>
      <c r="AQ1210">
        <f t="shared" si="94"/>
        <v>2015</v>
      </c>
    </row>
    <row r="1211" spans="1:43" x14ac:dyDescent="0.35">
      <c r="A1211">
        <v>8</v>
      </c>
      <c r="B1211">
        <v>32</v>
      </c>
      <c r="C1211" t="s">
        <v>148</v>
      </c>
      <c r="D1211" t="s">
        <v>151</v>
      </c>
      <c r="E1211" t="s">
        <v>4</v>
      </c>
      <c r="F1211" t="s">
        <v>36</v>
      </c>
      <c r="G1211" t="s">
        <v>44</v>
      </c>
      <c r="H1211" t="s">
        <v>82</v>
      </c>
      <c r="I1211" t="s">
        <v>43</v>
      </c>
      <c r="J1211" t="s">
        <v>155</v>
      </c>
      <c r="K1211" t="s">
        <v>44</v>
      </c>
      <c r="L1211" t="s">
        <v>147</v>
      </c>
      <c r="M1211" t="s">
        <v>48</v>
      </c>
      <c r="N1211" t="s">
        <v>95</v>
      </c>
      <c r="P1211" t="s">
        <v>148</v>
      </c>
      <c r="Q1211">
        <v>13</v>
      </c>
      <c r="R1211">
        <v>0</v>
      </c>
      <c r="S1211">
        <v>8</v>
      </c>
      <c r="T1211">
        <v>3</v>
      </c>
      <c r="U1211">
        <v>6</v>
      </c>
      <c r="V1211">
        <v>2</v>
      </c>
      <c r="W1211">
        <v>79</v>
      </c>
      <c r="X1211">
        <v>1005</v>
      </c>
      <c r="Y1211">
        <v>11864</v>
      </c>
      <c r="Z1211">
        <v>3068</v>
      </c>
      <c r="AA1211">
        <v>2</v>
      </c>
      <c r="AB1211" s="29">
        <v>44773</v>
      </c>
      <c r="AC1211" s="29">
        <v>33356</v>
      </c>
      <c r="AD1211" s="29">
        <v>42298</v>
      </c>
      <c r="AE1211" s="29"/>
      <c r="AF1211">
        <v>7</v>
      </c>
      <c r="AG1211" t="s">
        <v>149</v>
      </c>
      <c r="AI1211">
        <v>25</v>
      </c>
      <c r="AJ1211">
        <v>1</v>
      </c>
      <c r="AK1211" t="s">
        <v>150</v>
      </c>
      <c r="AL1211" t="s">
        <v>77</v>
      </c>
      <c r="AM1211">
        <f t="shared" si="90"/>
        <v>4</v>
      </c>
      <c r="AN1211">
        <f t="shared" si="91"/>
        <v>10</v>
      </c>
      <c r="AO1211" t="str">
        <f t="shared" si="92"/>
        <v/>
      </c>
      <c r="AP1211" t="str">
        <f t="shared" si="93"/>
        <v/>
      </c>
      <c r="AQ1211">
        <f t="shared" si="94"/>
        <v>2015</v>
      </c>
    </row>
    <row r="1212" spans="1:43" x14ac:dyDescent="0.35">
      <c r="A1212">
        <v>1918</v>
      </c>
      <c r="B1212">
        <v>26</v>
      </c>
      <c r="C1212" t="s">
        <v>148</v>
      </c>
      <c r="D1212" t="s">
        <v>151</v>
      </c>
      <c r="E1212" t="s">
        <v>4</v>
      </c>
      <c r="F1212" t="s">
        <v>38</v>
      </c>
      <c r="G1212" t="s">
        <v>43</v>
      </c>
      <c r="H1212" t="s">
        <v>82</v>
      </c>
      <c r="I1212" t="s">
        <v>44</v>
      </c>
      <c r="J1212" t="s">
        <v>155</v>
      </c>
      <c r="K1212" t="s">
        <v>44</v>
      </c>
      <c r="L1212" t="s">
        <v>147</v>
      </c>
      <c r="M1212" t="s">
        <v>49</v>
      </c>
      <c r="N1212" t="s">
        <v>160</v>
      </c>
      <c r="O1212" t="s">
        <v>41</v>
      </c>
      <c r="P1212" t="s">
        <v>148</v>
      </c>
      <c r="Q1212">
        <v>18</v>
      </c>
      <c r="R1212">
        <v>0</v>
      </c>
      <c r="S1212">
        <v>8</v>
      </c>
      <c r="T1212">
        <v>7</v>
      </c>
      <c r="U1212">
        <v>7</v>
      </c>
      <c r="V1212">
        <v>6</v>
      </c>
      <c r="W1212">
        <v>61</v>
      </c>
      <c r="X1212">
        <v>1096</v>
      </c>
      <c r="Y1212">
        <v>7102</v>
      </c>
      <c r="Z1212">
        <v>2544</v>
      </c>
      <c r="AA1212">
        <v>3</v>
      </c>
      <c r="AB1212" s="29">
        <v>44773</v>
      </c>
      <c r="AC1212" s="29">
        <v>35480</v>
      </c>
      <c r="AD1212" s="29">
        <v>42330</v>
      </c>
      <c r="AE1212" s="29"/>
      <c r="AF1212">
        <v>7</v>
      </c>
      <c r="AG1212" t="s">
        <v>157</v>
      </c>
      <c r="AI1212">
        <v>19</v>
      </c>
      <c r="AJ1212">
        <v>2</v>
      </c>
      <c r="AK1212" t="s">
        <v>150</v>
      </c>
      <c r="AL1212" t="s">
        <v>77</v>
      </c>
      <c r="AM1212">
        <f t="shared" si="90"/>
        <v>4</v>
      </c>
      <c r="AN1212">
        <f t="shared" si="91"/>
        <v>11</v>
      </c>
      <c r="AO1212" t="str">
        <f t="shared" si="92"/>
        <v/>
      </c>
      <c r="AP1212" t="str">
        <f t="shared" si="93"/>
        <v/>
      </c>
      <c r="AQ1212">
        <f t="shared" si="94"/>
        <v>2015</v>
      </c>
    </row>
    <row r="1213" spans="1:43" x14ac:dyDescent="0.35">
      <c r="A1213">
        <v>1870</v>
      </c>
      <c r="B1213">
        <v>27</v>
      </c>
      <c r="C1213" t="s">
        <v>148</v>
      </c>
      <c r="D1213" t="s">
        <v>151</v>
      </c>
      <c r="E1213" t="s">
        <v>4</v>
      </c>
      <c r="F1213" t="s">
        <v>38</v>
      </c>
      <c r="G1213" t="s">
        <v>44</v>
      </c>
      <c r="H1213" t="s">
        <v>81</v>
      </c>
      <c r="I1213" t="s">
        <v>42</v>
      </c>
      <c r="J1213" t="s">
        <v>146</v>
      </c>
      <c r="K1213" t="s">
        <v>41</v>
      </c>
      <c r="L1213" t="s">
        <v>147</v>
      </c>
      <c r="M1213" t="s">
        <v>48</v>
      </c>
      <c r="N1213" t="s">
        <v>160</v>
      </c>
      <c r="O1213" t="s">
        <v>41</v>
      </c>
      <c r="P1213" t="s">
        <v>148</v>
      </c>
      <c r="Q1213">
        <v>19</v>
      </c>
      <c r="R1213">
        <v>0</v>
      </c>
      <c r="S1213">
        <v>8</v>
      </c>
      <c r="T1213">
        <v>4</v>
      </c>
      <c r="U1213">
        <v>3</v>
      </c>
      <c r="V1213">
        <v>15</v>
      </c>
      <c r="W1213">
        <v>77</v>
      </c>
      <c r="X1213">
        <v>1131</v>
      </c>
      <c r="Y1213">
        <v>23844</v>
      </c>
      <c r="Z1213">
        <v>4774</v>
      </c>
      <c r="AA1213">
        <v>2</v>
      </c>
      <c r="AB1213" s="29">
        <v>44773</v>
      </c>
      <c r="AC1213" s="29">
        <v>35186</v>
      </c>
      <c r="AD1213" s="29">
        <v>42466</v>
      </c>
      <c r="AE1213" s="29"/>
      <c r="AF1213">
        <v>6</v>
      </c>
      <c r="AG1213" t="s">
        <v>157</v>
      </c>
      <c r="AI1213">
        <v>21</v>
      </c>
      <c r="AJ1213">
        <v>2</v>
      </c>
      <c r="AK1213" t="s">
        <v>150</v>
      </c>
      <c r="AL1213" t="s">
        <v>77</v>
      </c>
      <c r="AM1213">
        <f t="shared" si="90"/>
        <v>2</v>
      </c>
      <c r="AN1213">
        <f t="shared" si="91"/>
        <v>4</v>
      </c>
      <c r="AO1213" t="str">
        <f t="shared" si="92"/>
        <v/>
      </c>
      <c r="AP1213" t="str">
        <f t="shared" si="93"/>
        <v/>
      </c>
      <c r="AQ1213">
        <f t="shared" si="94"/>
        <v>2016</v>
      </c>
    </row>
    <row r="1214" spans="1:43" x14ac:dyDescent="0.35">
      <c r="A1214">
        <v>1392</v>
      </c>
      <c r="B1214">
        <v>41</v>
      </c>
      <c r="C1214" t="s">
        <v>148</v>
      </c>
      <c r="D1214" t="s">
        <v>151</v>
      </c>
      <c r="E1214" t="s">
        <v>4</v>
      </c>
      <c r="F1214" t="s">
        <v>38</v>
      </c>
      <c r="G1214" t="s">
        <v>44</v>
      </c>
      <c r="H1214" t="s">
        <v>81</v>
      </c>
      <c r="I1214" t="s">
        <v>43</v>
      </c>
      <c r="J1214" t="s">
        <v>146</v>
      </c>
      <c r="K1214" t="s">
        <v>44</v>
      </c>
      <c r="L1214" t="s">
        <v>147</v>
      </c>
      <c r="M1214" t="s">
        <v>48</v>
      </c>
      <c r="N1214" t="s">
        <v>96</v>
      </c>
      <c r="O1214" t="s">
        <v>156</v>
      </c>
      <c r="P1214" t="s">
        <v>144</v>
      </c>
      <c r="Q1214">
        <v>14</v>
      </c>
      <c r="R1214">
        <v>3</v>
      </c>
      <c r="S1214">
        <v>12</v>
      </c>
      <c r="T1214">
        <v>3</v>
      </c>
      <c r="U1214">
        <v>3</v>
      </c>
      <c r="V1214">
        <v>22</v>
      </c>
      <c r="W1214">
        <v>75</v>
      </c>
      <c r="X1214">
        <v>1200</v>
      </c>
      <c r="Y1214">
        <v>13953</v>
      </c>
      <c r="Z1214">
        <v>5467</v>
      </c>
      <c r="AA1214">
        <v>4</v>
      </c>
      <c r="AB1214" s="29">
        <v>44773</v>
      </c>
      <c r="AC1214" s="29">
        <v>29845</v>
      </c>
      <c r="AD1214" s="29">
        <v>42581</v>
      </c>
      <c r="AE1214" s="29"/>
      <c r="AF1214">
        <v>6</v>
      </c>
      <c r="AG1214" t="s">
        <v>153</v>
      </c>
      <c r="AI1214">
        <v>35</v>
      </c>
      <c r="AJ1214">
        <v>2</v>
      </c>
      <c r="AK1214" t="s">
        <v>150</v>
      </c>
      <c r="AL1214" t="s">
        <v>77</v>
      </c>
      <c r="AM1214">
        <f t="shared" si="90"/>
        <v>3</v>
      </c>
      <c r="AN1214">
        <f t="shared" si="91"/>
        <v>7</v>
      </c>
      <c r="AO1214" t="str">
        <f t="shared" si="92"/>
        <v/>
      </c>
      <c r="AP1214" t="str">
        <f t="shared" si="93"/>
        <v/>
      </c>
      <c r="AQ1214">
        <f t="shared" si="94"/>
        <v>2016</v>
      </c>
    </row>
    <row r="1215" spans="1:43" x14ac:dyDescent="0.35">
      <c r="A1215">
        <v>262</v>
      </c>
      <c r="B1215">
        <v>43</v>
      </c>
      <c r="C1215" t="s">
        <v>148</v>
      </c>
      <c r="D1215" t="s">
        <v>164</v>
      </c>
      <c r="E1215" t="s">
        <v>4</v>
      </c>
      <c r="F1215" t="s">
        <v>38</v>
      </c>
      <c r="G1215" t="s">
        <v>44</v>
      </c>
      <c r="H1215" t="s">
        <v>82</v>
      </c>
      <c r="I1215" t="s">
        <v>44</v>
      </c>
      <c r="J1215" t="s">
        <v>146</v>
      </c>
      <c r="K1215" t="s">
        <v>44</v>
      </c>
      <c r="L1215" t="s">
        <v>147</v>
      </c>
      <c r="M1215" t="s">
        <v>50</v>
      </c>
      <c r="N1215" t="s">
        <v>96</v>
      </c>
      <c r="O1215" t="s">
        <v>43</v>
      </c>
      <c r="P1215" t="s">
        <v>148</v>
      </c>
      <c r="Q1215">
        <v>14</v>
      </c>
      <c r="R1215">
        <v>4</v>
      </c>
      <c r="S1215">
        <v>7</v>
      </c>
      <c r="T1215">
        <v>2</v>
      </c>
      <c r="U1215">
        <v>2</v>
      </c>
      <c r="V1215">
        <v>7</v>
      </c>
      <c r="W1215">
        <v>37</v>
      </c>
      <c r="X1215">
        <v>1344</v>
      </c>
      <c r="Y1215">
        <v>5228</v>
      </c>
      <c r="Z1215">
        <v>2089</v>
      </c>
      <c r="AA1215">
        <v>3</v>
      </c>
      <c r="AB1215" s="29">
        <v>44773</v>
      </c>
      <c r="AC1215" s="29">
        <v>29088</v>
      </c>
      <c r="AD1215" s="29">
        <v>42944</v>
      </c>
      <c r="AE1215" s="29"/>
      <c r="AF1215">
        <v>5</v>
      </c>
      <c r="AG1215" t="s">
        <v>153</v>
      </c>
      <c r="AI1215">
        <v>38</v>
      </c>
      <c r="AJ1215">
        <v>1</v>
      </c>
      <c r="AK1215" t="s">
        <v>162</v>
      </c>
      <c r="AL1215" t="s">
        <v>77</v>
      </c>
      <c r="AM1215">
        <f t="shared" si="90"/>
        <v>3</v>
      </c>
      <c r="AN1215">
        <f t="shared" si="91"/>
        <v>7</v>
      </c>
      <c r="AO1215" t="str">
        <f t="shared" si="92"/>
        <v/>
      </c>
      <c r="AP1215" t="str">
        <f t="shared" si="93"/>
        <v/>
      </c>
      <c r="AQ1215">
        <f t="shared" si="94"/>
        <v>2017</v>
      </c>
    </row>
    <row r="1216" spans="1:43" x14ac:dyDescent="0.35">
      <c r="A1216">
        <v>902</v>
      </c>
      <c r="B1216">
        <v>43</v>
      </c>
      <c r="C1216" t="s">
        <v>148</v>
      </c>
      <c r="D1216" t="s">
        <v>151</v>
      </c>
      <c r="E1216" t="s">
        <v>4</v>
      </c>
      <c r="F1216" t="s">
        <v>38</v>
      </c>
      <c r="G1216" t="s">
        <v>44</v>
      </c>
      <c r="H1216" t="s">
        <v>81</v>
      </c>
      <c r="I1216" t="s">
        <v>43</v>
      </c>
      <c r="J1216" t="s">
        <v>161</v>
      </c>
      <c r="K1216" t="s">
        <v>44</v>
      </c>
      <c r="L1216" t="s">
        <v>147</v>
      </c>
      <c r="M1216" t="s">
        <v>48</v>
      </c>
      <c r="N1216" t="s">
        <v>160</v>
      </c>
      <c r="O1216" t="s">
        <v>41</v>
      </c>
      <c r="P1216" t="s">
        <v>148</v>
      </c>
      <c r="Q1216">
        <v>13</v>
      </c>
      <c r="R1216">
        <v>4</v>
      </c>
      <c r="S1216">
        <v>12</v>
      </c>
      <c r="T1216">
        <v>2</v>
      </c>
      <c r="U1216">
        <v>2</v>
      </c>
      <c r="V1216">
        <v>1</v>
      </c>
      <c r="W1216">
        <v>33</v>
      </c>
      <c r="X1216">
        <v>422</v>
      </c>
      <c r="Y1216">
        <v>21782</v>
      </c>
      <c r="Z1216">
        <v>5562</v>
      </c>
      <c r="AA1216">
        <v>2</v>
      </c>
      <c r="AB1216" s="29">
        <v>44773</v>
      </c>
      <c r="AC1216" s="29">
        <v>29300</v>
      </c>
      <c r="AD1216" s="29">
        <v>42960</v>
      </c>
      <c r="AE1216" s="29"/>
      <c r="AF1216">
        <v>5</v>
      </c>
      <c r="AG1216" t="s">
        <v>153</v>
      </c>
      <c r="AI1216">
        <v>38</v>
      </c>
      <c r="AJ1216">
        <v>1</v>
      </c>
      <c r="AK1216" t="s">
        <v>162</v>
      </c>
      <c r="AL1216" t="s">
        <v>77</v>
      </c>
      <c r="AM1216">
        <f t="shared" si="90"/>
        <v>3</v>
      </c>
      <c r="AN1216">
        <f t="shared" si="91"/>
        <v>8</v>
      </c>
      <c r="AO1216" t="str">
        <f t="shared" si="92"/>
        <v/>
      </c>
      <c r="AP1216" t="str">
        <f t="shared" si="93"/>
        <v/>
      </c>
      <c r="AQ1216">
        <f t="shared" si="94"/>
        <v>2017</v>
      </c>
    </row>
    <row r="1217" spans="1:43" x14ac:dyDescent="0.35">
      <c r="A1217">
        <v>1941</v>
      </c>
      <c r="B1217">
        <v>49</v>
      </c>
      <c r="C1217" t="s">
        <v>148</v>
      </c>
      <c r="D1217" t="s">
        <v>151</v>
      </c>
      <c r="E1217" t="s">
        <v>4</v>
      </c>
      <c r="F1217" t="s">
        <v>35</v>
      </c>
      <c r="G1217" t="s">
        <v>42</v>
      </c>
      <c r="H1217" t="s">
        <v>82</v>
      </c>
      <c r="I1217" t="s">
        <v>43</v>
      </c>
      <c r="J1217" t="s">
        <v>173</v>
      </c>
      <c r="K1217" t="s">
        <v>44</v>
      </c>
      <c r="L1217" t="s">
        <v>147</v>
      </c>
      <c r="M1217" t="s">
        <v>49</v>
      </c>
      <c r="N1217" t="s">
        <v>160</v>
      </c>
      <c r="P1217" t="s">
        <v>148</v>
      </c>
      <c r="Q1217">
        <v>15</v>
      </c>
      <c r="R1217">
        <v>3</v>
      </c>
      <c r="S1217">
        <v>28</v>
      </c>
      <c r="T1217">
        <v>4</v>
      </c>
      <c r="U1217">
        <v>3</v>
      </c>
      <c r="V1217">
        <v>2</v>
      </c>
      <c r="W1217">
        <v>42</v>
      </c>
      <c r="X1217">
        <v>1064</v>
      </c>
      <c r="Y1217">
        <v>13738</v>
      </c>
      <c r="Z1217">
        <v>19161</v>
      </c>
      <c r="AA1217">
        <v>3</v>
      </c>
      <c r="AB1217" s="29">
        <v>44773</v>
      </c>
      <c r="AC1217" s="29">
        <v>27170</v>
      </c>
      <c r="AD1217" s="29">
        <v>43025</v>
      </c>
      <c r="AE1217" s="29"/>
      <c r="AF1217">
        <v>5</v>
      </c>
      <c r="AG1217" t="s">
        <v>153</v>
      </c>
      <c r="AI1217">
        <v>44</v>
      </c>
      <c r="AJ1217">
        <v>1</v>
      </c>
      <c r="AK1217" t="s">
        <v>162</v>
      </c>
      <c r="AL1217" t="s">
        <v>78</v>
      </c>
      <c r="AM1217">
        <f t="shared" si="90"/>
        <v>4</v>
      </c>
      <c r="AN1217">
        <f t="shared" si="91"/>
        <v>10</v>
      </c>
      <c r="AO1217" t="str">
        <f t="shared" si="92"/>
        <v/>
      </c>
      <c r="AP1217" t="str">
        <f t="shared" si="93"/>
        <v/>
      </c>
      <c r="AQ1217">
        <f t="shared" si="94"/>
        <v>2017</v>
      </c>
    </row>
    <row r="1218" spans="1:43" x14ac:dyDescent="0.35">
      <c r="A1218">
        <v>390</v>
      </c>
      <c r="B1218">
        <v>26</v>
      </c>
      <c r="C1218" t="s">
        <v>148</v>
      </c>
      <c r="D1218" t="s">
        <v>151</v>
      </c>
      <c r="E1218" t="s">
        <v>4</v>
      </c>
      <c r="F1218" t="s">
        <v>36</v>
      </c>
      <c r="G1218" t="s">
        <v>41</v>
      </c>
      <c r="H1218" t="s">
        <v>82</v>
      </c>
      <c r="I1218" t="s">
        <v>43</v>
      </c>
      <c r="J1218" t="s">
        <v>161</v>
      </c>
      <c r="K1218" t="s">
        <v>41</v>
      </c>
      <c r="L1218" t="s">
        <v>147</v>
      </c>
      <c r="M1218" t="s">
        <v>49</v>
      </c>
      <c r="N1218" t="s">
        <v>160</v>
      </c>
      <c r="O1218" t="s">
        <v>41</v>
      </c>
      <c r="P1218" t="s">
        <v>144</v>
      </c>
      <c r="Q1218">
        <v>13</v>
      </c>
      <c r="R1218">
        <v>1</v>
      </c>
      <c r="S1218">
        <v>5</v>
      </c>
      <c r="T1218">
        <v>3</v>
      </c>
      <c r="U1218">
        <v>3</v>
      </c>
      <c r="V1218">
        <v>11</v>
      </c>
      <c r="W1218">
        <v>60</v>
      </c>
      <c r="X1218">
        <v>496</v>
      </c>
      <c r="Y1218">
        <v>22722</v>
      </c>
      <c r="Z1218">
        <v>4741</v>
      </c>
      <c r="AA1218">
        <v>3</v>
      </c>
      <c r="AB1218" s="29">
        <v>44773</v>
      </c>
      <c r="AC1218" s="29">
        <v>35495</v>
      </c>
      <c r="AD1218" s="29">
        <v>43241</v>
      </c>
      <c r="AE1218" s="29"/>
      <c r="AF1218">
        <v>4</v>
      </c>
      <c r="AG1218" t="s">
        <v>157</v>
      </c>
      <c r="AI1218">
        <v>22</v>
      </c>
      <c r="AJ1218">
        <v>2</v>
      </c>
      <c r="AK1218" t="s">
        <v>162</v>
      </c>
      <c r="AL1218" t="s">
        <v>77</v>
      </c>
      <c r="AM1218">
        <f t="shared" ref="AM1218:AM1281" si="95">ROUNDUP(MONTH(AD1218)/3,0)</f>
        <v>2</v>
      </c>
      <c r="AN1218">
        <f t="shared" ref="AN1218:AN1281" si="96">MONTH(AD1218)</f>
        <v>5</v>
      </c>
      <c r="AO1218" t="str">
        <f t="shared" ref="AO1218:AO1281" si="97">IF(C1218="Yes",ROUNDUP(MONTH(AE1218)/3,0),"")</f>
        <v/>
      </c>
      <c r="AP1218" t="str">
        <f t="shared" ref="AP1218:AP1281" si="98">IF(C1218="Yes",MONTH(AE1218),"")</f>
        <v/>
      </c>
      <c r="AQ1218">
        <f t="shared" ref="AQ1218:AQ1281" si="99">YEAR(AD1218)</f>
        <v>2018</v>
      </c>
    </row>
    <row r="1219" spans="1:43" x14ac:dyDescent="0.35">
      <c r="A1219">
        <v>148</v>
      </c>
      <c r="B1219">
        <v>54</v>
      </c>
      <c r="C1219" t="s">
        <v>148</v>
      </c>
      <c r="D1219" t="s">
        <v>164</v>
      </c>
      <c r="E1219" t="s">
        <v>168</v>
      </c>
      <c r="F1219" t="s">
        <v>38</v>
      </c>
      <c r="G1219" t="s">
        <v>44</v>
      </c>
      <c r="H1219" t="s">
        <v>81</v>
      </c>
      <c r="I1219" t="s">
        <v>44</v>
      </c>
      <c r="J1219" t="s">
        <v>169</v>
      </c>
      <c r="K1219" t="s">
        <v>44</v>
      </c>
      <c r="L1219" t="s">
        <v>147</v>
      </c>
      <c r="M1219" t="s">
        <v>49</v>
      </c>
      <c r="N1219" t="s">
        <v>95</v>
      </c>
      <c r="P1219" t="s">
        <v>144</v>
      </c>
      <c r="Q1219">
        <v>12</v>
      </c>
      <c r="R1219">
        <v>2</v>
      </c>
      <c r="S1219">
        <v>23</v>
      </c>
      <c r="T1219">
        <v>4</v>
      </c>
      <c r="U1219">
        <v>4</v>
      </c>
      <c r="V1219">
        <v>26</v>
      </c>
      <c r="W1219">
        <v>30</v>
      </c>
      <c r="X1219">
        <v>142</v>
      </c>
      <c r="Y1219">
        <v>13871</v>
      </c>
      <c r="Z1219">
        <v>17328</v>
      </c>
      <c r="AA1219">
        <v>3</v>
      </c>
      <c r="AB1219" s="29">
        <v>44773</v>
      </c>
      <c r="AC1219" s="29">
        <v>25096</v>
      </c>
      <c r="AD1219" s="29">
        <v>43279</v>
      </c>
      <c r="AE1219" s="29"/>
      <c r="AF1219">
        <v>4</v>
      </c>
      <c r="AG1219" t="s">
        <v>167</v>
      </c>
      <c r="AI1219">
        <v>50</v>
      </c>
      <c r="AJ1219">
        <v>1</v>
      </c>
      <c r="AK1219" t="s">
        <v>162</v>
      </c>
      <c r="AL1219" t="s">
        <v>77</v>
      </c>
      <c r="AM1219">
        <f t="shared" si="95"/>
        <v>2</v>
      </c>
      <c r="AN1219">
        <f t="shared" si="96"/>
        <v>6</v>
      </c>
      <c r="AO1219" t="str">
        <f t="shared" si="97"/>
        <v/>
      </c>
      <c r="AP1219" t="str">
        <f t="shared" si="98"/>
        <v/>
      </c>
      <c r="AQ1219">
        <f t="shared" si="99"/>
        <v>2018</v>
      </c>
    </row>
    <row r="1220" spans="1:43" x14ac:dyDescent="0.35">
      <c r="A1220">
        <v>70</v>
      </c>
      <c r="B1220">
        <v>35</v>
      </c>
      <c r="C1220" t="s">
        <v>148</v>
      </c>
      <c r="D1220" t="s">
        <v>164</v>
      </c>
      <c r="E1220" t="s">
        <v>4</v>
      </c>
      <c r="F1220" t="s">
        <v>36</v>
      </c>
      <c r="G1220" t="s">
        <v>43</v>
      </c>
      <c r="H1220" t="s">
        <v>82</v>
      </c>
      <c r="I1220" t="s">
        <v>42</v>
      </c>
      <c r="J1220" t="s">
        <v>161</v>
      </c>
      <c r="K1220" t="s">
        <v>41</v>
      </c>
      <c r="L1220" t="s">
        <v>147</v>
      </c>
      <c r="M1220" t="s">
        <v>49</v>
      </c>
      <c r="N1220" t="s">
        <v>160</v>
      </c>
      <c r="O1220" t="s">
        <v>41</v>
      </c>
      <c r="P1220" t="s">
        <v>144</v>
      </c>
      <c r="Q1220">
        <v>13</v>
      </c>
      <c r="R1220">
        <v>2</v>
      </c>
      <c r="S1220">
        <v>10</v>
      </c>
      <c r="T1220">
        <v>2</v>
      </c>
      <c r="U1220">
        <v>3</v>
      </c>
      <c r="V1220">
        <v>11</v>
      </c>
      <c r="W1220">
        <v>79</v>
      </c>
      <c r="X1220">
        <v>1097</v>
      </c>
      <c r="Y1220">
        <v>8302</v>
      </c>
      <c r="Z1220">
        <v>9884</v>
      </c>
      <c r="AA1220">
        <v>3</v>
      </c>
      <c r="AB1220" s="29">
        <v>44773</v>
      </c>
      <c r="AC1220" s="29">
        <v>32027</v>
      </c>
      <c r="AD1220" s="29">
        <v>43429</v>
      </c>
      <c r="AE1220" s="29"/>
      <c r="AF1220">
        <v>4</v>
      </c>
      <c r="AG1220" t="s">
        <v>149</v>
      </c>
      <c r="AI1220">
        <v>31</v>
      </c>
      <c r="AJ1220">
        <v>2</v>
      </c>
      <c r="AK1220" t="s">
        <v>162</v>
      </c>
      <c r="AL1220" t="s">
        <v>77</v>
      </c>
      <c r="AM1220">
        <f t="shared" si="95"/>
        <v>4</v>
      </c>
      <c r="AN1220">
        <f t="shared" si="96"/>
        <v>11</v>
      </c>
      <c r="AO1220" t="str">
        <f t="shared" si="97"/>
        <v/>
      </c>
      <c r="AP1220" t="str">
        <f t="shared" si="98"/>
        <v/>
      </c>
      <c r="AQ1220">
        <f t="shared" si="99"/>
        <v>2018</v>
      </c>
    </row>
    <row r="1221" spans="1:43" x14ac:dyDescent="0.35">
      <c r="A1221">
        <v>1948</v>
      </c>
      <c r="B1221">
        <v>31</v>
      </c>
      <c r="C1221" t="s">
        <v>148</v>
      </c>
      <c r="D1221" t="s">
        <v>164</v>
      </c>
      <c r="E1221" t="s">
        <v>4</v>
      </c>
      <c r="F1221" t="s">
        <v>36</v>
      </c>
      <c r="G1221" t="s">
        <v>43</v>
      </c>
      <c r="H1221" t="s">
        <v>82</v>
      </c>
      <c r="I1221" t="s">
        <v>43</v>
      </c>
      <c r="J1221" t="s">
        <v>146</v>
      </c>
      <c r="K1221" t="s">
        <v>41</v>
      </c>
      <c r="L1221" t="s">
        <v>147</v>
      </c>
      <c r="M1221" t="s">
        <v>50</v>
      </c>
      <c r="N1221" t="s">
        <v>96</v>
      </c>
      <c r="O1221" t="s">
        <v>41</v>
      </c>
      <c r="P1221" t="s">
        <v>144</v>
      </c>
      <c r="Q1221">
        <v>13</v>
      </c>
      <c r="R1221">
        <v>1</v>
      </c>
      <c r="S1221">
        <v>4</v>
      </c>
      <c r="T1221">
        <v>2</v>
      </c>
      <c r="U1221">
        <v>3</v>
      </c>
      <c r="V1221">
        <v>3</v>
      </c>
      <c r="W1221">
        <v>48</v>
      </c>
      <c r="X1221">
        <v>976</v>
      </c>
      <c r="Y1221">
        <v>3995</v>
      </c>
      <c r="Z1221">
        <v>3065</v>
      </c>
      <c r="AA1221">
        <v>3</v>
      </c>
      <c r="AB1221" s="29">
        <v>44773</v>
      </c>
      <c r="AC1221" s="29">
        <v>33455</v>
      </c>
      <c r="AD1221" s="29">
        <v>43665</v>
      </c>
      <c r="AE1221" s="29"/>
      <c r="AF1221">
        <v>3</v>
      </c>
      <c r="AG1221" t="s">
        <v>149</v>
      </c>
      <c r="AI1221">
        <v>28</v>
      </c>
      <c r="AJ1221">
        <v>1</v>
      </c>
      <c r="AK1221" t="s">
        <v>170</v>
      </c>
      <c r="AL1221" t="s">
        <v>77</v>
      </c>
      <c r="AM1221">
        <f t="shared" si="95"/>
        <v>3</v>
      </c>
      <c r="AN1221">
        <f t="shared" si="96"/>
        <v>7</v>
      </c>
      <c r="AO1221" t="str">
        <f t="shared" si="97"/>
        <v/>
      </c>
      <c r="AP1221" t="str">
        <f t="shared" si="98"/>
        <v/>
      </c>
      <c r="AQ1221">
        <f t="shared" si="99"/>
        <v>2019</v>
      </c>
    </row>
    <row r="1222" spans="1:43" x14ac:dyDescent="0.35">
      <c r="A1222">
        <v>333</v>
      </c>
      <c r="B1222">
        <v>32</v>
      </c>
      <c r="C1222" t="s">
        <v>148</v>
      </c>
      <c r="D1222" t="s">
        <v>164</v>
      </c>
      <c r="E1222" t="s">
        <v>158</v>
      </c>
      <c r="F1222" t="s">
        <v>37</v>
      </c>
      <c r="G1222" t="s">
        <v>43</v>
      </c>
      <c r="H1222" t="s">
        <v>82</v>
      </c>
      <c r="I1222" t="s">
        <v>43</v>
      </c>
      <c r="J1222" t="s">
        <v>159</v>
      </c>
      <c r="K1222" t="s">
        <v>44</v>
      </c>
      <c r="L1222" t="s">
        <v>147</v>
      </c>
      <c r="M1222" t="s">
        <v>49</v>
      </c>
      <c r="N1222" t="s">
        <v>160</v>
      </c>
      <c r="P1222" t="s">
        <v>148</v>
      </c>
      <c r="Q1222">
        <v>18</v>
      </c>
      <c r="R1222">
        <v>0</v>
      </c>
      <c r="S1222">
        <v>4</v>
      </c>
      <c r="T1222">
        <v>2</v>
      </c>
      <c r="U1222">
        <v>2</v>
      </c>
      <c r="V1222">
        <v>26</v>
      </c>
      <c r="W1222">
        <v>100</v>
      </c>
      <c r="X1222">
        <v>976</v>
      </c>
      <c r="Y1222">
        <v>12069</v>
      </c>
      <c r="Z1222">
        <v>4465</v>
      </c>
      <c r="AA1222">
        <v>2</v>
      </c>
      <c r="AB1222" s="29">
        <v>44773</v>
      </c>
      <c r="AC1222" s="29">
        <v>33264</v>
      </c>
      <c r="AD1222" s="29">
        <v>43735</v>
      </c>
      <c r="AE1222" s="29"/>
      <c r="AF1222">
        <v>3</v>
      </c>
      <c r="AG1222" t="s">
        <v>149</v>
      </c>
      <c r="AI1222">
        <v>29</v>
      </c>
      <c r="AJ1222">
        <v>1</v>
      </c>
      <c r="AK1222" t="s">
        <v>170</v>
      </c>
      <c r="AL1222" t="s">
        <v>77</v>
      </c>
      <c r="AM1222">
        <f t="shared" si="95"/>
        <v>3</v>
      </c>
      <c r="AN1222">
        <f t="shared" si="96"/>
        <v>9</v>
      </c>
      <c r="AO1222" t="str">
        <f t="shared" si="97"/>
        <v/>
      </c>
      <c r="AP1222" t="str">
        <f t="shared" si="98"/>
        <v/>
      </c>
      <c r="AQ1222">
        <f t="shared" si="99"/>
        <v>2019</v>
      </c>
    </row>
    <row r="1223" spans="1:43" x14ac:dyDescent="0.35">
      <c r="A1223">
        <v>1858</v>
      </c>
      <c r="B1223">
        <v>28</v>
      </c>
      <c r="C1223" t="s">
        <v>148</v>
      </c>
      <c r="D1223" t="s">
        <v>164</v>
      </c>
      <c r="E1223" t="s">
        <v>168</v>
      </c>
      <c r="F1223" t="s">
        <v>36</v>
      </c>
      <c r="G1223" t="s">
        <v>43</v>
      </c>
      <c r="H1223" t="s">
        <v>82</v>
      </c>
      <c r="I1223" t="s">
        <v>43</v>
      </c>
      <c r="J1223" t="s">
        <v>168</v>
      </c>
      <c r="K1223" t="s">
        <v>44</v>
      </c>
      <c r="L1223" t="s">
        <v>147</v>
      </c>
      <c r="M1223" t="s">
        <v>49</v>
      </c>
      <c r="N1223" t="s">
        <v>96</v>
      </c>
      <c r="O1223" t="s">
        <v>41</v>
      </c>
      <c r="P1223" t="s">
        <v>148</v>
      </c>
      <c r="Q1223">
        <v>15</v>
      </c>
      <c r="R1223">
        <v>1</v>
      </c>
      <c r="S1223">
        <v>3</v>
      </c>
      <c r="T1223">
        <v>2</v>
      </c>
      <c r="U1223">
        <v>2</v>
      </c>
      <c r="V1223">
        <v>1</v>
      </c>
      <c r="W1223">
        <v>43</v>
      </c>
      <c r="X1223">
        <v>280</v>
      </c>
      <c r="Y1223">
        <v>10494</v>
      </c>
      <c r="Z1223">
        <v>2706</v>
      </c>
      <c r="AA1223">
        <v>2</v>
      </c>
      <c r="AB1223" s="29">
        <v>44773</v>
      </c>
      <c r="AC1223" s="29">
        <v>34702</v>
      </c>
      <c r="AD1223" s="29">
        <v>43846</v>
      </c>
      <c r="AE1223" s="29"/>
      <c r="AF1223">
        <v>3</v>
      </c>
      <c r="AG1223" t="s">
        <v>157</v>
      </c>
      <c r="AI1223">
        <v>25</v>
      </c>
      <c r="AJ1223">
        <v>2</v>
      </c>
      <c r="AK1223" t="s">
        <v>170</v>
      </c>
      <c r="AL1223" t="s">
        <v>77</v>
      </c>
      <c r="AM1223">
        <f t="shared" si="95"/>
        <v>1</v>
      </c>
      <c r="AN1223">
        <f t="shared" si="96"/>
        <v>1</v>
      </c>
      <c r="AO1223" t="str">
        <f t="shared" si="97"/>
        <v/>
      </c>
      <c r="AP1223" t="str">
        <f t="shared" si="98"/>
        <v/>
      </c>
      <c r="AQ1223">
        <f t="shared" si="99"/>
        <v>2020</v>
      </c>
    </row>
    <row r="1224" spans="1:43" x14ac:dyDescent="0.35">
      <c r="A1224">
        <v>1552</v>
      </c>
      <c r="B1224">
        <v>40</v>
      </c>
      <c r="C1224" t="s">
        <v>148</v>
      </c>
      <c r="D1224" t="s">
        <v>164</v>
      </c>
      <c r="E1224" t="s">
        <v>4</v>
      </c>
      <c r="F1224" t="s">
        <v>36</v>
      </c>
      <c r="G1224" t="s">
        <v>44</v>
      </c>
      <c r="H1224" t="s">
        <v>82</v>
      </c>
      <c r="I1224" t="s">
        <v>43</v>
      </c>
      <c r="J1224" t="s">
        <v>161</v>
      </c>
      <c r="K1224" t="s">
        <v>44</v>
      </c>
      <c r="L1224" t="s">
        <v>147</v>
      </c>
      <c r="M1224" t="s">
        <v>49</v>
      </c>
      <c r="N1224" t="s">
        <v>96</v>
      </c>
      <c r="P1224" t="s">
        <v>144</v>
      </c>
      <c r="Q1224">
        <v>18</v>
      </c>
      <c r="R1224">
        <v>3</v>
      </c>
      <c r="S1224">
        <v>8</v>
      </c>
      <c r="T1224">
        <v>2</v>
      </c>
      <c r="U1224">
        <v>2</v>
      </c>
      <c r="V1224">
        <v>8</v>
      </c>
      <c r="W1224">
        <v>72</v>
      </c>
      <c r="X1224">
        <v>1142</v>
      </c>
      <c r="Y1224">
        <v>8841</v>
      </c>
      <c r="Z1224">
        <v>4069</v>
      </c>
      <c r="AA1224">
        <v>2</v>
      </c>
      <c r="AB1224" s="29">
        <v>44773</v>
      </c>
      <c r="AC1224" s="29">
        <v>30263</v>
      </c>
      <c r="AD1224" s="29">
        <v>44046</v>
      </c>
      <c r="AE1224" s="29"/>
      <c r="AF1224">
        <v>2</v>
      </c>
      <c r="AG1224" t="s">
        <v>153</v>
      </c>
      <c r="AI1224">
        <v>38</v>
      </c>
      <c r="AJ1224">
        <v>1</v>
      </c>
      <c r="AK1224" t="s">
        <v>170</v>
      </c>
      <c r="AL1224" t="s">
        <v>77</v>
      </c>
      <c r="AM1224">
        <f t="shared" si="95"/>
        <v>3</v>
      </c>
      <c r="AN1224">
        <f t="shared" si="96"/>
        <v>8</v>
      </c>
      <c r="AO1224" t="str">
        <f t="shared" si="97"/>
        <v/>
      </c>
      <c r="AP1224" t="str">
        <f t="shared" si="98"/>
        <v/>
      </c>
      <c r="AQ1224">
        <f t="shared" si="99"/>
        <v>2020</v>
      </c>
    </row>
    <row r="1225" spans="1:43" x14ac:dyDescent="0.35">
      <c r="A1225">
        <v>1746</v>
      </c>
      <c r="B1225">
        <v>24</v>
      </c>
      <c r="C1225" t="s">
        <v>148</v>
      </c>
      <c r="D1225" t="s">
        <v>151</v>
      </c>
      <c r="E1225" t="s">
        <v>168</v>
      </c>
      <c r="F1225" t="s">
        <v>38</v>
      </c>
      <c r="G1225" t="s">
        <v>41</v>
      </c>
      <c r="H1225" t="s">
        <v>82</v>
      </c>
      <c r="I1225" t="s">
        <v>43</v>
      </c>
      <c r="J1225" t="s">
        <v>168</v>
      </c>
      <c r="K1225" t="s">
        <v>44</v>
      </c>
      <c r="L1225" t="s">
        <v>147</v>
      </c>
      <c r="M1225" t="s">
        <v>49</v>
      </c>
      <c r="N1225" t="s">
        <v>160</v>
      </c>
      <c r="O1225" t="s">
        <v>41</v>
      </c>
      <c r="P1225" t="s">
        <v>148</v>
      </c>
      <c r="Q1225">
        <v>14</v>
      </c>
      <c r="R1225">
        <v>0</v>
      </c>
      <c r="S1225">
        <v>3</v>
      </c>
      <c r="T1225">
        <v>2</v>
      </c>
      <c r="U1225">
        <v>1</v>
      </c>
      <c r="V1225">
        <v>10</v>
      </c>
      <c r="W1225">
        <v>59</v>
      </c>
      <c r="X1225">
        <v>897</v>
      </c>
      <c r="Y1225">
        <v>2097</v>
      </c>
      <c r="Z1225">
        <v>2145</v>
      </c>
      <c r="AA1225">
        <v>2</v>
      </c>
      <c r="AB1225" s="29">
        <v>44773</v>
      </c>
      <c r="AC1225" s="29">
        <v>36014</v>
      </c>
      <c r="AD1225" s="29">
        <v>44055</v>
      </c>
      <c r="AE1225" s="29"/>
      <c r="AF1225">
        <v>2</v>
      </c>
      <c r="AG1225" t="s">
        <v>157</v>
      </c>
      <c r="AI1225">
        <v>22</v>
      </c>
      <c r="AJ1225">
        <v>1</v>
      </c>
      <c r="AK1225" t="s">
        <v>170</v>
      </c>
      <c r="AL1225" t="s">
        <v>78</v>
      </c>
      <c r="AM1225">
        <f t="shared" si="95"/>
        <v>3</v>
      </c>
      <c r="AN1225">
        <f t="shared" si="96"/>
        <v>8</v>
      </c>
      <c r="AO1225" t="str">
        <f t="shared" si="97"/>
        <v/>
      </c>
      <c r="AP1225" t="str">
        <f t="shared" si="98"/>
        <v/>
      </c>
      <c r="AQ1225">
        <f t="shared" si="99"/>
        <v>2020</v>
      </c>
    </row>
    <row r="1226" spans="1:43" x14ac:dyDescent="0.35">
      <c r="A1226">
        <v>792</v>
      </c>
      <c r="B1226">
        <v>26</v>
      </c>
      <c r="C1226" t="s">
        <v>148</v>
      </c>
      <c r="D1226" t="s">
        <v>151</v>
      </c>
      <c r="E1226" t="s">
        <v>4</v>
      </c>
      <c r="F1226" t="s">
        <v>36</v>
      </c>
      <c r="G1226" t="s">
        <v>41</v>
      </c>
      <c r="H1226" t="s">
        <v>81</v>
      </c>
      <c r="I1226" t="s">
        <v>41</v>
      </c>
      <c r="J1226" t="s">
        <v>155</v>
      </c>
      <c r="K1226" t="s">
        <v>44</v>
      </c>
      <c r="L1226" t="s">
        <v>147</v>
      </c>
      <c r="M1226" t="s">
        <v>49</v>
      </c>
      <c r="N1226" t="s">
        <v>96</v>
      </c>
      <c r="O1226" t="s">
        <v>41</v>
      </c>
      <c r="P1226" t="s">
        <v>148</v>
      </c>
      <c r="Q1226">
        <v>14</v>
      </c>
      <c r="R1226">
        <v>3</v>
      </c>
      <c r="S1226">
        <v>5</v>
      </c>
      <c r="T1226">
        <v>2</v>
      </c>
      <c r="U1226">
        <v>0</v>
      </c>
      <c r="V1226">
        <v>1</v>
      </c>
      <c r="W1226">
        <v>71</v>
      </c>
      <c r="X1226">
        <v>575</v>
      </c>
      <c r="Y1226">
        <v>5288</v>
      </c>
      <c r="Z1226">
        <v>4364</v>
      </c>
      <c r="AA1226">
        <v>2</v>
      </c>
      <c r="AB1226" s="29">
        <v>44773</v>
      </c>
      <c r="AC1226" s="29">
        <v>35577</v>
      </c>
      <c r="AD1226" s="29">
        <v>44068</v>
      </c>
      <c r="AE1226" s="29"/>
      <c r="AF1226">
        <v>2</v>
      </c>
      <c r="AG1226" t="s">
        <v>157</v>
      </c>
      <c r="AI1226">
        <v>24</v>
      </c>
      <c r="AJ1226">
        <v>1</v>
      </c>
      <c r="AK1226" t="s">
        <v>170</v>
      </c>
      <c r="AL1226" t="s">
        <v>77</v>
      </c>
      <c r="AM1226">
        <f t="shared" si="95"/>
        <v>3</v>
      </c>
      <c r="AN1226">
        <f t="shared" si="96"/>
        <v>8</v>
      </c>
      <c r="AO1226" t="str">
        <f t="shared" si="97"/>
        <v/>
      </c>
      <c r="AP1226" t="str">
        <f t="shared" si="98"/>
        <v/>
      </c>
      <c r="AQ1226">
        <f t="shared" si="99"/>
        <v>2020</v>
      </c>
    </row>
    <row r="1227" spans="1:43" x14ac:dyDescent="0.35">
      <c r="A1227">
        <v>1060</v>
      </c>
      <c r="B1227">
        <v>38</v>
      </c>
      <c r="C1227" t="s">
        <v>148</v>
      </c>
      <c r="D1227" t="s">
        <v>151</v>
      </c>
      <c r="E1227" t="s">
        <v>4</v>
      </c>
      <c r="F1227" t="s">
        <v>37</v>
      </c>
      <c r="G1227" t="s">
        <v>43</v>
      </c>
      <c r="H1227" t="s">
        <v>82</v>
      </c>
      <c r="I1227" t="s">
        <v>43</v>
      </c>
      <c r="J1227" t="s">
        <v>146</v>
      </c>
      <c r="K1227" t="s">
        <v>43</v>
      </c>
      <c r="L1227" t="s">
        <v>147</v>
      </c>
      <c r="M1227" t="s">
        <v>49</v>
      </c>
      <c r="N1227" t="s">
        <v>160</v>
      </c>
      <c r="O1227" t="s">
        <v>41</v>
      </c>
      <c r="P1227" t="s">
        <v>148</v>
      </c>
      <c r="Q1227">
        <v>16</v>
      </c>
      <c r="R1227">
        <v>3</v>
      </c>
      <c r="S1227">
        <v>8</v>
      </c>
      <c r="T1227">
        <v>2</v>
      </c>
      <c r="U1227">
        <v>2</v>
      </c>
      <c r="V1227">
        <v>3</v>
      </c>
      <c r="W1227">
        <v>44</v>
      </c>
      <c r="X1227">
        <v>1186</v>
      </c>
      <c r="Y1227">
        <v>2997</v>
      </c>
      <c r="Z1227">
        <v>2821</v>
      </c>
      <c r="AA1227">
        <v>2</v>
      </c>
      <c r="AB1227" s="29">
        <v>44773</v>
      </c>
      <c r="AC1227" s="29">
        <v>30972</v>
      </c>
      <c r="AD1227" s="29">
        <v>44073</v>
      </c>
      <c r="AE1227" s="29"/>
      <c r="AF1227">
        <v>2</v>
      </c>
      <c r="AG1227" t="s">
        <v>149</v>
      </c>
      <c r="AI1227">
        <v>36</v>
      </c>
      <c r="AJ1227">
        <v>1</v>
      </c>
      <c r="AK1227" t="s">
        <v>170</v>
      </c>
      <c r="AL1227" t="s">
        <v>77</v>
      </c>
      <c r="AM1227">
        <f t="shared" si="95"/>
        <v>3</v>
      </c>
      <c r="AN1227">
        <f t="shared" si="96"/>
        <v>8</v>
      </c>
      <c r="AO1227" t="str">
        <f t="shared" si="97"/>
        <v/>
      </c>
      <c r="AP1227" t="str">
        <f t="shared" si="98"/>
        <v/>
      </c>
      <c r="AQ1227">
        <f t="shared" si="99"/>
        <v>2020</v>
      </c>
    </row>
    <row r="1228" spans="1:43" x14ac:dyDescent="0.35">
      <c r="A1228">
        <v>1801</v>
      </c>
      <c r="B1228">
        <v>46</v>
      </c>
      <c r="C1228" t="s">
        <v>148</v>
      </c>
      <c r="D1228" t="s">
        <v>164</v>
      </c>
      <c r="E1228" t="s">
        <v>158</v>
      </c>
      <c r="F1228" t="s">
        <v>36</v>
      </c>
      <c r="G1228" t="s">
        <v>42</v>
      </c>
      <c r="H1228" t="s">
        <v>82</v>
      </c>
      <c r="I1228" t="s">
        <v>42</v>
      </c>
      <c r="J1228" t="s">
        <v>159</v>
      </c>
      <c r="K1228" t="s">
        <v>42</v>
      </c>
      <c r="L1228" t="s">
        <v>147</v>
      </c>
      <c r="M1228" t="s">
        <v>49</v>
      </c>
      <c r="N1228" t="s">
        <v>95</v>
      </c>
      <c r="P1228" t="s">
        <v>148</v>
      </c>
      <c r="Q1228">
        <v>15</v>
      </c>
      <c r="R1228">
        <v>8</v>
      </c>
      <c r="S1228">
        <v>6</v>
      </c>
      <c r="T1228">
        <v>2</v>
      </c>
      <c r="U1228">
        <v>2</v>
      </c>
      <c r="V1228">
        <v>26</v>
      </c>
      <c r="W1228">
        <v>98</v>
      </c>
      <c r="X1228">
        <v>849</v>
      </c>
      <c r="Y1228">
        <v>25166</v>
      </c>
      <c r="Z1228">
        <v>7991</v>
      </c>
      <c r="AA1228">
        <v>3</v>
      </c>
      <c r="AB1228" s="29">
        <v>44773</v>
      </c>
      <c r="AC1228" s="29">
        <v>28244</v>
      </c>
      <c r="AD1228" s="29">
        <v>44106</v>
      </c>
      <c r="AE1228" s="29"/>
      <c r="AF1228">
        <v>2</v>
      </c>
      <c r="AG1228" t="s">
        <v>153</v>
      </c>
      <c r="AI1228">
        <v>44</v>
      </c>
      <c r="AJ1228">
        <v>2</v>
      </c>
      <c r="AK1228" t="s">
        <v>170</v>
      </c>
      <c r="AL1228" t="s">
        <v>77</v>
      </c>
      <c r="AM1228">
        <f t="shared" si="95"/>
        <v>4</v>
      </c>
      <c r="AN1228">
        <f t="shared" si="96"/>
        <v>10</v>
      </c>
      <c r="AO1228" t="str">
        <f t="shared" si="97"/>
        <v/>
      </c>
      <c r="AP1228" t="str">
        <f t="shared" si="98"/>
        <v/>
      </c>
      <c r="AQ1228">
        <f t="shared" si="99"/>
        <v>2020</v>
      </c>
    </row>
    <row r="1229" spans="1:43" x14ac:dyDescent="0.35">
      <c r="A1229">
        <v>754</v>
      </c>
      <c r="B1229">
        <v>43</v>
      </c>
      <c r="C1229" t="s">
        <v>148</v>
      </c>
      <c r="D1229" t="s">
        <v>151</v>
      </c>
      <c r="E1229" t="s">
        <v>158</v>
      </c>
      <c r="F1229" t="s">
        <v>38</v>
      </c>
      <c r="G1229" t="s">
        <v>44</v>
      </c>
      <c r="H1229" t="s">
        <v>82</v>
      </c>
      <c r="I1229" t="s">
        <v>42</v>
      </c>
      <c r="J1229" t="s">
        <v>159</v>
      </c>
      <c r="K1229" t="s">
        <v>44</v>
      </c>
      <c r="L1229" t="s">
        <v>147</v>
      </c>
      <c r="M1229" t="s">
        <v>49</v>
      </c>
      <c r="N1229" t="s">
        <v>160</v>
      </c>
      <c r="O1229" t="s">
        <v>41</v>
      </c>
      <c r="P1229" t="s">
        <v>148</v>
      </c>
      <c r="Q1229">
        <v>18</v>
      </c>
      <c r="R1229">
        <v>3</v>
      </c>
      <c r="S1229">
        <v>7</v>
      </c>
      <c r="T1229">
        <v>2</v>
      </c>
      <c r="U1229">
        <v>2</v>
      </c>
      <c r="V1229">
        <v>15</v>
      </c>
      <c r="W1229">
        <v>47</v>
      </c>
      <c r="X1229">
        <v>775</v>
      </c>
      <c r="Y1229">
        <v>23683</v>
      </c>
      <c r="Z1229">
        <v>6804</v>
      </c>
      <c r="AA1229">
        <v>5</v>
      </c>
      <c r="AB1229" s="29">
        <v>44773</v>
      </c>
      <c r="AC1229" s="29">
        <v>29130</v>
      </c>
      <c r="AD1229" s="29">
        <v>44119</v>
      </c>
      <c r="AE1229" s="29"/>
      <c r="AF1229">
        <v>2</v>
      </c>
      <c r="AG1229" t="s">
        <v>153</v>
      </c>
      <c r="AI1229">
        <v>41</v>
      </c>
      <c r="AJ1229">
        <v>2</v>
      </c>
      <c r="AK1229" t="s">
        <v>170</v>
      </c>
      <c r="AL1229" t="s">
        <v>77</v>
      </c>
      <c r="AM1229">
        <f t="shared" si="95"/>
        <v>4</v>
      </c>
      <c r="AN1229">
        <f t="shared" si="96"/>
        <v>10</v>
      </c>
      <c r="AO1229" t="str">
        <f t="shared" si="97"/>
        <v/>
      </c>
      <c r="AP1229" t="str">
        <f t="shared" si="98"/>
        <v/>
      </c>
      <c r="AQ1229">
        <f t="shared" si="99"/>
        <v>2020</v>
      </c>
    </row>
    <row r="1230" spans="1:43" x14ac:dyDescent="0.35">
      <c r="A1230">
        <v>399</v>
      </c>
      <c r="B1230">
        <v>31</v>
      </c>
      <c r="C1230" t="s">
        <v>148</v>
      </c>
      <c r="D1230" t="s">
        <v>151</v>
      </c>
      <c r="E1230" t="s">
        <v>158</v>
      </c>
      <c r="F1230" t="s">
        <v>38</v>
      </c>
      <c r="G1230" t="s">
        <v>44</v>
      </c>
      <c r="H1230" t="s">
        <v>81</v>
      </c>
      <c r="I1230" t="s">
        <v>43</v>
      </c>
      <c r="J1230" t="s">
        <v>166</v>
      </c>
      <c r="K1230" t="s">
        <v>42</v>
      </c>
      <c r="L1230" t="s">
        <v>147</v>
      </c>
      <c r="M1230" t="s">
        <v>48</v>
      </c>
      <c r="N1230" t="s">
        <v>96</v>
      </c>
      <c r="O1230" t="s">
        <v>41</v>
      </c>
      <c r="P1230" t="s">
        <v>148</v>
      </c>
      <c r="Q1230">
        <v>11</v>
      </c>
      <c r="R1230">
        <v>1</v>
      </c>
      <c r="S1230">
        <v>2</v>
      </c>
      <c r="T1230">
        <v>2</v>
      </c>
      <c r="U1230">
        <v>2</v>
      </c>
      <c r="V1230">
        <v>5</v>
      </c>
      <c r="W1230">
        <v>84</v>
      </c>
      <c r="X1230">
        <v>444</v>
      </c>
      <c r="Y1230">
        <v>3909</v>
      </c>
      <c r="Z1230">
        <v>2789</v>
      </c>
      <c r="AA1230">
        <v>5</v>
      </c>
      <c r="AB1230" s="29">
        <v>44773</v>
      </c>
      <c r="AC1230" s="29">
        <v>33513</v>
      </c>
      <c r="AD1230" s="29">
        <v>44156</v>
      </c>
      <c r="AE1230" s="29"/>
      <c r="AF1230">
        <v>2</v>
      </c>
      <c r="AG1230" t="s">
        <v>149</v>
      </c>
      <c r="AI1230">
        <v>29</v>
      </c>
      <c r="AJ1230">
        <v>1</v>
      </c>
      <c r="AK1230" t="s">
        <v>170</v>
      </c>
      <c r="AL1230" t="s">
        <v>77</v>
      </c>
      <c r="AM1230">
        <f t="shared" si="95"/>
        <v>4</v>
      </c>
      <c r="AN1230">
        <f t="shared" si="96"/>
        <v>11</v>
      </c>
      <c r="AO1230" t="str">
        <f t="shared" si="97"/>
        <v/>
      </c>
      <c r="AP1230" t="str">
        <f t="shared" si="98"/>
        <v/>
      </c>
      <c r="AQ1230">
        <f t="shared" si="99"/>
        <v>2020</v>
      </c>
    </row>
    <row r="1231" spans="1:43" x14ac:dyDescent="0.35">
      <c r="A1231">
        <v>1837</v>
      </c>
      <c r="B1231">
        <v>58</v>
      </c>
      <c r="C1231" t="s">
        <v>148</v>
      </c>
      <c r="D1231" t="s">
        <v>151</v>
      </c>
      <c r="E1231" t="s">
        <v>4</v>
      </c>
      <c r="F1231" t="s">
        <v>37</v>
      </c>
      <c r="G1231" t="s">
        <v>41</v>
      </c>
      <c r="H1231" t="s">
        <v>82</v>
      </c>
      <c r="I1231" t="s">
        <v>43</v>
      </c>
      <c r="J1231" t="s">
        <v>173</v>
      </c>
      <c r="K1231" t="s">
        <v>43</v>
      </c>
      <c r="L1231" t="s">
        <v>147</v>
      </c>
      <c r="M1231" t="s">
        <v>49</v>
      </c>
      <c r="N1231" t="s">
        <v>160</v>
      </c>
      <c r="P1231" t="s">
        <v>144</v>
      </c>
      <c r="Q1231">
        <v>14</v>
      </c>
      <c r="R1231">
        <v>2</v>
      </c>
      <c r="S1231">
        <v>23</v>
      </c>
      <c r="T1231">
        <v>2</v>
      </c>
      <c r="U1231">
        <v>2</v>
      </c>
      <c r="V1231">
        <v>15</v>
      </c>
      <c r="W1231">
        <v>87</v>
      </c>
      <c r="X1231">
        <v>1216</v>
      </c>
      <c r="Y1231">
        <v>21624</v>
      </c>
      <c r="Z1231">
        <v>15787</v>
      </c>
      <c r="AA1231">
        <v>3</v>
      </c>
      <c r="AB1231" s="29">
        <v>44773</v>
      </c>
      <c r="AC1231" s="29">
        <v>23901</v>
      </c>
      <c r="AD1231" s="29">
        <v>44158</v>
      </c>
      <c r="AE1231" s="29"/>
      <c r="AF1231">
        <v>2</v>
      </c>
      <c r="AG1231" t="s">
        <v>167</v>
      </c>
      <c r="AI1231">
        <v>56</v>
      </c>
      <c r="AJ1231">
        <v>1</v>
      </c>
      <c r="AK1231" t="s">
        <v>170</v>
      </c>
      <c r="AL1231" t="s">
        <v>77</v>
      </c>
      <c r="AM1231">
        <f t="shared" si="95"/>
        <v>4</v>
      </c>
      <c r="AN1231">
        <f t="shared" si="96"/>
        <v>11</v>
      </c>
      <c r="AO1231" t="str">
        <f t="shared" si="97"/>
        <v/>
      </c>
      <c r="AP1231" t="str">
        <f t="shared" si="98"/>
        <v/>
      </c>
      <c r="AQ1231">
        <f t="shared" si="99"/>
        <v>2020</v>
      </c>
    </row>
    <row r="1232" spans="1:43" x14ac:dyDescent="0.35">
      <c r="A1232">
        <v>1135</v>
      </c>
      <c r="B1232">
        <v>31</v>
      </c>
      <c r="C1232" t="s">
        <v>148</v>
      </c>
      <c r="D1232" t="s">
        <v>151</v>
      </c>
      <c r="E1232" t="s">
        <v>158</v>
      </c>
      <c r="F1232" t="s">
        <v>38</v>
      </c>
      <c r="G1232" t="s">
        <v>43</v>
      </c>
      <c r="H1232" t="s">
        <v>82</v>
      </c>
      <c r="I1232" t="s">
        <v>44</v>
      </c>
      <c r="J1232" t="s">
        <v>166</v>
      </c>
      <c r="K1232" t="s">
        <v>44</v>
      </c>
      <c r="L1232" t="s">
        <v>147</v>
      </c>
      <c r="M1232" t="s">
        <v>49</v>
      </c>
      <c r="N1232" t="s">
        <v>160</v>
      </c>
      <c r="O1232" t="s">
        <v>41</v>
      </c>
      <c r="P1232" t="s">
        <v>148</v>
      </c>
      <c r="Q1232">
        <v>12</v>
      </c>
      <c r="R1232">
        <v>0</v>
      </c>
      <c r="S1232">
        <v>3</v>
      </c>
      <c r="T1232">
        <v>2</v>
      </c>
      <c r="U1232">
        <v>2</v>
      </c>
      <c r="V1232">
        <v>20</v>
      </c>
      <c r="W1232">
        <v>67</v>
      </c>
      <c r="X1232">
        <v>793</v>
      </c>
      <c r="Y1232">
        <v>21981</v>
      </c>
      <c r="Z1232">
        <v>2791</v>
      </c>
      <c r="AA1232">
        <v>4</v>
      </c>
      <c r="AB1232" s="29">
        <v>44773</v>
      </c>
      <c r="AC1232" s="29">
        <v>33549</v>
      </c>
      <c r="AD1232" s="29">
        <v>44185</v>
      </c>
      <c r="AE1232" s="29"/>
      <c r="AF1232">
        <v>2</v>
      </c>
      <c r="AG1232" t="s">
        <v>149</v>
      </c>
      <c r="AI1232">
        <v>29</v>
      </c>
      <c r="AJ1232">
        <v>1</v>
      </c>
      <c r="AK1232" t="s">
        <v>170</v>
      </c>
      <c r="AL1232" t="s">
        <v>78</v>
      </c>
      <c r="AM1232">
        <f t="shared" si="95"/>
        <v>4</v>
      </c>
      <c r="AN1232">
        <f t="shared" si="96"/>
        <v>12</v>
      </c>
      <c r="AO1232" t="str">
        <f t="shared" si="97"/>
        <v/>
      </c>
      <c r="AP1232" t="str">
        <f t="shared" si="98"/>
        <v/>
      </c>
      <c r="AQ1232">
        <f t="shared" si="99"/>
        <v>2020</v>
      </c>
    </row>
    <row r="1233" spans="1:43" x14ac:dyDescent="0.35">
      <c r="A1233">
        <v>274</v>
      </c>
      <c r="B1233">
        <v>27</v>
      </c>
      <c r="C1233" t="s">
        <v>148</v>
      </c>
      <c r="D1233" t="s">
        <v>151</v>
      </c>
      <c r="E1233" t="s">
        <v>4</v>
      </c>
      <c r="F1233" t="s">
        <v>35</v>
      </c>
      <c r="G1233" t="s">
        <v>43</v>
      </c>
      <c r="H1233" t="s">
        <v>82</v>
      </c>
      <c r="I1233" t="s">
        <v>42</v>
      </c>
      <c r="J1233" t="s">
        <v>165</v>
      </c>
      <c r="K1233" t="s">
        <v>41</v>
      </c>
      <c r="L1233" t="s">
        <v>147</v>
      </c>
      <c r="M1233" t="s">
        <v>49</v>
      </c>
      <c r="N1233" t="s">
        <v>160</v>
      </c>
      <c r="O1233" t="s">
        <v>41</v>
      </c>
      <c r="P1233" t="s">
        <v>148</v>
      </c>
      <c r="Q1233">
        <v>19</v>
      </c>
      <c r="R1233">
        <v>5</v>
      </c>
      <c r="S1233">
        <v>6</v>
      </c>
      <c r="T1233">
        <v>2</v>
      </c>
      <c r="U1233">
        <v>0</v>
      </c>
      <c r="V1233">
        <v>1</v>
      </c>
      <c r="W1233">
        <v>60</v>
      </c>
      <c r="X1233">
        <v>472</v>
      </c>
      <c r="Y1233">
        <v>9679</v>
      </c>
      <c r="Z1233">
        <v>4298</v>
      </c>
      <c r="AA1233">
        <v>1</v>
      </c>
      <c r="AB1233" s="29">
        <v>44773</v>
      </c>
      <c r="AC1233" s="29">
        <v>35154</v>
      </c>
      <c r="AD1233" s="29">
        <v>44196</v>
      </c>
      <c r="AE1233" s="29"/>
      <c r="AF1233">
        <v>2</v>
      </c>
      <c r="AG1233" t="s">
        <v>157</v>
      </c>
      <c r="AI1233">
        <v>25</v>
      </c>
      <c r="AJ1233">
        <v>1</v>
      </c>
      <c r="AK1233" t="s">
        <v>170</v>
      </c>
      <c r="AL1233" t="s">
        <v>77</v>
      </c>
      <c r="AM1233">
        <f t="shared" si="95"/>
        <v>4</v>
      </c>
      <c r="AN1233">
        <f t="shared" si="96"/>
        <v>12</v>
      </c>
      <c r="AO1233" t="str">
        <f t="shared" si="97"/>
        <v/>
      </c>
      <c r="AP1233" t="str">
        <f t="shared" si="98"/>
        <v/>
      </c>
      <c r="AQ1233">
        <f t="shared" si="99"/>
        <v>2020</v>
      </c>
    </row>
    <row r="1234" spans="1:43" x14ac:dyDescent="0.35">
      <c r="A1234">
        <v>632</v>
      </c>
      <c r="B1234">
        <v>24</v>
      </c>
      <c r="C1234" t="s">
        <v>148</v>
      </c>
      <c r="D1234" t="s">
        <v>151</v>
      </c>
      <c r="E1234" t="s">
        <v>158</v>
      </c>
      <c r="F1234" t="s">
        <v>38</v>
      </c>
      <c r="G1234" t="s">
        <v>44</v>
      </c>
      <c r="H1234" t="s">
        <v>82</v>
      </c>
      <c r="I1234" t="s">
        <v>43</v>
      </c>
      <c r="J1234" t="s">
        <v>166</v>
      </c>
      <c r="K1234" t="s">
        <v>44</v>
      </c>
      <c r="L1234" t="s">
        <v>147</v>
      </c>
      <c r="M1234" t="s">
        <v>49</v>
      </c>
      <c r="N1234" t="s">
        <v>160</v>
      </c>
      <c r="O1234" t="s">
        <v>156</v>
      </c>
      <c r="P1234" t="s">
        <v>148</v>
      </c>
      <c r="Q1234">
        <v>13</v>
      </c>
      <c r="R1234">
        <v>0</v>
      </c>
      <c r="S1234">
        <v>3</v>
      </c>
      <c r="T1234">
        <v>2</v>
      </c>
      <c r="U1234">
        <v>1</v>
      </c>
      <c r="V1234">
        <v>24</v>
      </c>
      <c r="W1234">
        <v>38</v>
      </c>
      <c r="X1234">
        <v>535</v>
      </c>
      <c r="Y1234">
        <v>5530</v>
      </c>
      <c r="Z1234">
        <v>2400</v>
      </c>
      <c r="AA1234">
        <v>3</v>
      </c>
      <c r="AB1234" s="29">
        <v>44773</v>
      </c>
      <c r="AC1234" s="29">
        <v>36076</v>
      </c>
      <c r="AD1234" s="29">
        <v>44206</v>
      </c>
      <c r="AE1234" s="29"/>
      <c r="AF1234">
        <v>2</v>
      </c>
      <c r="AG1234" t="s">
        <v>157</v>
      </c>
      <c r="AI1234">
        <v>22</v>
      </c>
      <c r="AJ1234">
        <v>2</v>
      </c>
      <c r="AK1234" t="s">
        <v>170</v>
      </c>
      <c r="AL1234" t="s">
        <v>77</v>
      </c>
      <c r="AM1234">
        <f t="shared" si="95"/>
        <v>1</v>
      </c>
      <c r="AN1234">
        <f t="shared" si="96"/>
        <v>1</v>
      </c>
      <c r="AO1234" t="str">
        <f t="shared" si="97"/>
        <v/>
      </c>
      <c r="AP1234" t="str">
        <f t="shared" si="98"/>
        <v/>
      </c>
      <c r="AQ1234">
        <f t="shared" si="99"/>
        <v>2021</v>
      </c>
    </row>
    <row r="1235" spans="1:43" x14ac:dyDescent="0.35">
      <c r="A1235">
        <v>218</v>
      </c>
      <c r="B1235">
        <v>27</v>
      </c>
      <c r="C1235" t="s">
        <v>148</v>
      </c>
      <c r="D1235" t="s">
        <v>164</v>
      </c>
      <c r="E1235" t="s">
        <v>4</v>
      </c>
      <c r="F1235" t="s">
        <v>38</v>
      </c>
      <c r="G1235" t="s">
        <v>44</v>
      </c>
      <c r="H1235" t="s">
        <v>82</v>
      </c>
      <c r="I1235" t="s">
        <v>43</v>
      </c>
      <c r="J1235" t="s">
        <v>146</v>
      </c>
      <c r="K1235" t="s">
        <v>42</v>
      </c>
      <c r="L1235" t="s">
        <v>147</v>
      </c>
      <c r="M1235" t="s">
        <v>47</v>
      </c>
      <c r="N1235" t="s">
        <v>96</v>
      </c>
      <c r="O1235" t="s">
        <v>41</v>
      </c>
      <c r="P1235" t="s">
        <v>148</v>
      </c>
      <c r="Q1235">
        <v>18</v>
      </c>
      <c r="R1235">
        <v>6</v>
      </c>
      <c r="S1235">
        <v>6</v>
      </c>
      <c r="T1235">
        <v>2</v>
      </c>
      <c r="U1235">
        <v>2</v>
      </c>
      <c r="V1235">
        <v>9</v>
      </c>
      <c r="W1235">
        <v>57</v>
      </c>
      <c r="X1235">
        <v>691</v>
      </c>
      <c r="Y1235">
        <v>5970</v>
      </c>
      <c r="Z1235">
        <v>2024</v>
      </c>
      <c r="AA1235">
        <v>1</v>
      </c>
      <c r="AB1235" s="29">
        <v>44773</v>
      </c>
      <c r="AC1235" s="29">
        <v>35153</v>
      </c>
      <c r="AD1235" s="29">
        <v>44207</v>
      </c>
      <c r="AE1235" s="29"/>
      <c r="AF1235">
        <v>2</v>
      </c>
      <c r="AG1235" t="s">
        <v>157</v>
      </c>
      <c r="AI1235">
        <v>25</v>
      </c>
      <c r="AJ1235">
        <v>1</v>
      </c>
      <c r="AK1235" t="s">
        <v>170</v>
      </c>
      <c r="AL1235" t="s">
        <v>77</v>
      </c>
      <c r="AM1235">
        <f t="shared" si="95"/>
        <v>1</v>
      </c>
      <c r="AN1235">
        <f t="shared" si="96"/>
        <v>1</v>
      </c>
      <c r="AO1235" t="str">
        <f t="shared" si="97"/>
        <v/>
      </c>
      <c r="AP1235" t="str">
        <f t="shared" si="98"/>
        <v/>
      </c>
      <c r="AQ1235">
        <f t="shared" si="99"/>
        <v>2021</v>
      </c>
    </row>
    <row r="1236" spans="1:43" x14ac:dyDescent="0.35">
      <c r="A1236">
        <v>1496</v>
      </c>
      <c r="B1236">
        <v>44</v>
      </c>
      <c r="C1236" t="s">
        <v>148</v>
      </c>
      <c r="D1236" t="s">
        <v>151</v>
      </c>
      <c r="E1236" t="s">
        <v>4</v>
      </c>
      <c r="F1236" t="s">
        <v>35</v>
      </c>
      <c r="G1236" t="s">
        <v>42</v>
      </c>
      <c r="H1236" t="s">
        <v>82</v>
      </c>
      <c r="I1236" t="s">
        <v>43</v>
      </c>
      <c r="J1236" t="s">
        <v>165</v>
      </c>
      <c r="K1236" t="s">
        <v>43</v>
      </c>
      <c r="L1236" t="s">
        <v>147</v>
      </c>
      <c r="M1236" t="s">
        <v>48</v>
      </c>
      <c r="N1236" t="s">
        <v>95</v>
      </c>
      <c r="P1236" t="s">
        <v>144</v>
      </c>
      <c r="Q1236">
        <v>18</v>
      </c>
      <c r="R1236">
        <v>5</v>
      </c>
      <c r="S1236">
        <v>16</v>
      </c>
      <c r="T1236">
        <v>2</v>
      </c>
      <c r="U1236">
        <v>2</v>
      </c>
      <c r="V1236">
        <v>2</v>
      </c>
      <c r="W1236">
        <v>86</v>
      </c>
      <c r="X1236">
        <v>1193</v>
      </c>
      <c r="Y1236">
        <v>19719</v>
      </c>
      <c r="Z1236">
        <v>10209</v>
      </c>
      <c r="AA1236">
        <v>2</v>
      </c>
      <c r="AB1236" s="29">
        <v>44773</v>
      </c>
      <c r="AC1236" s="29">
        <v>28926</v>
      </c>
      <c r="AD1236" s="29">
        <v>44209</v>
      </c>
      <c r="AE1236" s="29"/>
      <c r="AF1236">
        <v>2</v>
      </c>
      <c r="AG1236" t="s">
        <v>153</v>
      </c>
      <c r="AI1236">
        <v>42</v>
      </c>
      <c r="AJ1236">
        <v>1</v>
      </c>
      <c r="AK1236" t="s">
        <v>170</v>
      </c>
      <c r="AL1236" t="s">
        <v>77</v>
      </c>
      <c r="AM1236">
        <f t="shared" si="95"/>
        <v>1</v>
      </c>
      <c r="AN1236">
        <f t="shared" si="96"/>
        <v>1</v>
      </c>
      <c r="AO1236" t="str">
        <f t="shared" si="97"/>
        <v/>
      </c>
      <c r="AP1236" t="str">
        <f t="shared" si="98"/>
        <v/>
      </c>
      <c r="AQ1236">
        <f t="shared" si="99"/>
        <v>2021</v>
      </c>
    </row>
    <row r="1237" spans="1:43" x14ac:dyDescent="0.35">
      <c r="A1237">
        <v>174</v>
      </c>
      <c r="B1237">
        <v>50</v>
      </c>
      <c r="C1237" t="s">
        <v>148</v>
      </c>
      <c r="D1237" t="s">
        <v>151</v>
      </c>
      <c r="E1237" t="s">
        <v>158</v>
      </c>
      <c r="F1237" t="s">
        <v>38</v>
      </c>
      <c r="G1237" t="s">
        <v>43</v>
      </c>
      <c r="H1237" t="s">
        <v>81</v>
      </c>
      <c r="I1237" t="s">
        <v>43</v>
      </c>
      <c r="J1237" t="s">
        <v>159</v>
      </c>
      <c r="K1237" t="s">
        <v>44</v>
      </c>
      <c r="L1237" t="s">
        <v>147</v>
      </c>
      <c r="M1237" t="s">
        <v>49</v>
      </c>
      <c r="N1237" t="s">
        <v>95</v>
      </c>
      <c r="P1237" t="s">
        <v>148</v>
      </c>
      <c r="Q1237">
        <v>11</v>
      </c>
      <c r="R1237">
        <v>4</v>
      </c>
      <c r="S1237">
        <v>16</v>
      </c>
      <c r="T1237">
        <v>2</v>
      </c>
      <c r="U1237">
        <v>1</v>
      </c>
      <c r="V1237">
        <v>12</v>
      </c>
      <c r="W1237">
        <v>77</v>
      </c>
      <c r="X1237">
        <v>809</v>
      </c>
      <c r="Y1237">
        <v>6645</v>
      </c>
      <c r="Z1237">
        <v>9208</v>
      </c>
      <c r="AA1237">
        <v>3</v>
      </c>
      <c r="AB1237" s="29">
        <v>44773</v>
      </c>
      <c r="AC1237" s="29">
        <v>26627</v>
      </c>
      <c r="AD1237" s="29">
        <v>44211</v>
      </c>
      <c r="AE1237" s="29"/>
      <c r="AF1237">
        <v>2</v>
      </c>
      <c r="AG1237" t="s">
        <v>167</v>
      </c>
      <c r="AI1237">
        <v>48</v>
      </c>
      <c r="AJ1237">
        <v>1</v>
      </c>
      <c r="AK1237" t="s">
        <v>170</v>
      </c>
      <c r="AL1237" t="s">
        <v>77</v>
      </c>
      <c r="AM1237">
        <f t="shared" si="95"/>
        <v>1</v>
      </c>
      <c r="AN1237">
        <f t="shared" si="96"/>
        <v>1</v>
      </c>
      <c r="AO1237" t="str">
        <f t="shared" si="97"/>
        <v/>
      </c>
      <c r="AP1237" t="str">
        <f t="shared" si="98"/>
        <v/>
      </c>
      <c r="AQ1237">
        <f t="shared" si="99"/>
        <v>2021</v>
      </c>
    </row>
    <row r="1238" spans="1:43" x14ac:dyDescent="0.35">
      <c r="A1238">
        <v>1412</v>
      </c>
      <c r="B1238">
        <v>35</v>
      </c>
      <c r="C1238" t="s">
        <v>148</v>
      </c>
      <c r="D1238" t="s">
        <v>151</v>
      </c>
      <c r="E1238" t="s">
        <v>4</v>
      </c>
      <c r="F1238" t="s">
        <v>36</v>
      </c>
      <c r="G1238" t="s">
        <v>43</v>
      </c>
      <c r="H1238" t="s">
        <v>82</v>
      </c>
      <c r="I1238" t="s">
        <v>43</v>
      </c>
      <c r="J1238" t="s">
        <v>165</v>
      </c>
      <c r="K1238" t="s">
        <v>44</v>
      </c>
      <c r="L1238" t="s">
        <v>147</v>
      </c>
      <c r="M1238" t="s">
        <v>49</v>
      </c>
      <c r="N1238" t="s">
        <v>95</v>
      </c>
      <c r="P1238" t="s">
        <v>148</v>
      </c>
      <c r="Q1238">
        <v>11</v>
      </c>
      <c r="R1238">
        <v>2</v>
      </c>
      <c r="S1238">
        <v>10</v>
      </c>
      <c r="T1238">
        <v>2</v>
      </c>
      <c r="U1238">
        <v>2</v>
      </c>
      <c r="V1238">
        <v>18</v>
      </c>
      <c r="W1238">
        <v>60</v>
      </c>
      <c r="X1238">
        <v>200</v>
      </c>
      <c r="Y1238">
        <v>19944</v>
      </c>
      <c r="Z1238">
        <v>9362</v>
      </c>
      <c r="AA1238">
        <v>2</v>
      </c>
      <c r="AB1238" s="29">
        <v>44773</v>
      </c>
      <c r="AC1238" s="29">
        <v>32227</v>
      </c>
      <c r="AD1238" s="29">
        <v>44211</v>
      </c>
      <c r="AE1238" s="29"/>
      <c r="AF1238">
        <v>2</v>
      </c>
      <c r="AG1238" t="s">
        <v>149</v>
      </c>
      <c r="AI1238">
        <v>33</v>
      </c>
      <c r="AJ1238">
        <v>1</v>
      </c>
      <c r="AK1238" t="s">
        <v>170</v>
      </c>
      <c r="AL1238" t="s">
        <v>77</v>
      </c>
      <c r="AM1238">
        <f t="shared" si="95"/>
        <v>1</v>
      </c>
      <c r="AN1238">
        <f t="shared" si="96"/>
        <v>1</v>
      </c>
      <c r="AO1238" t="str">
        <f t="shared" si="97"/>
        <v/>
      </c>
      <c r="AP1238" t="str">
        <f t="shared" si="98"/>
        <v/>
      </c>
      <c r="AQ1238">
        <f t="shared" si="99"/>
        <v>2021</v>
      </c>
    </row>
    <row r="1239" spans="1:43" x14ac:dyDescent="0.35">
      <c r="A1239">
        <v>1812</v>
      </c>
      <c r="B1239">
        <v>39</v>
      </c>
      <c r="C1239" t="s">
        <v>148</v>
      </c>
      <c r="D1239" t="s">
        <v>151</v>
      </c>
      <c r="E1239" t="s">
        <v>158</v>
      </c>
      <c r="F1239" t="s">
        <v>38</v>
      </c>
      <c r="G1239" t="s">
        <v>43</v>
      </c>
      <c r="H1239" t="s">
        <v>82</v>
      </c>
      <c r="I1239" t="s">
        <v>43</v>
      </c>
      <c r="J1239" t="s">
        <v>159</v>
      </c>
      <c r="K1239" t="s">
        <v>44</v>
      </c>
      <c r="L1239" t="s">
        <v>147</v>
      </c>
      <c r="M1239" t="s">
        <v>49</v>
      </c>
      <c r="N1239" t="s">
        <v>96</v>
      </c>
      <c r="O1239" t="s">
        <v>41</v>
      </c>
      <c r="P1239" t="s">
        <v>148</v>
      </c>
      <c r="Q1239">
        <v>18</v>
      </c>
      <c r="R1239">
        <v>2</v>
      </c>
      <c r="S1239">
        <v>7</v>
      </c>
      <c r="T1239">
        <v>2</v>
      </c>
      <c r="U1239">
        <v>2</v>
      </c>
      <c r="V1239">
        <v>20</v>
      </c>
      <c r="W1239">
        <v>83</v>
      </c>
      <c r="X1239">
        <v>766</v>
      </c>
      <c r="Y1239">
        <v>19188</v>
      </c>
      <c r="Z1239">
        <v>4127</v>
      </c>
      <c r="AA1239">
        <v>6</v>
      </c>
      <c r="AB1239" s="29">
        <v>44773</v>
      </c>
      <c r="AC1239" s="29">
        <v>30589</v>
      </c>
      <c r="AD1239" s="29">
        <v>44220</v>
      </c>
      <c r="AE1239" s="29"/>
      <c r="AF1239">
        <v>2</v>
      </c>
      <c r="AG1239" t="s">
        <v>149</v>
      </c>
      <c r="AI1239">
        <v>37</v>
      </c>
      <c r="AJ1239">
        <v>1</v>
      </c>
      <c r="AK1239" t="s">
        <v>170</v>
      </c>
      <c r="AL1239" t="s">
        <v>78</v>
      </c>
      <c r="AM1239">
        <f t="shared" si="95"/>
        <v>1</v>
      </c>
      <c r="AN1239">
        <f t="shared" si="96"/>
        <v>1</v>
      </c>
      <c r="AO1239" t="str">
        <f t="shared" si="97"/>
        <v/>
      </c>
      <c r="AP1239" t="str">
        <f t="shared" si="98"/>
        <v/>
      </c>
      <c r="AQ1239">
        <f t="shared" si="99"/>
        <v>2021</v>
      </c>
    </row>
    <row r="1240" spans="1:43" x14ac:dyDescent="0.35">
      <c r="A1240">
        <v>23</v>
      </c>
      <c r="B1240">
        <v>53</v>
      </c>
      <c r="C1240" t="s">
        <v>148</v>
      </c>
      <c r="D1240" t="s">
        <v>145</v>
      </c>
      <c r="E1240" t="s">
        <v>158</v>
      </c>
      <c r="F1240" t="s">
        <v>37</v>
      </c>
      <c r="G1240" t="s">
        <v>41</v>
      </c>
      <c r="H1240" t="s">
        <v>81</v>
      </c>
      <c r="I1240" t="s">
        <v>42</v>
      </c>
      <c r="J1240" t="s">
        <v>169</v>
      </c>
      <c r="K1240" t="s">
        <v>44</v>
      </c>
      <c r="L1240" t="s">
        <v>147</v>
      </c>
      <c r="M1240" t="s">
        <v>49</v>
      </c>
      <c r="N1240" t="s">
        <v>160</v>
      </c>
      <c r="P1240" t="s">
        <v>148</v>
      </c>
      <c r="Q1240">
        <v>16</v>
      </c>
      <c r="R1240">
        <v>2</v>
      </c>
      <c r="S1240">
        <v>31</v>
      </c>
      <c r="T1240">
        <v>3</v>
      </c>
      <c r="U1240">
        <v>7</v>
      </c>
      <c r="V1240">
        <v>2</v>
      </c>
      <c r="W1240">
        <v>78</v>
      </c>
      <c r="X1240">
        <v>1219</v>
      </c>
      <c r="Y1240">
        <v>22021</v>
      </c>
      <c r="Z1240">
        <v>15427</v>
      </c>
      <c r="AA1240">
        <v>3</v>
      </c>
      <c r="AB1240" s="29">
        <v>44773</v>
      </c>
      <c r="AC1240" s="29">
        <v>25542</v>
      </c>
      <c r="AD1240" s="29">
        <v>35969</v>
      </c>
      <c r="AE1240" s="29"/>
      <c r="AF1240">
        <v>24</v>
      </c>
      <c r="AG1240" t="s">
        <v>167</v>
      </c>
      <c r="AI1240">
        <v>29</v>
      </c>
      <c r="AJ1240">
        <v>1</v>
      </c>
      <c r="AK1240" t="s">
        <v>163</v>
      </c>
      <c r="AL1240" t="s">
        <v>77</v>
      </c>
      <c r="AM1240">
        <f t="shared" si="95"/>
        <v>2</v>
      </c>
      <c r="AN1240">
        <f t="shared" si="96"/>
        <v>6</v>
      </c>
      <c r="AO1240" t="str">
        <f t="shared" si="97"/>
        <v/>
      </c>
      <c r="AP1240" t="str">
        <f t="shared" si="98"/>
        <v/>
      </c>
      <c r="AQ1240">
        <f t="shared" si="99"/>
        <v>1998</v>
      </c>
    </row>
    <row r="1241" spans="1:43" x14ac:dyDescent="0.35">
      <c r="A1241">
        <v>734</v>
      </c>
      <c r="B1241">
        <v>41</v>
      </c>
      <c r="C1241" t="s">
        <v>148</v>
      </c>
      <c r="D1241" t="s">
        <v>145</v>
      </c>
      <c r="E1241" t="s">
        <v>168</v>
      </c>
      <c r="F1241" t="s">
        <v>38</v>
      </c>
      <c r="G1241" t="s">
        <v>44</v>
      </c>
      <c r="H1241" t="s">
        <v>82</v>
      </c>
      <c r="I1241" t="s">
        <v>42</v>
      </c>
      <c r="J1241" t="s">
        <v>169</v>
      </c>
      <c r="K1241" t="s">
        <v>43</v>
      </c>
      <c r="L1241" t="s">
        <v>147</v>
      </c>
      <c r="M1241" t="s">
        <v>49</v>
      </c>
      <c r="N1241" t="s">
        <v>160</v>
      </c>
      <c r="O1241" t="s">
        <v>41</v>
      </c>
      <c r="P1241" t="s">
        <v>148</v>
      </c>
      <c r="Q1241">
        <v>12</v>
      </c>
      <c r="R1241">
        <v>1</v>
      </c>
      <c r="S1241">
        <v>22</v>
      </c>
      <c r="T1241">
        <v>2</v>
      </c>
      <c r="U1241">
        <v>10</v>
      </c>
      <c r="V1241">
        <v>1</v>
      </c>
      <c r="W1241">
        <v>59</v>
      </c>
      <c r="X1241">
        <v>314</v>
      </c>
      <c r="Y1241">
        <v>19562</v>
      </c>
      <c r="Z1241">
        <v>19189</v>
      </c>
      <c r="AA1241">
        <v>3</v>
      </c>
      <c r="AB1241" s="29">
        <v>44773</v>
      </c>
      <c r="AC1241" s="29">
        <v>30065</v>
      </c>
      <c r="AD1241" s="29">
        <v>36739</v>
      </c>
      <c r="AE1241" s="29"/>
      <c r="AF1241">
        <v>22</v>
      </c>
      <c r="AG1241" t="s">
        <v>153</v>
      </c>
      <c r="AI1241">
        <v>19</v>
      </c>
      <c r="AJ1241">
        <v>1</v>
      </c>
      <c r="AK1241" t="s">
        <v>163</v>
      </c>
      <c r="AL1241" t="s">
        <v>77</v>
      </c>
      <c r="AM1241">
        <f t="shared" si="95"/>
        <v>3</v>
      </c>
      <c r="AN1241">
        <f t="shared" si="96"/>
        <v>8</v>
      </c>
      <c r="AO1241" t="str">
        <f t="shared" si="97"/>
        <v/>
      </c>
      <c r="AP1241" t="str">
        <f t="shared" si="98"/>
        <v/>
      </c>
      <c r="AQ1241">
        <f t="shared" si="99"/>
        <v>2000</v>
      </c>
    </row>
    <row r="1242" spans="1:43" x14ac:dyDescent="0.35">
      <c r="A1242">
        <v>1267</v>
      </c>
      <c r="B1242">
        <v>44</v>
      </c>
      <c r="C1242" t="s">
        <v>148</v>
      </c>
      <c r="D1242" t="s">
        <v>145</v>
      </c>
      <c r="E1242" t="s">
        <v>158</v>
      </c>
      <c r="F1242" t="s">
        <v>38</v>
      </c>
      <c r="G1242" t="s">
        <v>42</v>
      </c>
      <c r="H1242" t="s">
        <v>82</v>
      </c>
      <c r="I1242" t="s">
        <v>43</v>
      </c>
      <c r="J1242" t="s">
        <v>169</v>
      </c>
      <c r="K1242" t="s">
        <v>42</v>
      </c>
      <c r="L1242" t="s">
        <v>147</v>
      </c>
      <c r="M1242" t="s">
        <v>49</v>
      </c>
      <c r="N1242" t="s">
        <v>160</v>
      </c>
      <c r="O1242" t="s">
        <v>41</v>
      </c>
      <c r="P1242" t="s">
        <v>148</v>
      </c>
      <c r="Q1242">
        <v>11</v>
      </c>
      <c r="R1242">
        <v>7</v>
      </c>
      <c r="S1242">
        <v>26</v>
      </c>
      <c r="T1242">
        <v>3</v>
      </c>
      <c r="U1242">
        <v>10</v>
      </c>
      <c r="V1242">
        <v>5</v>
      </c>
      <c r="W1242">
        <v>88</v>
      </c>
      <c r="X1242">
        <v>1099</v>
      </c>
      <c r="Y1242">
        <v>8751</v>
      </c>
      <c r="Z1242">
        <v>18213</v>
      </c>
      <c r="AA1242">
        <v>5</v>
      </c>
      <c r="AB1242" s="29">
        <v>44773</v>
      </c>
      <c r="AC1242" s="29">
        <v>28751</v>
      </c>
      <c r="AD1242" s="29">
        <v>37027</v>
      </c>
      <c r="AE1242" s="29"/>
      <c r="AF1242">
        <v>21</v>
      </c>
      <c r="AG1242" t="s">
        <v>153</v>
      </c>
      <c r="AI1242">
        <v>23</v>
      </c>
      <c r="AJ1242">
        <v>1</v>
      </c>
      <c r="AK1242" t="s">
        <v>163</v>
      </c>
      <c r="AL1242" t="s">
        <v>77</v>
      </c>
      <c r="AM1242">
        <f t="shared" si="95"/>
        <v>2</v>
      </c>
      <c r="AN1242">
        <f t="shared" si="96"/>
        <v>5</v>
      </c>
      <c r="AO1242" t="str">
        <f t="shared" si="97"/>
        <v/>
      </c>
      <c r="AP1242" t="str">
        <f t="shared" si="98"/>
        <v/>
      </c>
      <c r="AQ1242">
        <f t="shared" si="99"/>
        <v>2001</v>
      </c>
    </row>
    <row r="1243" spans="1:43" x14ac:dyDescent="0.35">
      <c r="A1243">
        <v>731</v>
      </c>
      <c r="B1243">
        <v>41</v>
      </c>
      <c r="C1243" t="s">
        <v>148</v>
      </c>
      <c r="D1243" t="s">
        <v>145</v>
      </c>
      <c r="E1243" t="s">
        <v>168</v>
      </c>
      <c r="F1243" t="s">
        <v>37</v>
      </c>
      <c r="G1243" t="s">
        <v>42</v>
      </c>
      <c r="H1243" t="s">
        <v>82</v>
      </c>
      <c r="I1243" t="s">
        <v>42</v>
      </c>
      <c r="J1243" t="s">
        <v>169</v>
      </c>
      <c r="K1243" t="s">
        <v>44</v>
      </c>
      <c r="L1243" t="s">
        <v>147</v>
      </c>
      <c r="M1243" t="s">
        <v>48</v>
      </c>
      <c r="N1243" t="s">
        <v>96</v>
      </c>
      <c r="O1243" t="s">
        <v>43</v>
      </c>
      <c r="P1243" t="s">
        <v>148</v>
      </c>
      <c r="Q1243">
        <v>15</v>
      </c>
      <c r="R1243">
        <v>3</v>
      </c>
      <c r="S1243">
        <v>23</v>
      </c>
      <c r="T1243">
        <v>12</v>
      </c>
      <c r="U1243">
        <v>6</v>
      </c>
      <c r="V1243">
        <v>10</v>
      </c>
      <c r="W1243">
        <v>73</v>
      </c>
      <c r="X1243">
        <v>427</v>
      </c>
      <c r="Y1243">
        <v>8861</v>
      </c>
      <c r="Z1243">
        <v>19141</v>
      </c>
      <c r="AA1243">
        <v>2</v>
      </c>
      <c r="AB1243" s="29">
        <v>44773</v>
      </c>
      <c r="AC1243" s="29">
        <v>29882</v>
      </c>
      <c r="AD1243" s="29">
        <v>37123</v>
      </c>
      <c r="AE1243" s="29"/>
      <c r="AF1243">
        <v>21</v>
      </c>
      <c r="AG1243" t="s">
        <v>153</v>
      </c>
      <c r="AI1243">
        <v>20</v>
      </c>
      <c r="AJ1243">
        <v>1</v>
      </c>
      <c r="AK1243" t="s">
        <v>163</v>
      </c>
      <c r="AL1243" t="s">
        <v>78</v>
      </c>
      <c r="AM1243">
        <f t="shared" si="95"/>
        <v>3</v>
      </c>
      <c r="AN1243">
        <f t="shared" si="96"/>
        <v>8</v>
      </c>
      <c r="AO1243" t="str">
        <f t="shared" si="97"/>
        <v/>
      </c>
      <c r="AP1243" t="str">
        <f t="shared" si="98"/>
        <v/>
      </c>
      <c r="AQ1243">
        <f t="shared" si="99"/>
        <v>2001</v>
      </c>
    </row>
    <row r="1244" spans="1:43" x14ac:dyDescent="0.35">
      <c r="A1244">
        <v>1293</v>
      </c>
      <c r="B1244">
        <v>43</v>
      </c>
      <c r="C1244" t="s">
        <v>148</v>
      </c>
      <c r="D1244" t="s">
        <v>145</v>
      </c>
      <c r="E1244" t="s">
        <v>158</v>
      </c>
      <c r="F1244" t="s">
        <v>37</v>
      </c>
      <c r="G1244" t="s">
        <v>44</v>
      </c>
      <c r="H1244" t="s">
        <v>81</v>
      </c>
      <c r="I1244" t="s">
        <v>42</v>
      </c>
      <c r="J1244" t="s">
        <v>159</v>
      </c>
      <c r="K1244" t="s">
        <v>44</v>
      </c>
      <c r="L1244" t="s">
        <v>147</v>
      </c>
      <c r="M1244" t="s">
        <v>50</v>
      </c>
      <c r="N1244" t="s">
        <v>95</v>
      </c>
      <c r="P1244" t="s">
        <v>148</v>
      </c>
      <c r="Q1244">
        <v>14</v>
      </c>
      <c r="R1244">
        <v>3</v>
      </c>
      <c r="S1244">
        <v>23</v>
      </c>
      <c r="T1244">
        <v>15</v>
      </c>
      <c r="U1244">
        <v>17</v>
      </c>
      <c r="V1244">
        <v>4</v>
      </c>
      <c r="W1244">
        <v>56</v>
      </c>
      <c r="X1244">
        <v>531</v>
      </c>
      <c r="Y1244">
        <v>20364</v>
      </c>
      <c r="Z1244">
        <v>10231</v>
      </c>
      <c r="AA1244">
        <v>3</v>
      </c>
      <c r="AB1244" s="29">
        <v>44773</v>
      </c>
      <c r="AC1244" s="29">
        <v>29085</v>
      </c>
      <c r="AD1244" s="29">
        <v>37221</v>
      </c>
      <c r="AE1244" s="29"/>
      <c r="AF1244">
        <v>21</v>
      </c>
      <c r="AG1244" t="s">
        <v>153</v>
      </c>
      <c r="AI1244">
        <v>22</v>
      </c>
      <c r="AJ1244">
        <v>1</v>
      </c>
      <c r="AK1244" t="s">
        <v>163</v>
      </c>
      <c r="AL1244" t="s">
        <v>77</v>
      </c>
      <c r="AM1244">
        <f t="shared" si="95"/>
        <v>4</v>
      </c>
      <c r="AN1244">
        <f t="shared" si="96"/>
        <v>11</v>
      </c>
      <c r="AO1244" t="str">
        <f t="shared" si="97"/>
        <v/>
      </c>
      <c r="AP1244" t="str">
        <f t="shared" si="98"/>
        <v/>
      </c>
      <c r="AQ1244">
        <f t="shared" si="99"/>
        <v>2001</v>
      </c>
    </row>
    <row r="1245" spans="1:43" x14ac:dyDescent="0.35">
      <c r="A1245">
        <v>1740</v>
      </c>
      <c r="B1245">
        <v>40</v>
      </c>
      <c r="C1245" t="s">
        <v>148</v>
      </c>
      <c r="D1245" t="s">
        <v>145</v>
      </c>
      <c r="E1245" t="s">
        <v>158</v>
      </c>
      <c r="F1245" t="s">
        <v>37</v>
      </c>
      <c r="G1245" t="s">
        <v>42</v>
      </c>
      <c r="H1245" t="s">
        <v>82</v>
      </c>
      <c r="I1245" t="s">
        <v>43</v>
      </c>
      <c r="J1245" t="s">
        <v>169</v>
      </c>
      <c r="K1245" t="s">
        <v>42</v>
      </c>
      <c r="L1245" t="s">
        <v>147</v>
      </c>
      <c r="M1245" t="s">
        <v>48</v>
      </c>
      <c r="N1245" t="s">
        <v>95</v>
      </c>
      <c r="P1245" t="s">
        <v>148</v>
      </c>
      <c r="Q1245">
        <v>14</v>
      </c>
      <c r="R1245">
        <v>1</v>
      </c>
      <c r="S1245">
        <v>21</v>
      </c>
      <c r="T1245">
        <v>12</v>
      </c>
      <c r="U1245">
        <v>8</v>
      </c>
      <c r="V1245">
        <v>7</v>
      </c>
      <c r="W1245">
        <v>88</v>
      </c>
      <c r="X1245">
        <v>611</v>
      </c>
      <c r="Y1245">
        <v>4349</v>
      </c>
      <c r="Z1245">
        <v>19833</v>
      </c>
      <c r="AA1245">
        <v>3</v>
      </c>
      <c r="AB1245" s="29">
        <v>44773</v>
      </c>
      <c r="AC1245" s="29">
        <v>30228</v>
      </c>
      <c r="AD1245" s="29">
        <v>37301</v>
      </c>
      <c r="AE1245" s="29"/>
      <c r="AF1245">
        <v>20</v>
      </c>
      <c r="AG1245" t="s">
        <v>153</v>
      </c>
      <c r="AI1245">
        <v>20</v>
      </c>
      <c r="AJ1245">
        <v>1</v>
      </c>
      <c r="AK1245" t="s">
        <v>163</v>
      </c>
      <c r="AL1245" t="s">
        <v>77</v>
      </c>
      <c r="AM1245">
        <f t="shared" si="95"/>
        <v>1</v>
      </c>
      <c r="AN1245">
        <f t="shared" si="96"/>
        <v>2</v>
      </c>
      <c r="AO1245" t="str">
        <f t="shared" si="97"/>
        <v/>
      </c>
      <c r="AP1245" t="str">
        <f t="shared" si="98"/>
        <v/>
      </c>
      <c r="AQ1245">
        <f t="shared" si="99"/>
        <v>2002</v>
      </c>
    </row>
    <row r="1246" spans="1:43" x14ac:dyDescent="0.35">
      <c r="A1246">
        <v>81</v>
      </c>
      <c r="B1246">
        <v>59</v>
      </c>
      <c r="C1246" t="s">
        <v>148</v>
      </c>
      <c r="D1246" t="s">
        <v>145</v>
      </c>
      <c r="E1246" t="s">
        <v>158</v>
      </c>
      <c r="F1246" t="s">
        <v>38</v>
      </c>
      <c r="G1246" t="s">
        <v>41</v>
      </c>
      <c r="H1246" t="s">
        <v>81</v>
      </c>
      <c r="I1246" t="s">
        <v>43</v>
      </c>
      <c r="J1246" t="s">
        <v>159</v>
      </c>
      <c r="K1246" t="s">
        <v>41</v>
      </c>
      <c r="L1246" t="s">
        <v>147</v>
      </c>
      <c r="M1246" t="s">
        <v>48</v>
      </c>
      <c r="N1246" t="s">
        <v>95</v>
      </c>
      <c r="P1246" t="s">
        <v>148</v>
      </c>
      <c r="Q1246">
        <v>11</v>
      </c>
      <c r="R1246">
        <v>7</v>
      </c>
      <c r="S1246">
        <v>28</v>
      </c>
      <c r="T1246">
        <v>7</v>
      </c>
      <c r="U1246">
        <v>9</v>
      </c>
      <c r="V1246">
        <v>25</v>
      </c>
      <c r="W1246">
        <v>99</v>
      </c>
      <c r="X1246">
        <v>1435</v>
      </c>
      <c r="Y1246">
        <v>2354</v>
      </c>
      <c r="Z1246">
        <v>7637</v>
      </c>
      <c r="AA1246">
        <v>3</v>
      </c>
      <c r="AB1246" s="29">
        <v>44773</v>
      </c>
      <c r="AC1246" s="29">
        <v>23260</v>
      </c>
      <c r="AD1246" s="29">
        <v>37306</v>
      </c>
      <c r="AE1246" s="29"/>
      <c r="AF1246">
        <v>20</v>
      </c>
      <c r="AG1246" t="s">
        <v>167</v>
      </c>
      <c r="AI1246">
        <v>39</v>
      </c>
      <c r="AJ1246">
        <v>1</v>
      </c>
      <c r="AK1246" t="s">
        <v>163</v>
      </c>
      <c r="AL1246" t="s">
        <v>77</v>
      </c>
      <c r="AM1246">
        <f t="shared" si="95"/>
        <v>1</v>
      </c>
      <c r="AN1246">
        <f t="shared" si="96"/>
        <v>2</v>
      </c>
      <c r="AO1246" t="str">
        <f t="shared" si="97"/>
        <v/>
      </c>
      <c r="AP1246" t="str">
        <f t="shared" si="98"/>
        <v/>
      </c>
      <c r="AQ1246">
        <f t="shared" si="99"/>
        <v>2002</v>
      </c>
    </row>
    <row r="1247" spans="1:43" x14ac:dyDescent="0.35">
      <c r="A1247">
        <v>1975</v>
      </c>
      <c r="B1247">
        <v>39</v>
      </c>
      <c r="C1247" t="s">
        <v>148</v>
      </c>
      <c r="D1247" t="s">
        <v>145</v>
      </c>
      <c r="E1247" t="s">
        <v>158</v>
      </c>
      <c r="F1247" t="s">
        <v>37</v>
      </c>
      <c r="G1247" t="s">
        <v>42</v>
      </c>
      <c r="H1247" t="s">
        <v>82</v>
      </c>
      <c r="I1247" t="s">
        <v>43</v>
      </c>
      <c r="J1247" t="s">
        <v>159</v>
      </c>
      <c r="K1247" t="s">
        <v>41</v>
      </c>
      <c r="L1247" t="s">
        <v>147</v>
      </c>
      <c r="M1247" t="s">
        <v>49</v>
      </c>
      <c r="N1247" t="s">
        <v>95</v>
      </c>
      <c r="P1247" t="s">
        <v>148</v>
      </c>
      <c r="Q1247">
        <v>12</v>
      </c>
      <c r="R1247">
        <v>0</v>
      </c>
      <c r="S1247">
        <v>21</v>
      </c>
      <c r="T1247">
        <v>11</v>
      </c>
      <c r="U1247">
        <v>10</v>
      </c>
      <c r="V1247">
        <v>15</v>
      </c>
      <c r="W1247">
        <v>77</v>
      </c>
      <c r="X1247">
        <v>119</v>
      </c>
      <c r="Y1247">
        <v>25098</v>
      </c>
      <c r="Z1247">
        <v>13341</v>
      </c>
      <c r="AA1247">
        <v>3</v>
      </c>
      <c r="AB1247" s="29">
        <v>44773</v>
      </c>
      <c r="AC1247" s="29">
        <v>30852</v>
      </c>
      <c r="AD1247" s="29">
        <v>37580</v>
      </c>
      <c r="AE1247" s="29"/>
      <c r="AF1247">
        <v>20</v>
      </c>
      <c r="AG1247" t="s">
        <v>149</v>
      </c>
      <c r="AI1247">
        <v>19</v>
      </c>
      <c r="AJ1247">
        <v>1</v>
      </c>
      <c r="AK1247" t="s">
        <v>163</v>
      </c>
      <c r="AL1247" t="s">
        <v>78</v>
      </c>
      <c r="AM1247">
        <f t="shared" si="95"/>
        <v>4</v>
      </c>
      <c r="AN1247">
        <f t="shared" si="96"/>
        <v>11</v>
      </c>
      <c r="AO1247" t="str">
        <f t="shared" si="97"/>
        <v/>
      </c>
      <c r="AP1247" t="str">
        <f t="shared" si="98"/>
        <v/>
      </c>
      <c r="AQ1247">
        <f t="shared" si="99"/>
        <v>2002</v>
      </c>
    </row>
    <row r="1248" spans="1:43" x14ac:dyDescent="0.35">
      <c r="A1248">
        <v>2056</v>
      </c>
      <c r="B1248">
        <v>39</v>
      </c>
      <c r="C1248" t="s">
        <v>148</v>
      </c>
      <c r="D1248" t="s">
        <v>145</v>
      </c>
      <c r="E1248" t="s">
        <v>158</v>
      </c>
      <c r="F1248" t="s">
        <v>35</v>
      </c>
      <c r="G1248" t="s">
        <v>42</v>
      </c>
      <c r="H1248" t="s">
        <v>81</v>
      </c>
      <c r="I1248" t="s">
        <v>42</v>
      </c>
      <c r="J1248" t="s">
        <v>159</v>
      </c>
      <c r="K1248" t="s">
        <v>44</v>
      </c>
      <c r="L1248" t="s">
        <v>147</v>
      </c>
      <c r="M1248" t="s">
        <v>48</v>
      </c>
      <c r="N1248" t="s">
        <v>160</v>
      </c>
      <c r="O1248" t="s">
        <v>41</v>
      </c>
      <c r="P1248" t="s">
        <v>148</v>
      </c>
      <c r="Q1248">
        <v>11</v>
      </c>
      <c r="R1248">
        <v>0</v>
      </c>
      <c r="S1248">
        <v>21</v>
      </c>
      <c r="T1248">
        <v>9</v>
      </c>
      <c r="U1248">
        <v>6</v>
      </c>
      <c r="V1248">
        <v>24</v>
      </c>
      <c r="W1248">
        <v>60</v>
      </c>
      <c r="X1248">
        <v>722</v>
      </c>
      <c r="Y1248">
        <v>8828</v>
      </c>
      <c r="Z1248">
        <v>12031</v>
      </c>
      <c r="AA1248">
        <v>2</v>
      </c>
      <c r="AB1248" s="29">
        <v>44773</v>
      </c>
      <c r="AC1248" s="29">
        <v>30664</v>
      </c>
      <c r="AD1248" s="29">
        <v>37626</v>
      </c>
      <c r="AE1248" s="29"/>
      <c r="AF1248">
        <v>20</v>
      </c>
      <c r="AG1248" t="s">
        <v>149</v>
      </c>
      <c r="AI1248">
        <v>19</v>
      </c>
      <c r="AJ1248">
        <v>1</v>
      </c>
      <c r="AK1248" t="s">
        <v>163</v>
      </c>
      <c r="AL1248" t="s">
        <v>78</v>
      </c>
      <c r="AM1248">
        <f t="shared" si="95"/>
        <v>1</v>
      </c>
      <c r="AN1248">
        <f t="shared" si="96"/>
        <v>1</v>
      </c>
      <c r="AO1248" t="str">
        <f t="shared" si="97"/>
        <v/>
      </c>
      <c r="AP1248" t="str">
        <f t="shared" si="98"/>
        <v/>
      </c>
      <c r="AQ1248">
        <f t="shared" si="99"/>
        <v>2003</v>
      </c>
    </row>
    <row r="1249" spans="1:43" x14ac:dyDescent="0.35">
      <c r="A1249">
        <v>851</v>
      </c>
      <c r="B1249">
        <v>51</v>
      </c>
      <c r="C1249" t="s">
        <v>148</v>
      </c>
      <c r="D1249" t="s">
        <v>145</v>
      </c>
      <c r="E1249" t="s">
        <v>158</v>
      </c>
      <c r="F1249" t="s">
        <v>37</v>
      </c>
      <c r="G1249" t="s">
        <v>41</v>
      </c>
      <c r="H1249" t="s">
        <v>81</v>
      </c>
      <c r="I1249" t="s">
        <v>43</v>
      </c>
      <c r="J1249" t="s">
        <v>169</v>
      </c>
      <c r="K1249" t="s">
        <v>43</v>
      </c>
      <c r="L1249" t="s">
        <v>147</v>
      </c>
      <c r="M1249" t="s">
        <v>48</v>
      </c>
      <c r="N1249" t="s">
        <v>160</v>
      </c>
      <c r="O1249" t="s">
        <v>41</v>
      </c>
      <c r="P1249" t="s">
        <v>148</v>
      </c>
      <c r="Q1249">
        <v>14</v>
      </c>
      <c r="R1249">
        <v>2</v>
      </c>
      <c r="S1249">
        <v>29</v>
      </c>
      <c r="T1249">
        <v>4</v>
      </c>
      <c r="U1249">
        <v>17</v>
      </c>
      <c r="V1249">
        <v>26</v>
      </c>
      <c r="W1249">
        <v>66</v>
      </c>
      <c r="X1249">
        <v>1318</v>
      </c>
      <c r="Y1249">
        <v>5594</v>
      </c>
      <c r="Z1249">
        <v>16307</v>
      </c>
      <c r="AA1249">
        <v>2</v>
      </c>
      <c r="AB1249" s="29">
        <v>44773</v>
      </c>
      <c r="AC1249" s="29">
        <v>26330</v>
      </c>
      <c r="AD1249" s="29">
        <v>37826</v>
      </c>
      <c r="AE1249" s="29"/>
      <c r="AF1249">
        <v>19</v>
      </c>
      <c r="AG1249" t="s">
        <v>167</v>
      </c>
      <c r="AI1249">
        <v>32</v>
      </c>
      <c r="AJ1249">
        <v>1</v>
      </c>
      <c r="AK1249" t="s">
        <v>163</v>
      </c>
      <c r="AL1249" t="s">
        <v>78</v>
      </c>
      <c r="AM1249">
        <f t="shared" si="95"/>
        <v>3</v>
      </c>
      <c r="AN1249">
        <f t="shared" si="96"/>
        <v>7</v>
      </c>
      <c r="AO1249" t="str">
        <f t="shared" si="97"/>
        <v/>
      </c>
      <c r="AP1249" t="str">
        <f t="shared" si="98"/>
        <v/>
      </c>
      <c r="AQ1249">
        <f t="shared" si="99"/>
        <v>2003</v>
      </c>
    </row>
    <row r="1250" spans="1:43" x14ac:dyDescent="0.35">
      <c r="A1250">
        <v>1863</v>
      </c>
      <c r="B1250">
        <v>46</v>
      </c>
      <c r="C1250" t="s">
        <v>148</v>
      </c>
      <c r="D1250" t="s">
        <v>145</v>
      </c>
      <c r="E1250" t="s">
        <v>158</v>
      </c>
      <c r="F1250" t="s">
        <v>38</v>
      </c>
      <c r="G1250" t="s">
        <v>41</v>
      </c>
      <c r="H1250" t="s">
        <v>81</v>
      </c>
      <c r="I1250" t="s">
        <v>44</v>
      </c>
      <c r="J1250" t="s">
        <v>159</v>
      </c>
      <c r="K1250" t="s">
        <v>41</v>
      </c>
      <c r="L1250" t="s">
        <v>147</v>
      </c>
      <c r="M1250" t="s">
        <v>49</v>
      </c>
      <c r="N1250" t="s">
        <v>96</v>
      </c>
      <c r="O1250" t="s">
        <v>41</v>
      </c>
      <c r="P1250" t="s">
        <v>148</v>
      </c>
      <c r="Q1250">
        <v>12</v>
      </c>
      <c r="R1250">
        <v>2</v>
      </c>
      <c r="S1250">
        <v>25</v>
      </c>
      <c r="T1250">
        <v>2</v>
      </c>
      <c r="U1250">
        <v>8</v>
      </c>
      <c r="V1250">
        <v>3</v>
      </c>
      <c r="W1250">
        <v>45</v>
      </c>
      <c r="X1250">
        <v>1319</v>
      </c>
      <c r="Y1250">
        <v>7739</v>
      </c>
      <c r="Z1250">
        <v>13225</v>
      </c>
      <c r="AA1250">
        <v>5</v>
      </c>
      <c r="AB1250" s="29">
        <v>44773</v>
      </c>
      <c r="AC1250" s="29">
        <v>28116</v>
      </c>
      <c r="AD1250" s="29">
        <v>38026</v>
      </c>
      <c r="AE1250" s="29"/>
      <c r="AF1250">
        <v>18</v>
      </c>
      <c r="AG1250" t="s">
        <v>153</v>
      </c>
      <c r="AI1250">
        <v>28</v>
      </c>
      <c r="AJ1250">
        <v>1</v>
      </c>
      <c r="AK1250" t="s">
        <v>163</v>
      </c>
      <c r="AL1250" t="s">
        <v>77</v>
      </c>
      <c r="AM1250">
        <f t="shared" si="95"/>
        <v>1</v>
      </c>
      <c r="AN1250">
        <f t="shared" si="96"/>
        <v>2</v>
      </c>
      <c r="AO1250" t="str">
        <f t="shared" si="97"/>
        <v/>
      </c>
      <c r="AP1250" t="str">
        <f t="shared" si="98"/>
        <v/>
      </c>
      <c r="AQ1250">
        <f t="shared" si="99"/>
        <v>2004</v>
      </c>
    </row>
    <row r="1251" spans="1:43" x14ac:dyDescent="0.35">
      <c r="A1251">
        <v>625</v>
      </c>
      <c r="B1251">
        <v>41</v>
      </c>
      <c r="C1251" t="s">
        <v>148</v>
      </c>
      <c r="D1251" t="s">
        <v>145</v>
      </c>
      <c r="E1251" t="s">
        <v>158</v>
      </c>
      <c r="F1251" t="s">
        <v>34</v>
      </c>
      <c r="G1251" t="s">
        <v>42</v>
      </c>
      <c r="H1251" t="s">
        <v>81</v>
      </c>
      <c r="I1251" t="s">
        <v>43</v>
      </c>
      <c r="J1251" t="s">
        <v>169</v>
      </c>
      <c r="K1251" t="s">
        <v>41</v>
      </c>
      <c r="L1251" t="s">
        <v>147</v>
      </c>
      <c r="M1251" t="s">
        <v>49</v>
      </c>
      <c r="N1251" t="s">
        <v>160</v>
      </c>
      <c r="O1251" t="s">
        <v>41</v>
      </c>
      <c r="P1251" t="s">
        <v>148</v>
      </c>
      <c r="Q1251">
        <v>16</v>
      </c>
      <c r="R1251">
        <v>7</v>
      </c>
      <c r="S1251">
        <v>22</v>
      </c>
      <c r="T1251">
        <v>11</v>
      </c>
      <c r="U1251">
        <v>8</v>
      </c>
      <c r="V1251">
        <v>2</v>
      </c>
      <c r="W1251">
        <v>91</v>
      </c>
      <c r="X1251">
        <v>1276</v>
      </c>
      <c r="Y1251">
        <v>5626</v>
      </c>
      <c r="Z1251">
        <v>16595</v>
      </c>
      <c r="AA1251">
        <v>2</v>
      </c>
      <c r="AB1251" s="29">
        <v>44773</v>
      </c>
      <c r="AC1251" s="29">
        <v>29866</v>
      </c>
      <c r="AD1251" s="29">
        <v>38407</v>
      </c>
      <c r="AE1251" s="29"/>
      <c r="AF1251">
        <v>17</v>
      </c>
      <c r="AG1251" t="s">
        <v>153</v>
      </c>
      <c r="AI1251">
        <v>24</v>
      </c>
      <c r="AJ1251">
        <v>1</v>
      </c>
      <c r="AK1251" t="s">
        <v>163</v>
      </c>
      <c r="AL1251" t="s">
        <v>77</v>
      </c>
      <c r="AM1251">
        <f t="shared" si="95"/>
        <v>1</v>
      </c>
      <c r="AN1251">
        <f t="shared" si="96"/>
        <v>2</v>
      </c>
      <c r="AO1251" t="str">
        <f t="shared" si="97"/>
        <v/>
      </c>
      <c r="AP1251" t="str">
        <f t="shared" si="98"/>
        <v/>
      </c>
      <c r="AQ1251">
        <f t="shared" si="99"/>
        <v>2005</v>
      </c>
    </row>
    <row r="1252" spans="1:43" x14ac:dyDescent="0.35">
      <c r="A1252">
        <v>857</v>
      </c>
      <c r="B1252">
        <v>36</v>
      </c>
      <c r="C1252" t="s">
        <v>148</v>
      </c>
      <c r="D1252" t="s">
        <v>145</v>
      </c>
      <c r="E1252" t="s">
        <v>158</v>
      </c>
      <c r="F1252" t="s">
        <v>36</v>
      </c>
      <c r="G1252" t="s">
        <v>42</v>
      </c>
      <c r="H1252" t="s">
        <v>82</v>
      </c>
      <c r="I1252" t="s">
        <v>43</v>
      </c>
      <c r="J1252" t="s">
        <v>159</v>
      </c>
      <c r="K1252" t="s">
        <v>44</v>
      </c>
      <c r="L1252" t="s">
        <v>147</v>
      </c>
      <c r="M1252" t="s">
        <v>48</v>
      </c>
      <c r="N1252" t="s">
        <v>160</v>
      </c>
      <c r="O1252" t="s">
        <v>41</v>
      </c>
      <c r="P1252" t="s">
        <v>144</v>
      </c>
      <c r="Q1252">
        <v>14</v>
      </c>
      <c r="R1252">
        <v>1</v>
      </c>
      <c r="S1252">
        <v>18</v>
      </c>
      <c r="T1252">
        <v>4</v>
      </c>
      <c r="U1252">
        <v>11</v>
      </c>
      <c r="V1252">
        <v>1</v>
      </c>
      <c r="W1252">
        <v>56</v>
      </c>
      <c r="X1252">
        <v>928</v>
      </c>
      <c r="Y1252">
        <v>2823</v>
      </c>
      <c r="Z1252">
        <v>6201</v>
      </c>
      <c r="AA1252">
        <v>1</v>
      </c>
      <c r="AB1252" s="29">
        <v>44773</v>
      </c>
      <c r="AC1252" s="29">
        <v>31932</v>
      </c>
      <c r="AD1252" s="29">
        <v>38451</v>
      </c>
      <c r="AE1252" s="29"/>
      <c r="AF1252">
        <v>17</v>
      </c>
      <c r="AG1252" t="s">
        <v>149</v>
      </c>
      <c r="AI1252">
        <v>19</v>
      </c>
      <c r="AJ1252">
        <v>1</v>
      </c>
      <c r="AK1252" t="s">
        <v>163</v>
      </c>
      <c r="AL1252" t="s">
        <v>77</v>
      </c>
      <c r="AM1252">
        <f t="shared" si="95"/>
        <v>2</v>
      </c>
      <c r="AN1252">
        <f t="shared" si="96"/>
        <v>4</v>
      </c>
      <c r="AO1252" t="str">
        <f t="shared" si="97"/>
        <v/>
      </c>
      <c r="AP1252" t="str">
        <f t="shared" si="98"/>
        <v/>
      </c>
      <c r="AQ1252">
        <f t="shared" si="99"/>
        <v>2005</v>
      </c>
    </row>
    <row r="1253" spans="1:43" x14ac:dyDescent="0.35">
      <c r="A1253">
        <v>981</v>
      </c>
      <c r="B1253">
        <v>53</v>
      </c>
      <c r="C1253" t="s">
        <v>148</v>
      </c>
      <c r="D1253" t="s">
        <v>145</v>
      </c>
      <c r="E1253" t="s">
        <v>158</v>
      </c>
      <c r="F1253" t="s">
        <v>36</v>
      </c>
      <c r="G1253" t="s">
        <v>43</v>
      </c>
      <c r="H1253" t="s">
        <v>82</v>
      </c>
      <c r="I1253" t="s">
        <v>43</v>
      </c>
      <c r="J1253" t="s">
        <v>169</v>
      </c>
      <c r="K1253" t="s">
        <v>43</v>
      </c>
      <c r="L1253" t="s">
        <v>147</v>
      </c>
      <c r="M1253" t="s">
        <v>50</v>
      </c>
      <c r="N1253" t="s">
        <v>96</v>
      </c>
      <c r="O1253" t="s">
        <v>41</v>
      </c>
      <c r="P1253" t="s">
        <v>148</v>
      </c>
      <c r="Q1253">
        <v>13</v>
      </c>
      <c r="R1253">
        <v>6</v>
      </c>
      <c r="S1253">
        <v>22</v>
      </c>
      <c r="T1253">
        <v>15</v>
      </c>
      <c r="U1253">
        <v>2</v>
      </c>
      <c r="V1253">
        <v>2</v>
      </c>
      <c r="W1253">
        <v>45</v>
      </c>
      <c r="X1253">
        <v>1376</v>
      </c>
      <c r="Y1253">
        <v>13938</v>
      </c>
      <c r="Z1253">
        <v>14852</v>
      </c>
      <c r="AA1253">
        <v>3</v>
      </c>
      <c r="AB1253" s="29">
        <v>44773</v>
      </c>
      <c r="AC1253" s="29">
        <v>25446</v>
      </c>
      <c r="AD1253" s="29">
        <v>38842</v>
      </c>
      <c r="AE1253" s="29"/>
      <c r="AF1253">
        <v>16</v>
      </c>
      <c r="AG1253" t="s">
        <v>167</v>
      </c>
      <c r="AI1253">
        <v>37</v>
      </c>
      <c r="AJ1253">
        <v>1</v>
      </c>
      <c r="AK1253" t="s">
        <v>163</v>
      </c>
      <c r="AL1253" t="s">
        <v>77</v>
      </c>
      <c r="AM1253">
        <f t="shared" si="95"/>
        <v>2</v>
      </c>
      <c r="AN1253">
        <f t="shared" si="96"/>
        <v>5</v>
      </c>
      <c r="AO1253" t="str">
        <f t="shared" si="97"/>
        <v/>
      </c>
      <c r="AP1253" t="str">
        <f t="shared" si="98"/>
        <v/>
      </c>
      <c r="AQ1253">
        <f t="shared" si="99"/>
        <v>2006</v>
      </c>
    </row>
    <row r="1254" spans="1:43" x14ac:dyDescent="0.35">
      <c r="A1254">
        <v>307</v>
      </c>
      <c r="B1254">
        <v>38</v>
      </c>
      <c r="C1254" t="s">
        <v>148</v>
      </c>
      <c r="D1254" t="s">
        <v>145</v>
      </c>
      <c r="E1254" t="s">
        <v>158</v>
      </c>
      <c r="F1254" t="s">
        <v>38</v>
      </c>
      <c r="G1254" t="s">
        <v>41</v>
      </c>
      <c r="H1254" t="s">
        <v>82</v>
      </c>
      <c r="I1254" t="s">
        <v>43</v>
      </c>
      <c r="J1254" t="s">
        <v>159</v>
      </c>
      <c r="K1254" t="s">
        <v>43</v>
      </c>
      <c r="L1254" t="s">
        <v>147</v>
      </c>
      <c r="M1254" t="s">
        <v>48</v>
      </c>
      <c r="N1254" t="s">
        <v>96</v>
      </c>
      <c r="O1254" t="s">
        <v>156</v>
      </c>
      <c r="P1254" t="s">
        <v>148</v>
      </c>
      <c r="Q1254">
        <v>12</v>
      </c>
      <c r="R1254">
        <v>0</v>
      </c>
      <c r="S1254">
        <v>17</v>
      </c>
      <c r="T1254">
        <v>5</v>
      </c>
      <c r="U1254">
        <v>13</v>
      </c>
      <c r="V1254">
        <v>3</v>
      </c>
      <c r="W1254">
        <v>76</v>
      </c>
      <c r="X1254">
        <v>119</v>
      </c>
      <c r="Y1254">
        <v>9647</v>
      </c>
      <c r="Z1254">
        <v>10609</v>
      </c>
      <c r="AA1254">
        <v>6</v>
      </c>
      <c r="AB1254" s="29">
        <v>44773</v>
      </c>
      <c r="AC1254" s="29">
        <v>30950</v>
      </c>
      <c r="AD1254" s="29">
        <v>39196</v>
      </c>
      <c r="AE1254" s="29"/>
      <c r="AF1254">
        <v>15</v>
      </c>
      <c r="AG1254" t="s">
        <v>149</v>
      </c>
      <c r="AI1254">
        <v>23</v>
      </c>
      <c r="AJ1254">
        <v>1</v>
      </c>
      <c r="AK1254" t="s">
        <v>163</v>
      </c>
      <c r="AL1254" t="s">
        <v>77</v>
      </c>
      <c r="AM1254">
        <f t="shared" si="95"/>
        <v>2</v>
      </c>
      <c r="AN1254">
        <f t="shared" si="96"/>
        <v>4</v>
      </c>
      <c r="AO1254" t="str">
        <f t="shared" si="97"/>
        <v/>
      </c>
      <c r="AP1254" t="str">
        <f t="shared" si="98"/>
        <v/>
      </c>
      <c r="AQ1254">
        <f t="shared" si="99"/>
        <v>2007</v>
      </c>
    </row>
    <row r="1255" spans="1:43" x14ac:dyDescent="0.35">
      <c r="A1255">
        <v>182</v>
      </c>
      <c r="B1255">
        <v>39</v>
      </c>
      <c r="C1255" t="s">
        <v>148</v>
      </c>
      <c r="D1255" t="s">
        <v>145</v>
      </c>
      <c r="E1255" t="s">
        <v>158</v>
      </c>
      <c r="F1255" t="s">
        <v>37</v>
      </c>
      <c r="G1255" t="s">
        <v>44</v>
      </c>
      <c r="H1255" t="s">
        <v>81</v>
      </c>
      <c r="I1255" t="s">
        <v>42</v>
      </c>
      <c r="J1255" t="s">
        <v>159</v>
      </c>
      <c r="K1255" t="s">
        <v>43</v>
      </c>
      <c r="L1255" t="s">
        <v>147</v>
      </c>
      <c r="M1255" t="s">
        <v>50</v>
      </c>
      <c r="N1255" t="s">
        <v>160</v>
      </c>
      <c r="O1255" t="s">
        <v>41</v>
      </c>
      <c r="P1255" t="s">
        <v>148</v>
      </c>
      <c r="Q1255">
        <v>14</v>
      </c>
      <c r="R1255">
        <v>4</v>
      </c>
      <c r="S1255">
        <v>17</v>
      </c>
      <c r="T1255">
        <v>5</v>
      </c>
      <c r="U1255">
        <v>9</v>
      </c>
      <c r="V1255">
        <v>4</v>
      </c>
      <c r="W1255">
        <v>47</v>
      </c>
      <c r="X1255">
        <v>1329</v>
      </c>
      <c r="Y1255">
        <v>14590</v>
      </c>
      <c r="Z1255">
        <v>5902</v>
      </c>
      <c r="AA1255">
        <v>1</v>
      </c>
      <c r="AB1255" s="29">
        <v>44773</v>
      </c>
      <c r="AC1255" s="29">
        <v>30533</v>
      </c>
      <c r="AD1255" s="29">
        <v>39291</v>
      </c>
      <c r="AE1255" s="29"/>
      <c r="AF1255">
        <v>15</v>
      </c>
      <c r="AG1255" t="s">
        <v>149</v>
      </c>
      <c r="AI1255">
        <v>24</v>
      </c>
      <c r="AJ1255">
        <v>1</v>
      </c>
      <c r="AK1255" t="s">
        <v>163</v>
      </c>
      <c r="AL1255" t="s">
        <v>78</v>
      </c>
      <c r="AM1255">
        <f t="shared" si="95"/>
        <v>3</v>
      </c>
      <c r="AN1255">
        <f t="shared" si="96"/>
        <v>7</v>
      </c>
      <c r="AO1255" t="str">
        <f t="shared" si="97"/>
        <v/>
      </c>
      <c r="AP1255" t="str">
        <f t="shared" si="98"/>
        <v/>
      </c>
      <c r="AQ1255">
        <f t="shared" si="99"/>
        <v>2007</v>
      </c>
    </row>
    <row r="1256" spans="1:43" x14ac:dyDescent="0.35">
      <c r="A1256">
        <v>100</v>
      </c>
      <c r="B1256">
        <v>35</v>
      </c>
      <c r="C1256" t="s">
        <v>148</v>
      </c>
      <c r="D1256" t="s">
        <v>145</v>
      </c>
      <c r="E1256" t="s">
        <v>158</v>
      </c>
      <c r="F1256" t="s">
        <v>37</v>
      </c>
      <c r="G1256" t="s">
        <v>43</v>
      </c>
      <c r="H1256" t="s">
        <v>82</v>
      </c>
      <c r="I1256" t="s">
        <v>42</v>
      </c>
      <c r="J1256" t="s">
        <v>159</v>
      </c>
      <c r="K1256" t="s">
        <v>41</v>
      </c>
      <c r="L1256" t="s">
        <v>147</v>
      </c>
      <c r="M1256" t="s">
        <v>49</v>
      </c>
      <c r="N1256" t="s">
        <v>95</v>
      </c>
      <c r="P1256" t="s">
        <v>148</v>
      </c>
      <c r="Q1256">
        <v>14</v>
      </c>
      <c r="R1256">
        <v>0</v>
      </c>
      <c r="S1256">
        <v>16</v>
      </c>
      <c r="T1256">
        <v>2</v>
      </c>
      <c r="U1256">
        <v>8</v>
      </c>
      <c r="V1256">
        <v>1</v>
      </c>
      <c r="W1256">
        <v>32</v>
      </c>
      <c r="X1256">
        <v>776</v>
      </c>
      <c r="Y1256">
        <v>23016</v>
      </c>
      <c r="Z1256">
        <v>4312</v>
      </c>
      <c r="AA1256">
        <v>2</v>
      </c>
      <c r="AB1256" s="29">
        <v>44773</v>
      </c>
      <c r="AC1256" s="29">
        <v>32316</v>
      </c>
      <c r="AD1256" s="29">
        <v>39424</v>
      </c>
      <c r="AE1256" s="29"/>
      <c r="AF1256">
        <v>15</v>
      </c>
      <c r="AG1256" t="s">
        <v>149</v>
      </c>
      <c r="AI1256">
        <v>20</v>
      </c>
      <c r="AJ1256">
        <v>1</v>
      </c>
      <c r="AK1256" t="s">
        <v>163</v>
      </c>
      <c r="AL1256" t="s">
        <v>78</v>
      </c>
      <c r="AM1256">
        <f t="shared" si="95"/>
        <v>4</v>
      </c>
      <c r="AN1256">
        <f t="shared" si="96"/>
        <v>12</v>
      </c>
      <c r="AO1256" t="str">
        <f t="shared" si="97"/>
        <v/>
      </c>
      <c r="AP1256" t="str">
        <f t="shared" si="98"/>
        <v/>
      </c>
      <c r="AQ1256">
        <f t="shared" si="99"/>
        <v>2007</v>
      </c>
    </row>
    <row r="1257" spans="1:43" x14ac:dyDescent="0.35">
      <c r="A1257">
        <v>1995</v>
      </c>
      <c r="B1257">
        <v>38</v>
      </c>
      <c r="C1257" t="s">
        <v>148</v>
      </c>
      <c r="D1257" t="s">
        <v>145</v>
      </c>
      <c r="E1257" t="s">
        <v>158</v>
      </c>
      <c r="F1257" t="s">
        <v>37</v>
      </c>
      <c r="G1257" t="s">
        <v>44</v>
      </c>
      <c r="H1257" t="s">
        <v>82</v>
      </c>
      <c r="I1257" t="s">
        <v>43</v>
      </c>
      <c r="J1257" t="s">
        <v>159</v>
      </c>
      <c r="K1257" t="s">
        <v>42</v>
      </c>
      <c r="L1257" t="s">
        <v>147</v>
      </c>
      <c r="M1257" t="s">
        <v>49</v>
      </c>
      <c r="N1257" t="s">
        <v>160</v>
      </c>
      <c r="O1257" t="s">
        <v>156</v>
      </c>
      <c r="P1257" t="s">
        <v>148</v>
      </c>
      <c r="Q1257">
        <v>15</v>
      </c>
      <c r="R1257">
        <v>0</v>
      </c>
      <c r="S1257">
        <v>16</v>
      </c>
      <c r="T1257">
        <v>5</v>
      </c>
      <c r="U1257">
        <v>8</v>
      </c>
      <c r="V1257">
        <v>1</v>
      </c>
      <c r="W1257">
        <v>86</v>
      </c>
      <c r="X1257">
        <v>1321</v>
      </c>
      <c r="Y1257">
        <v>7636</v>
      </c>
      <c r="Z1257">
        <v>4440</v>
      </c>
      <c r="AA1257">
        <v>3</v>
      </c>
      <c r="AB1257" s="29">
        <v>44773</v>
      </c>
      <c r="AC1257" s="29">
        <v>31181</v>
      </c>
      <c r="AD1257" s="29">
        <v>39544</v>
      </c>
      <c r="AE1257" s="29"/>
      <c r="AF1257">
        <v>14</v>
      </c>
      <c r="AG1257" t="s">
        <v>149</v>
      </c>
      <c r="AI1257">
        <v>24</v>
      </c>
      <c r="AJ1257">
        <v>1</v>
      </c>
      <c r="AK1257" t="s">
        <v>154</v>
      </c>
      <c r="AL1257" t="s">
        <v>77</v>
      </c>
      <c r="AM1257">
        <f t="shared" si="95"/>
        <v>2</v>
      </c>
      <c r="AN1257">
        <f t="shared" si="96"/>
        <v>4</v>
      </c>
      <c r="AO1257" t="str">
        <f t="shared" si="97"/>
        <v/>
      </c>
      <c r="AP1257" t="str">
        <f t="shared" si="98"/>
        <v/>
      </c>
      <c r="AQ1257">
        <f t="shared" si="99"/>
        <v>2008</v>
      </c>
    </row>
    <row r="1258" spans="1:43" x14ac:dyDescent="0.35">
      <c r="A1258">
        <v>2016</v>
      </c>
      <c r="B1258">
        <v>32</v>
      </c>
      <c r="C1258" t="s">
        <v>148</v>
      </c>
      <c r="D1258" t="s">
        <v>145</v>
      </c>
      <c r="E1258" t="s">
        <v>158</v>
      </c>
      <c r="F1258" t="s">
        <v>37</v>
      </c>
      <c r="G1258" t="s">
        <v>43</v>
      </c>
      <c r="H1258" t="s">
        <v>81</v>
      </c>
      <c r="I1258" t="s">
        <v>43</v>
      </c>
      <c r="J1258" t="s">
        <v>159</v>
      </c>
      <c r="K1258" t="s">
        <v>44</v>
      </c>
      <c r="L1258" t="s">
        <v>147</v>
      </c>
      <c r="M1258" t="s">
        <v>49</v>
      </c>
      <c r="N1258" t="s">
        <v>160</v>
      </c>
      <c r="O1258" t="s">
        <v>156</v>
      </c>
      <c r="P1258" t="s">
        <v>148</v>
      </c>
      <c r="Q1258">
        <v>19</v>
      </c>
      <c r="R1258">
        <v>1</v>
      </c>
      <c r="S1258">
        <v>14</v>
      </c>
      <c r="T1258">
        <v>5</v>
      </c>
      <c r="U1258">
        <v>7</v>
      </c>
      <c r="V1258">
        <v>1</v>
      </c>
      <c r="W1258">
        <v>48</v>
      </c>
      <c r="X1258">
        <v>801</v>
      </c>
      <c r="Y1258">
        <v>24032</v>
      </c>
      <c r="Z1258">
        <v>10422</v>
      </c>
      <c r="AA1258">
        <v>3</v>
      </c>
      <c r="AB1258" s="29">
        <v>44773</v>
      </c>
      <c r="AC1258" s="29">
        <v>33289</v>
      </c>
      <c r="AD1258" s="29">
        <v>39738</v>
      </c>
      <c r="AE1258" s="29"/>
      <c r="AF1258">
        <v>14</v>
      </c>
      <c r="AG1258" t="s">
        <v>149</v>
      </c>
      <c r="AI1258">
        <v>18</v>
      </c>
      <c r="AJ1258">
        <v>1</v>
      </c>
      <c r="AK1258" t="s">
        <v>154</v>
      </c>
      <c r="AL1258" t="s">
        <v>77</v>
      </c>
      <c r="AM1258">
        <f t="shared" si="95"/>
        <v>4</v>
      </c>
      <c r="AN1258">
        <f t="shared" si="96"/>
        <v>10</v>
      </c>
      <c r="AO1258" t="str">
        <f t="shared" si="97"/>
        <v/>
      </c>
      <c r="AP1258" t="str">
        <f t="shared" si="98"/>
        <v/>
      </c>
      <c r="AQ1258">
        <f t="shared" si="99"/>
        <v>2008</v>
      </c>
    </row>
    <row r="1259" spans="1:43" x14ac:dyDescent="0.35">
      <c r="A1259">
        <v>1710</v>
      </c>
      <c r="B1259">
        <v>36</v>
      </c>
      <c r="C1259" t="s">
        <v>148</v>
      </c>
      <c r="D1259" t="s">
        <v>145</v>
      </c>
      <c r="E1259" t="s">
        <v>158</v>
      </c>
      <c r="F1259" t="s">
        <v>37</v>
      </c>
      <c r="G1259" t="s">
        <v>43</v>
      </c>
      <c r="H1259" t="s">
        <v>81</v>
      </c>
      <c r="I1259" t="s">
        <v>43</v>
      </c>
      <c r="J1259" t="s">
        <v>166</v>
      </c>
      <c r="K1259" t="s">
        <v>44</v>
      </c>
      <c r="L1259" t="s">
        <v>147</v>
      </c>
      <c r="M1259" t="s">
        <v>48</v>
      </c>
      <c r="N1259" t="s">
        <v>95</v>
      </c>
      <c r="P1259" t="s">
        <v>148</v>
      </c>
      <c r="Q1259">
        <v>15</v>
      </c>
      <c r="R1259">
        <v>3</v>
      </c>
      <c r="S1259">
        <v>17</v>
      </c>
      <c r="T1259">
        <v>6</v>
      </c>
      <c r="U1259">
        <v>7</v>
      </c>
      <c r="V1259">
        <v>2</v>
      </c>
      <c r="W1259">
        <v>51</v>
      </c>
      <c r="X1259">
        <v>530</v>
      </c>
      <c r="Y1259">
        <v>7439</v>
      </c>
      <c r="Z1259">
        <v>4502</v>
      </c>
      <c r="AA1259">
        <v>2</v>
      </c>
      <c r="AB1259" s="29">
        <v>44773</v>
      </c>
      <c r="AC1259" s="29">
        <v>31667</v>
      </c>
      <c r="AD1259" s="29">
        <v>40021</v>
      </c>
      <c r="AE1259" s="29"/>
      <c r="AF1259">
        <v>13</v>
      </c>
      <c r="AG1259" t="s">
        <v>149</v>
      </c>
      <c r="AI1259">
        <v>23</v>
      </c>
      <c r="AJ1259">
        <v>1</v>
      </c>
      <c r="AK1259" t="s">
        <v>154</v>
      </c>
      <c r="AL1259" t="s">
        <v>77</v>
      </c>
      <c r="AM1259">
        <f t="shared" si="95"/>
        <v>3</v>
      </c>
      <c r="AN1259">
        <f t="shared" si="96"/>
        <v>7</v>
      </c>
      <c r="AO1259" t="str">
        <f t="shared" si="97"/>
        <v/>
      </c>
      <c r="AP1259" t="str">
        <f t="shared" si="98"/>
        <v/>
      </c>
      <c r="AQ1259">
        <f t="shared" si="99"/>
        <v>2009</v>
      </c>
    </row>
    <row r="1260" spans="1:43" x14ac:dyDescent="0.35">
      <c r="A1260">
        <v>1527</v>
      </c>
      <c r="B1260">
        <v>46</v>
      </c>
      <c r="C1260" t="s">
        <v>148</v>
      </c>
      <c r="D1260" t="s">
        <v>145</v>
      </c>
      <c r="E1260" t="s">
        <v>158</v>
      </c>
      <c r="F1260" t="s">
        <v>38</v>
      </c>
      <c r="G1260" t="s">
        <v>43</v>
      </c>
      <c r="H1260" t="s">
        <v>81</v>
      </c>
      <c r="I1260" t="s">
        <v>43</v>
      </c>
      <c r="J1260" t="s">
        <v>169</v>
      </c>
      <c r="K1260" t="s">
        <v>42</v>
      </c>
      <c r="L1260" t="s">
        <v>147</v>
      </c>
      <c r="M1260" t="s">
        <v>50</v>
      </c>
      <c r="N1260" t="s">
        <v>160</v>
      </c>
      <c r="O1260" t="s">
        <v>41</v>
      </c>
      <c r="P1260" t="s">
        <v>148</v>
      </c>
      <c r="Q1260">
        <v>12</v>
      </c>
      <c r="R1260">
        <v>8</v>
      </c>
      <c r="S1260">
        <v>23</v>
      </c>
      <c r="T1260">
        <v>5</v>
      </c>
      <c r="U1260">
        <v>1</v>
      </c>
      <c r="V1260">
        <v>3</v>
      </c>
      <c r="W1260">
        <v>51</v>
      </c>
      <c r="X1260">
        <v>228</v>
      </c>
      <c r="Y1260">
        <v>11380</v>
      </c>
      <c r="Z1260">
        <v>16606</v>
      </c>
      <c r="AA1260">
        <v>2</v>
      </c>
      <c r="AB1260" s="29">
        <v>44773</v>
      </c>
      <c r="AC1260" s="29">
        <v>28141</v>
      </c>
      <c r="AD1260" s="29">
        <v>40035</v>
      </c>
      <c r="AE1260" s="29"/>
      <c r="AF1260">
        <v>13</v>
      </c>
      <c r="AG1260" t="s">
        <v>153</v>
      </c>
      <c r="AI1260">
        <v>33</v>
      </c>
      <c r="AJ1260">
        <v>1</v>
      </c>
      <c r="AK1260" t="s">
        <v>154</v>
      </c>
      <c r="AL1260" t="s">
        <v>77</v>
      </c>
      <c r="AM1260">
        <f t="shared" si="95"/>
        <v>3</v>
      </c>
      <c r="AN1260">
        <f t="shared" si="96"/>
        <v>8</v>
      </c>
      <c r="AO1260" t="str">
        <f t="shared" si="97"/>
        <v/>
      </c>
      <c r="AP1260" t="str">
        <f t="shared" si="98"/>
        <v/>
      </c>
      <c r="AQ1260">
        <f t="shared" si="99"/>
        <v>2009</v>
      </c>
    </row>
    <row r="1261" spans="1:43" x14ac:dyDescent="0.35">
      <c r="A1261">
        <v>420</v>
      </c>
      <c r="B1261">
        <v>32</v>
      </c>
      <c r="C1261" t="s">
        <v>148</v>
      </c>
      <c r="D1261" t="s">
        <v>145</v>
      </c>
      <c r="E1261" t="s">
        <v>158</v>
      </c>
      <c r="F1261" t="s">
        <v>38</v>
      </c>
      <c r="G1261" t="s">
        <v>44</v>
      </c>
      <c r="H1261" t="s">
        <v>82</v>
      </c>
      <c r="I1261" t="s">
        <v>42</v>
      </c>
      <c r="J1261" t="s">
        <v>159</v>
      </c>
      <c r="K1261" t="s">
        <v>43</v>
      </c>
      <c r="L1261" t="s">
        <v>147</v>
      </c>
      <c r="M1261" t="s">
        <v>48</v>
      </c>
      <c r="N1261" t="s">
        <v>160</v>
      </c>
      <c r="O1261" t="s">
        <v>41</v>
      </c>
      <c r="P1261" t="s">
        <v>148</v>
      </c>
      <c r="Q1261">
        <v>14</v>
      </c>
      <c r="R1261">
        <v>1</v>
      </c>
      <c r="S1261">
        <v>13</v>
      </c>
      <c r="T1261">
        <v>4</v>
      </c>
      <c r="U1261">
        <v>8</v>
      </c>
      <c r="V1261">
        <v>7</v>
      </c>
      <c r="W1261">
        <v>91</v>
      </c>
      <c r="X1261">
        <v>906</v>
      </c>
      <c r="Y1261">
        <v>16985</v>
      </c>
      <c r="Z1261">
        <v>5484</v>
      </c>
      <c r="AA1261">
        <v>3</v>
      </c>
      <c r="AB1261" s="29">
        <v>44773</v>
      </c>
      <c r="AC1261" s="29">
        <v>33166</v>
      </c>
      <c r="AD1261" s="29">
        <v>40132</v>
      </c>
      <c r="AE1261" s="29"/>
      <c r="AF1261">
        <v>13</v>
      </c>
      <c r="AG1261" t="s">
        <v>149</v>
      </c>
      <c r="AI1261">
        <v>19</v>
      </c>
      <c r="AJ1261">
        <v>1</v>
      </c>
      <c r="AK1261" t="s">
        <v>154</v>
      </c>
      <c r="AL1261" t="s">
        <v>77</v>
      </c>
      <c r="AM1261">
        <f t="shared" si="95"/>
        <v>4</v>
      </c>
      <c r="AN1261">
        <f t="shared" si="96"/>
        <v>11</v>
      </c>
      <c r="AO1261" t="str">
        <f t="shared" si="97"/>
        <v/>
      </c>
      <c r="AP1261" t="str">
        <f t="shared" si="98"/>
        <v/>
      </c>
      <c r="AQ1261">
        <f t="shared" si="99"/>
        <v>2009</v>
      </c>
    </row>
    <row r="1262" spans="1:43" x14ac:dyDescent="0.35">
      <c r="A1262">
        <v>1478</v>
      </c>
      <c r="B1262">
        <v>34</v>
      </c>
      <c r="C1262" t="s">
        <v>148</v>
      </c>
      <c r="D1262" t="s">
        <v>145</v>
      </c>
      <c r="E1262" t="s">
        <v>158</v>
      </c>
      <c r="F1262" t="s">
        <v>38</v>
      </c>
      <c r="G1262" t="s">
        <v>44</v>
      </c>
      <c r="H1262" t="s">
        <v>82</v>
      </c>
      <c r="I1262" t="s">
        <v>41</v>
      </c>
      <c r="J1262" t="s">
        <v>159</v>
      </c>
      <c r="K1262" t="s">
        <v>41</v>
      </c>
      <c r="L1262" t="s">
        <v>147</v>
      </c>
      <c r="M1262" t="s">
        <v>49</v>
      </c>
      <c r="N1262" t="s">
        <v>95</v>
      </c>
      <c r="P1262" t="s">
        <v>148</v>
      </c>
      <c r="Q1262">
        <v>18</v>
      </c>
      <c r="R1262">
        <v>3</v>
      </c>
      <c r="S1262">
        <v>15</v>
      </c>
      <c r="T1262">
        <v>3</v>
      </c>
      <c r="U1262">
        <v>12</v>
      </c>
      <c r="V1262">
        <v>3</v>
      </c>
      <c r="W1262">
        <v>81</v>
      </c>
      <c r="X1262">
        <v>1326</v>
      </c>
      <c r="Y1262">
        <v>15891</v>
      </c>
      <c r="Z1262">
        <v>4759</v>
      </c>
      <c r="AA1262">
        <v>2</v>
      </c>
      <c r="AB1262" s="29">
        <v>44773</v>
      </c>
      <c r="AC1262" s="29">
        <v>32579</v>
      </c>
      <c r="AD1262" s="29">
        <v>40223</v>
      </c>
      <c r="AE1262" s="29"/>
      <c r="AF1262">
        <v>12</v>
      </c>
      <c r="AG1262" t="s">
        <v>149</v>
      </c>
      <c r="AI1262">
        <v>22</v>
      </c>
      <c r="AJ1262">
        <v>1</v>
      </c>
      <c r="AK1262" t="s">
        <v>154</v>
      </c>
      <c r="AL1262" t="s">
        <v>77</v>
      </c>
      <c r="AM1262">
        <f t="shared" si="95"/>
        <v>1</v>
      </c>
      <c r="AN1262">
        <f t="shared" si="96"/>
        <v>2</v>
      </c>
      <c r="AO1262" t="str">
        <f t="shared" si="97"/>
        <v/>
      </c>
      <c r="AP1262" t="str">
        <f t="shared" si="98"/>
        <v/>
      </c>
      <c r="AQ1262">
        <f t="shared" si="99"/>
        <v>2010</v>
      </c>
    </row>
    <row r="1263" spans="1:43" x14ac:dyDescent="0.35">
      <c r="A1263">
        <v>1453</v>
      </c>
      <c r="B1263">
        <v>31</v>
      </c>
      <c r="C1263" t="s">
        <v>148</v>
      </c>
      <c r="D1263" t="s">
        <v>145</v>
      </c>
      <c r="E1263" t="s">
        <v>158</v>
      </c>
      <c r="F1263" t="s">
        <v>36</v>
      </c>
      <c r="G1263" t="s">
        <v>41</v>
      </c>
      <c r="H1263" t="s">
        <v>82</v>
      </c>
      <c r="I1263" t="s">
        <v>43</v>
      </c>
      <c r="J1263" t="s">
        <v>159</v>
      </c>
      <c r="K1263" t="s">
        <v>44</v>
      </c>
      <c r="L1263" t="s">
        <v>147</v>
      </c>
      <c r="M1263" t="s">
        <v>49</v>
      </c>
      <c r="N1263" t="s">
        <v>96</v>
      </c>
      <c r="O1263" t="s">
        <v>41</v>
      </c>
      <c r="P1263" t="s">
        <v>148</v>
      </c>
      <c r="Q1263">
        <v>18</v>
      </c>
      <c r="R1263">
        <v>1</v>
      </c>
      <c r="S1263">
        <v>13</v>
      </c>
      <c r="T1263">
        <v>9</v>
      </c>
      <c r="U1263">
        <v>9</v>
      </c>
      <c r="V1263">
        <v>8</v>
      </c>
      <c r="W1263">
        <v>31</v>
      </c>
      <c r="X1263">
        <v>326</v>
      </c>
      <c r="Y1263">
        <v>8386</v>
      </c>
      <c r="Z1263">
        <v>10793</v>
      </c>
      <c r="AA1263">
        <v>5</v>
      </c>
      <c r="AB1263" s="29">
        <v>44773</v>
      </c>
      <c r="AC1263" s="29">
        <v>33744</v>
      </c>
      <c r="AD1263" s="29">
        <v>40279</v>
      </c>
      <c r="AE1263" s="29"/>
      <c r="AF1263">
        <v>12</v>
      </c>
      <c r="AG1263" t="s">
        <v>149</v>
      </c>
      <c r="AI1263">
        <v>19</v>
      </c>
      <c r="AJ1263">
        <v>1</v>
      </c>
      <c r="AK1263" t="s">
        <v>154</v>
      </c>
      <c r="AL1263" t="s">
        <v>77</v>
      </c>
      <c r="AM1263">
        <f t="shared" si="95"/>
        <v>2</v>
      </c>
      <c r="AN1263">
        <f t="shared" si="96"/>
        <v>4</v>
      </c>
      <c r="AO1263" t="str">
        <f t="shared" si="97"/>
        <v/>
      </c>
      <c r="AP1263" t="str">
        <f t="shared" si="98"/>
        <v/>
      </c>
      <c r="AQ1263">
        <f t="shared" si="99"/>
        <v>2010</v>
      </c>
    </row>
    <row r="1264" spans="1:43" x14ac:dyDescent="0.35">
      <c r="A1264">
        <v>436</v>
      </c>
      <c r="B1264">
        <v>32</v>
      </c>
      <c r="C1264" t="s">
        <v>148</v>
      </c>
      <c r="D1264" t="s">
        <v>145</v>
      </c>
      <c r="E1264" t="s">
        <v>158</v>
      </c>
      <c r="F1264" t="s">
        <v>36</v>
      </c>
      <c r="G1264" t="s">
        <v>43</v>
      </c>
      <c r="H1264" t="s">
        <v>81</v>
      </c>
      <c r="I1264" t="s">
        <v>42</v>
      </c>
      <c r="J1264" t="s">
        <v>159</v>
      </c>
      <c r="K1264" t="s">
        <v>42</v>
      </c>
      <c r="L1264" t="s">
        <v>147</v>
      </c>
      <c r="M1264" t="s">
        <v>49</v>
      </c>
      <c r="N1264" t="s">
        <v>160</v>
      </c>
      <c r="P1264" t="s">
        <v>144</v>
      </c>
      <c r="Q1264">
        <v>11</v>
      </c>
      <c r="R1264">
        <v>1</v>
      </c>
      <c r="S1264">
        <v>13</v>
      </c>
      <c r="T1264">
        <v>11</v>
      </c>
      <c r="U1264">
        <v>9</v>
      </c>
      <c r="V1264">
        <v>8</v>
      </c>
      <c r="W1264">
        <v>65</v>
      </c>
      <c r="X1264">
        <v>588</v>
      </c>
      <c r="Y1264">
        <v>24624</v>
      </c>
      <c r="Z1264">
        <v>5228</v>
      </c>
      <c r="AA1264">
        <v>2</v>
      </c>
      <c r="AB1264" s="29">
        <v>44773</v>
      </c>
      <c r="AC1264" s="29">
        <v>33095</v>
      </c>
      <c r="AD1264" s="29">
        <v>40345</v>
      </c>
      <c r="AE1264" s="29"/>
      <c r="AF1264">
        <v>12</v>
      </c>
      <c r="AG1264" t="s">
        <v>149</v>
      </c>
      <c r="AI1264">
        <v>20</v>
      </c>
      <c r="AJ1264">
        <v>1</v>
      </c>
      <c r="AK1264" t="s">
        <v>154</v>
      </c>
      <c r="AL1264" t="s">
        <v>77</v>
      </c>
      <c r="AM1264">
        <f t="shared" si="95"/>
        <v>2</v>
      </c>
      <c r="AN1264">
        <f t="shared" si="96"/>
        <v>6</v>
      </c>
      <c r="AO1264" t="str">
        <f t="shared" si="97"/>
        <v/>
      </c>
      <c r="AP1264" t="str">
        <f t="shared" si="98"/>
        <v/>
      </c>
      <c r="AQ1264">
        <f t="shared" si="99"/>
        <v>2010</v>
      </c>
    </row>
    <row r="1265" spans="1:43" x14ac:dyDescent="0.35">
      <c r="A1265">
        <v>1039</v>
      </c>
      <c r="B1265">
        <v>44</v>
      </c>
      <c r="C1265" t="s">
        <v>148</v>
      </c>
      <c r="D1265" t="s">
        <v>145</v>
      </c>
      <c r="E1265" t="s">
        <v>158</v>
      </c>
      <c r="F1265" t="s">
        <v>38</v>
      </c>
      <c r="G1265" t="s">
        <v>44</v>
      </c>
      <c r="H1265" t="s">
        <v>81</v>
      </c>
      <c r="I1265" t="s">
        <v>44</v>
      </c>
      <c r="J1265" t="s">
        <v>159</v>
      </c>
      <c r="K1265" t="s">
        <v>44</v>
      </c>
      <c r="L1265" t="s">
        <v>147</v>
      </c>
      <c r="M1265" t="s">
        <v>49</v>
      </c>
      <c r="N1265" t="s">
        <v>160</v>
      </c>
      <c r="O1265" t="s">
        <v>41</v>
      </c>
      <c r="P1265" t="s">
        <v>144</v>
      </c>
      <c r="Q1265">
        <v>18</v>
      </c>
      <c r="R1265">
        <v>3</v>
      </c>
      <c r="S1265">
        <v>23</v>
      </c>
      <c r="T1265">
        <v>11</v>
      </c>
      <c r="U1265">
        <v>11</v>
      </c>
      <c r="V1265">
        <v>28</v>
      </c>
      <c r="W1265">
        <v>53</v>
      </c>
      <c r="X1265">
        <v>1448</v>
      </c>
      <c r="Y1265">
        <v>11737</v>
      </c>
      <c r="Z1265">
        <v>13320</v>
      </c>
      <c r="AA1265">
        <v>2</v>
      </c>
      <c r="AB1265" s="29">
        <v>44773</v>
      </c>
      <c r="AC1265" s="29">
        <v>28852</v>
      </c>
      <c r="AD1265" s="29">
        <v>40560</v>
      </c>
      <c r="AE1265" s="29"/>
      <c r="AF1265">
        <v>12</v>
      </c>
      <c r="AG1265" t="s">
        <v>153</v>
      </c>
      <c r="AI1265">
        <v>32</v>
      </c>
      <c r="AJ1265">
        <v>1</v>
      </c>
      <c r="AK1265" t="s">
        <v>154</v>
      </c>
      <c r="AL1265" t="s">
        <v>77</v>
      </c>
      <c r="AM1265">
        <f t="shared" si="95"/>
        <v>1</v>
      </c>
      <c r="AN1265">
        <f t="shared" si="96"/>
        <v>1</v>
      </c>
      <c r="AO1265" t="str">
        <f t="shared" si="97"/>
        <v/>
      </c>
      <c r="AP1265" t="str">
        <f t="shared" si="98"/>
        <v/>
      </c>
      <c r="AQ1265">
        <f t="shared" si="99"/>
        <v>2011</v>
      </c>
    </row>
    <row r="1266" spans="1:43" x14ac:dyDescent="0.35">
      <c r="A1266">
        <v>215</v>
      </c>
      <c r="B1266">
        <v>40</v>
      </c>
      <c r="C1266" t="s">
        <v>148</v>
      </c>
      <c r="D1266" t="s">
        <v>145</v>
      </c>
      <c r="E1266" t="s">
        <v>158</v>
      </c>
      <c r="F1266" t="s">
        <v>37</v>
      </c>
      <c r="G1266" t="s">
        <v>43</v>
      </c>
      <c r="H1266" t="s">
        <v>82</v>
      </c>
      <c r="I1266" t="s">
        <v>42</v>
      </c>
      <c r="J1266" t="s">
        <v>159</v>
      </c>
      <c r="K1266" t="s">
        <v>44</v>
      </c>
      <c r="L1266" t="s">
        <v>147</v>
      </c>
      <c r="M1266" t="s">
        <v>48</v>
      </c>
      <c r="N1266" t="s">
        <v>160</v>
      </c>
      <c r="O1266" t="s">
        <v>41</v>
      </c>
      <c r="P1266" t="s">
        <v>148</v>
      </c>
      <c r="Q1266">
        <v>11</v>
      </c>
      <c r="R1266">
        <v>7</v>
      </c>
      <c r="S1266">
        <v>15</v>
      </c>
      <c r="T1266">
        <v>2</v>
      </c>
      <c r="U1266">
        <v>11</v>
      </c>
      <c r="V1266">
        <v>4</v>
      </c>
      <c r="W1266">
        <v>67</v>
      </c>
      <c r="X1266">
        <v>630</v>
      </c>
      <c r="Y1266">
        <v>8552</v>
      </c>
      <c r="Z1266">
        <v>10855</v>
      </c>
      <c r="AA1266">
        <v>2</v>
      </c>
      <c r="AB1266" s="29">
        <v>44773</v>
      </c>
      <c r="AC1266" s="29">
        <v>30452</v>
      </c>
      <c r="AD1266" s="29">
        <v>40567</v>
      </c>
      <c r="AE1266" s="29"/>
      <c r="AF1266">
        <v>12</v>
      </c>
      <c r="AG1266" t="s">
        <v>153</v>
      </c>
      <c r="AI1266">
        <v>28</v>
      </c>
      <c r="AJ1266">
        <v>1</v>
      </c>
      <c r="AK1266" t="s">
        <v>154</v>
      </c>
      <c r="AL1266" t="s">
        <v>77</v>
      </c>
      <c r="AM1266">
        <f t="shared" si="95"/>
        <v>1</v>
      </c>
      <c r="AN1266">
        <f t="shared" si="96"/>
        <v>1</v>
      </c>
      <c r="AO1266" t="str">
        <f t="shared" si="97"/>
        <v/>
      </c>
      <c r="AP1266" t="str">
        <f t="shared" si="98"/>
        <v/>
      </c>
      <c r="AQ1266">
        <f t="shared" si="99"/>
        <v>2011</v>
      </c>
    </row>
    <row r="1267" spans="1:43" x14ac:dyDescent="0.35">
      <c r="A1267">
        <v>1784</v>
      </c>
      <c r="B1267">
        <v>31</v>
      </c>
      <c r="C1267" t="s">
        <v>148</v>
      </c>
      <c r="D1267" t="s">
        <v>145</v>
      </c>
      <c r="E1267" t="s">
        <v>158</v>
      </c>
      <c r="F1267" t="s">
        <v>37</v>
      </c>
      <c r="G1267" t="s">
        <v>41</v>
      </c>
      <c r="H1267" t="s">
        <v>81</v>
      </c>
      <c r="I1267" t="s">
        <v>42</v>
      </c>
      <c r="J1267" t="s">
        <v>159</v>
      </c>
      <c r="K1267" t="s">
        <v>44</v>
      </c>
      <c r="L1267" t="s">
        <v>147</v>
      </c>
      <c r="M1267" t="s">
        <v>49</v>
      </c>
      <c r="N1267" t="s">
        <v>160</v>
      </c>
      <c r="O1267" t="s">
        <v>156</v>
      </c>
      <c r="P1267" t="s">
        <v>148</v>
      </c>
      <c r="Q1267">
        <v>14</v>
      </c>
      <c r="R1267">
        <v>1</v>
      </c>
      <c r="S1267">
        <v>13</v>
      </c>
      <c r="T1267">
        <v>5</v>
      </c>
      <c r="U1267">
        <v>7</v>
      </c>
      <c r="V1267">
        <v>29</v>
      </c>
      <c r="W1267">
        <v>91</v>
      </c>
      <c r="X1267">
        <v>196</v>
      </c>
      <c r="Y1267">
        <v>13402</v>
      </c>
      <c r="Z1267">
        <v>5468</v>
      </c>
      <c r="AA1267">
        <v>3</v>
      </c>
      <c r="AB1267" s="29">
        <v>44773</v>
      </c>
      <c r="AC1267" s="29">
        <v>33671</v>
      </c>
      <c r="AD1267" s="29">
        <v>40719</v>
      </c>
      <c r="AE1267" s="29"/>
      <c r="AF1267">
        <v>11</v>
      </c>
      <c r="AG1267" t="s">
        <v>149</v>
      </c>
      <c r="AI1267">
        <v>20</v>
      </c>
      <c r="AJ1267">
        <v>1</v>
      </c>
      <c r="AK1267" t="s">
        <v>154</v>
      </c>
      <c r="AL1267" t="s">
        <v>77</v>
      </c>
      <c r="AM1267">
        <f t="shared" si="95"/>
        <v>2</v>
      </c>
      <c r="AN1267">
        <f t="shared" si="96"/>
        <v>6</v>
      </c>
      <c r="AO1267" t="str">
        <f t="shared" si="97"/>
        <v/>
      </c>
      <c r="AP1267" t="str">
        <f t="shared" si="98"/>
        <v/>
      </c>
      <c r="AQ1267">
        <f t="shared" si="99"/>
        <v>2011</v>
      </c>
    </row>
    <row r="1268" spans="1:43" x14ac:dyDescent="0.35">
      <c r="A1268">
        <v>1124</v>
      </c>
      <c r="B1268">
        <v>46</v>
      </c>
      <c r="C1268" t="s">
        <v>148</v>
      </c>
      <c r="D1268" t="s">
        <v>145</v>
      </c>
      <c r="E1268" t="s">
        <v>158</v>
      </c>
      <c r="F1268" t="s">
        <v>35</v>
      </c>
      <c r="G1268" t="s">
        <v>41</v>
      </c>
      <c r="H1268" t="s">
        <v>82</v>
      </c>
      <c r="I1268" t="s">
        <v>43</v>
      </c>
      <c r="J1268" t="s">
        <v>169</v>
      </c>
      <c r="K1268" t="s">
        <v>43</v>
      </c>
      <c r="L1268" t="s">
        <v>147</v>
      </c>
      <c r="M1268" t="s">
        <v>49</v>
      </c>
      <c r="N1268" t="s">
        <v>160</v>
      </c>
      <c r="O1268" t="s">
        <v>41</v>
      </c>
      <c r="P1268" t="s">
        <v>148</v>
      </c>
      <c r="Q1268">
        <v>12</v>
      </c>
      <c r="R1268">
        <v>3</v>
      </c>
      <c r="S1268">
        <v>23</v>
      </c>
      <c r="T1268">
        <v>4</v>
      </c>
      <c r="U1268">
        <v>9</v>
      </c>
      <c r="V1268">
        <v>3</v>
      </c>
      <c r="W1268">
        <v>52</v>
      </c>
      <c r="X1268">
        <v>406</v>
      </c>
      <c r="Y1268">
        <v>15596</v>
      </c>
      <c r="Z1268">
        <v>17465</v>
      </c>
      <c r="AA1268">
        <v>3</v>
      </c>
      <c r="AB1268" s="29">
        <v>44773</v>
      </c>
      <c r="AC1268" s="29">
        <v>28174</v>
      </c>
      <c r="AD1268" s="29">
        <v>40735</v>
      </c>
      <c r="AE1268" s="29"/>
      <c r="AF1268">
        <v>11</v>
      </c>
      <c r="AG1268" t="s">
        <v>153</v>
      </c>
      <c r="AI1268">
        <v>35</v>
      </c>
      <c r="AJ1268">
        <v>1</v>
      </c>
      <c r="AK1268" t="s">
        <v>154</v>
      </c>
      <c r="AL1268" t="s">
        <v>77</v>
      </c>
      <c r="AM1268">
        <f t="shared" si="95"/>
        <v>3</v>
      </c>
      <c r="AN1268">
        <f t="shared" si="96"/>
        <v>7</v>
      </c>
      <c r="AO1268" t="str">
        <f t="shared" si="97"/>
        <v/>
      </c>
      <c r="AP1268" t="str">
        <f t="shared" si="98"/>
        <v/>
      </c>
      <c r="AQ1268">
        <f t="shared" si="99"/>
        <v>2011</v>
      </c>
    </row>
    <row r="1269" spans="1:43" x14ac:dyDescent="0.35">
      <c r="A1269">
        <v>406</v>
      </c>
      <c r="B1269">
        <v>35</v>
      </c>
      <c r="C1269" t="s">
        <v>148</v>
      </c>
      <c r="D1269" t="s">
        <v>145</v>
      </c>
      <c r="E1269" t="s">
        <v>158</v>
      </c>
      <c r="F1269" t="s">
        <v>38</v>
      </c>
      <c r="G1269" t="s">
        <v>43</v>
      </c>
      <c r="H1269" t="s">
        <v>82</v>
      </c>
      <c r="I1269" t="s">
        <v>43</v>
      </c>
      <c r="J1269" t="s">
        <v>159</v>
      </c>
      <c r="K1269" t="s">
        <v>42</v>
      </c>
      <c r="L1269" t="s">
        <v>147</v>
      </c>
      <c r="M1269" t="s">
        <v>48</v>
      </c>
      <c r="N1269" t="s">
        <v>160</v>
      </c>
      <c r="O1269" t="s">
        <v>156</v>
      </c>
      <c r="P1269" t="s">
        <v>148</v>
      </c>
      <c r="Q1269">
        <v>15</v>
      </c>
      <c r="R1269">
        <v>0</v>
      </c>
      <c r="S1269">
        <v>12</v>
      </c>
      <c r="T1269">
        <v>6</v>
      </c>
      <c r="U1269">
        <v>9</v>
      </c>
      <c r="V1269">
        <v>16</v>
      </c>
      <c r="W1269">
        <v>96</v>
      </c>
      <c r="X1269">
        <v>1232</v>
      </c>
      <c r="Y1269">
        <v>5100</v>
      </c>
      <c r="Z1269">
        <v>8020</v>
      </c>
      <c r="AA1269">
        <v>3</v>
      </c>
      <c r="AB1269" s="29">
        <v>44773</v>
      </c>
      <c r="AC1269" s="29">
        <v>32082</v>
      </c>
      <c r="AD1269" s="29">
        <v>40795</v>
      </c>
      <c r="AE1269" s="29"/>
      <c r="AF1269">
        <v>11</v>
      </c>
      <c r="AG1269" t="s">
        <v>149</v>
      </c>
      <c r="AI1269">
        <v>24</v>
      </c>
      <c r="AJ1269">
        <v>1</v>
      </c>
      <c r="AK1269" t="s">
        <v>154</v>
      </c>
      <c r="AL1269" t="s">
        <v>77</v>
      </c>
      <c r="AM1269">
        <f t="shared" si="95"/>
        <v>3</v>
      </c>
      <c r="AN1269">
        <f t="shared" si="96"/>
        <v>9</v>
      </c>
      <c r="AO1269" t="str">
        <f t="shared" si="97"/>
        <v/>
      </c>
      <c r="AP1269" t="str">
        <f t="shared" si="98"/>
        <v/>
      </c>
      <c r="AQ1269">
        <f t="shared" si="99"/>
        <v>2011</v>
      </c>
    </row>
    <row r="1270" spans="1:43" x14ac:dyDescent="0.35">
      <c r="A1270">
        <v>600</v>
      </c>
      <c r="B1270">
        <v>35</v>
      </c>
      <c r="C1270" t="s">
        <v>148</v>
      </c>
      <c r="D1270" t="s">
        <v>145</v>
      </c>
      <c r="E1270" t="s">
        <v>158</v>
      </c>
      <c r="F1270" t="s">
        <v>38</v>
      </c>
      <c r="G1270" t="s">
        <v>42</v>
      </c>
      <c r="H1270" t="s">
        <v>82</v>
      </c>
      <c r="I1270" t="s">
        <v>43</v>
      </c>
      <c r="J1270" t="s">
        <v>159</v>
      </c>
      <c r="K1270" t="s">
        <v>43</v>
      </c>
      <c r="L1270" t="s">
        <v>147</v>
      </c>
      <c r="M1270" t="s">
        <v>49</v>
      </c>
      <c r="N1270" t="s">
        <v>160</v>
      </c>
      <c r="P1270" t="s">
        <v>148</v>
      </c>
      <c r="Q1270">
        <v>11</v>
      </c>
      <c r="R1270">
        <v>9</v>
      </c>
      <c r="S1270">
        <v>15</v>
      </c>
      <c r="T1270">
        <v>6</v>
      </c>
      <c r="U1270">
        <v>9</v>
      </c>
      <c r="V1270">
        <v>1</v>
      </c>
      <c r="W1270">
        <v>85</v>
      </c>
      <c r="X1270">
        <v>619</v>
      </c>
      <c r="Y1270">
        <v>18659</v>
      </c>
      <c r="Z1270">
        <v>4717</v>
      </c>
      <c r="AA1270">
        <v>2</v>
      </c>
      <c r="AB1270" s="29">
        <v>44773</v>
      </c>
      <c r="AC1270" s="29">
        <v>32089</v>
      </c>
      <c r="AD1270" s="29">
        <v>40910</v>
      </c>
      <c r="AE1270" s="29"/>
      <c r="AF1270">
        <v>11</v>
      </c>
      <c r="AG1270" t="s">
        <v>149</v>
      </c>
      <c r="AI1270">
        <v>24</v>
      </c>
      <c r="AJ1270">
        <v>1</v>
      </c>
      <c r="AK1270" t="s">
        <v>154</v>
      </c>
      <c r="AL1270" t="s">
        <v>77</v>
      </c>
      <c r="AM1270">
        <f t="shared" si="95"/>
        <v>1</v>
      </c>
      <c r="AN1270">
        <f t="shared" si="96"/>
        <v>1</v>
      </c>
      <c r="AO1270" t="str">
        <f t="shared" si="97"/>
        <v/>
      </c>
      <c r="AP1270" t="str">
        <f t="shared" si="98"/>
        <v/>
      </c>
      <c r="AQ1270">
        <f t="shared" si="99"/>
        <v>2012</v>
      </c>
    </row>
    <row r="1271" spans="1:43" x14ac:dyDescent="0.35">
      <c r="A1271">
        <v>121</v>
      </c>
      <c r="B1271">
        <v>30</v>
      </c>
      <c r="C1271" t="s">
        <v>148</v>
      </c>
      <c r="D1271" t="s">
        <v>145</v>
      </c>
      <c r="E1271" t="s">
        <v>158</v>
      </c>
      <c r="F1271" t="s">
        <v>36</v>
      </c>
      <c r="G1271" t="s">
        <v>43</v>
      </c>
      <c r="H1271" t="s">
        <v>81</v>
      </c>
      <c r="I1271" t="s">
        <v>42</v>
      </c>
      <c r="J1271" t="s">
        <v>159</v>
      </c>
      <c r="K1271" t="s">
        <v>42</v>
      </c>
      <c r="L1271" t="s">
        <v>147</v>
      </c>
      <c r="M1271" t="s">
        <v>48</v>
      </c>
      <c r="N1271" t="s">
        <v>96</v>
      </c>
      <c r="O1271" t="s">
        <v>43</v>
      </c>
      <c r="P1271" t="s">
        <v>144</v>
      </c>
      <c r="Q1271">
        <v>12</v>
      </c>
      <c r="R1271">
        <v>1</v>
      </c>
      <c r="S1271">
        <v>11</v>
      </c>
      <c r="T1271">
        <v>2</v>
      </c>
      <c r="U1271">
        <v>7</v>
      </c>
      <c r="V1271">
        <v>4</v>
      </c>
      <c r="W1271">
        <v>63</v>
      </c>
      <c r="X1271">
        <v>1334</v>
      </c>
      <c r="Y1271">
        <v>19760</v>
      </c>
      <c r="Z1271">
        <v>5209</v>
      </c>
      <c r="AA1271">
        <v>4</v>
      </c>
      <c r="AB1271" s="29">
        <v>44773</v>
      </c>
      <c r="AC1271" s="29">
        <v>33931</v>
      </c>
      <c r="AD1271" s="29">
        <v>41054</v>
      </c>
      <c r="AE1271" s="29"/>
      <c r="AF1271">
        <v>10</v>
      </c>
      <c r="AG1271" t="s">
        <v>149</v>
      </c>
      <c r="AI1271">
        <v>20</v>
      </c>
      <c r="AJ1271">
        <v>1</v>
      </c>
      <c r="AK1271" t="s">
        <v>154</v>
      </c>
      <c r="AL1271" t="s">
        <v>77</v>
      </c>
      <c r="AM1271">
        <f t="shared" si="95"/>
        <v>2</v>
      </c>
      <c r="AN1271">
        <f t="shared" si="96"/>
        <v>5</v>
      </c>
      <c r="AO1271" t="str">
        <f t="shared" si="97"/>
        <v/>
      </c>
      <c r="AP1271" t="str">
        <f t="shared" si="98"/>
        <v/>
      </c>
      <c r="AQ1271">
        <f t="shared" si="99"/>
        <v>2012</v>
      </c>
    </row>
    <row r="1272" spans="1:43" x14ac:dyDescent="0.35">
      <c r="A1272">
        <v>184</v>
      </c>
      <c r="B1272">
        <v>30</v>
      </c>
      <c r="C1272" t="s">
        <v>148</v>
      </c>
      <c r="D1272" t="s">
        <v>145</v>
      </c>
      <c r="E1272" t="s">
        <v>168</v>
      </c>
      <c r="F1272" t="s">
        <v>38</v>
      </c>
      <c r="G1272" t="s">
        <v>43</v>
      </c>
      <c r="H1272" t="s">
        <v>82</v>
      </c>
      <c r="I1272" t="s">
        <v>43</v>
      </c>
      <c r="J1272" t="s">
        <v>168</v>
      </c>
      <c r="K1272" t="s">
        <v>44</v>
      </c>
      <c r="L1272" t="s">
        <v>147</v>
      </c>
      <c r="M1272" t="s">
        <v>47</v>
      </c>
      <c r="N1272" t="s">
        <v>160</v>
      </c>
      <c r="P1272" t="s">
        <v>144</v>
      </c>
      <c r="Q1272">
        <v>19</v>
      </c>
      <c r="R1272">
        <v>0</v>
      </c>
      <c r="S1272">
        <v>12</v>
      </c>
      <c r="T1272">
        <v>4</v>
      </c>
      <c r="U1272">
        <v>7</v>
      </c>
      <c r="V1272">
        <v>9</v>
      </c>
      <c r="W1272">
        <v>48</v>
      </c>
      <c r="X1272">
        <v>1240</v>
      </c>
      <c r="Y1272">
        <v>13982</v>
      </c>
      <c r="Z1272">
        <v>6347</v>
      </c>
      <c r="AA1272">
        <v>2</v>
      </c>
      <c r="AB1272" s="29">
        <v>44773</v>
      </c>
      <c r="AC1272" s="29">
        <v>33939</v>
      </c>
      <c r="AD1272" s="29">
        <v>41056</v>
      </c>
      <c r="AE1272" s="29"/>
      <c r="AF1272">
        <v>10</v>
      </c>
      <c r="AG1272" t="s">
        <v>149</v>
      </c>
      <c r="AI1272">
        <v>20</v>
      </c>
      <c r="AJ1272">
        <v>1</v>
      </c>
      <c r="AK1272" t="s">
        <v>154</v>
      </c>
      <c r="AL1272" t="s">
        <v>77</v>
      </c>
      <c r="AM1272">
        <f t="shared" si="95"/>
        <v>2</v>
      </c>
      <c r="AN1272">
        <f t="shared" si="96"/>
        <v>5</v>
      </c>
      <c r="AO1272" t="str">
        <f t="shared" si="97"/>
        <v/>
      </c>
      <c r="AP1272" t="str">
        <f t="shared" si="98"/>
        <v/>
      </c>
      <c r="AQ1272">
        <f t="shared" si="99"/>
        <v>2012</v>
      </c>
    </row>
    <row r="1273" spans="1:43" x14ac:dyDescent="0.35">
      <c r="A1273">
        <v>1986</v>
      </c>
      <c r="B1273">
        <v>40</v>
      </c>
      <c r="C1273" t="s">
        <v>148</v>
      </c>
      <c r="D1273" t="s">
        <v>145</v>
      </c>
      <c r="E1273" t="s">
        <v>158</v>
      </c>
      <c r="F1273" t="s">
        <v>36</v>
      </c>
      <c r="G1273" t="s">
        <v>42</v>
      </c>
      <c r="H1273" t="s">
        <v>81</v>
      </c>
      <c r="I1273" t="s">
        <v>43</v>
      </c>
      <c r="J1273" t="s">
        <v>159</v>
      </c>
      <c r="K1273" t="s">
        <v>42</v>
      </c>
      <c r="L1273" t="s">
        <v>147</v>
      </c>
      <c r="M1273" t="s">
        <v>49</v>
      </c>
      <c r="N1273" t="s">
        <v>160</v>
      </c>
      <c r="O1273" t="s">
        <v>41</v>
      </c>
      <c r="P1273" t="s">
        <v>148</v>
      </c>
      <c r="Q1273">
        <v>14</v>
      </c>
      <c r="R1273">
        <v>3</v>
      </c>
      <c r="S1273">
        <v>15</v>
      </c>
      <c r="T1273">
        <v>5</v>
      </c>
      <c r="U1273">
        <v>10</v>
      </c>
      <c r="V1273">
        <v>2</v>
      </c>
      <c r="W1273">
        <v>92</v>
      </c>
      <c r="X1273">
        <v>444</v>
      </c>
      <c r="Y1273">
        <v>4258</v>
      </c>
      <c r="Z1273">
        <v>5677</v>
      </c>
      <c r="AA1273">
        <v>4</v>
      </c>
      <c r="AB1273" s="29">
        <v>44773</v>
      </c>
      <c r="AC1273" s="29">
        <v>30240</v>
      </c>
      <c r="AD1273" s="29">
        <v>41075</v>
      </c>
      <c r="AE1273" s="29"/>
      <c r="AF1273">
        <v>10</v>
      </c>
      <c r="AG1273" t="s">
        <v>153</v>
      </c>
      <c r="AI1273">
        <v>30</v>
      </c>
      <c r="AJ1273">
        <v>1</v>
      </c>
      <c r="AK1273" t="s">
        <v>154</v>
      </c>
      <c r="AL1273" t="s">
        <v>78</v>
      </c>
      <c r="AM1273">
        <f t="shared" si="95"/>
        <v>2</v>
      </c>
      <c r="AN1273">
        <f t="shared" si="96"/>
        <v>6</v>
      </c>
      <c r="AO1273" t="str">
        <f t="shared" si="97"/>
        <v/>
      </c>
      <c r="AP1273" t="str">
        <f t="shared" si="98"/>
        <v/>
      </c>
      <c r="AQ1273">
        <f t="shared" si="99"/>
        <v>2012</v>
      </c>
    </row>
    <row r="1274" spans="1:43" x14ac:dyDescent="0.35">
      <c r="A1274">
        <v>125</v>
      </c>
      <c r="B1274">
        <v>32</v>
      </c>
      <c r="C1274" t="s">
        <v>148</v>
      </c>
      <c r="D1274" t="s">
        <v>145</v>
      </c>
      <c r="E1274" t="s">
        <v>158</v>
      </c>
      <c r="F1274" t="s">
        <v>37</v>
      </c>
      <c r="G1274" t="s">
        <v>42</v>
      </c>
      <c r="H1274" t="s">
        <v>82</v>
      </c>
      <c r="I1274" t="s">
        <v>43</v>
      </c>
      <c r="J1274" t="s">
        <v>159</v>
      </c>
      <c r="K1274" t="s">
        <v>43</v>
      </c>
      <c r="L1274" t="s">
        <v>147</v>
      </c>
      <c r="M1274" t="s">
        <v>49</v>
      </c>
      <c r="N1274" t="s">
        <v>95</v>
      </c>
      <c r="P1274" t="s">
        <v>148</v>
      </c>
      <c r="Q1274">
        <v>16</v>
      </c>
      <c r="R1274">
        <v>1</v>
      </c>
      <c r="S1274">
        <v>12</v>
      </c>
      <c r="T1274">
        <v>5</v>
      </c>
      <c r="U1274">
        <v>7</v>
      </c>
      <c r="V1274">
        <v>6</v>
      </c>
      <c r="W1274">
        <v>87</v>
      </c>
      <c r="X1274">
        <v>1093</v>
      </c>
      <c r="Y1274">
        <v>24301</v>
      </c>
      <c r="Z1274">
        <v>5010</v>
      </c>
      <c r="AA1274">
        <v>0</v>
      </c>
      <c r="AB1274" s="29">
        <v>44773</v>
      </c>
      <c r="AC1274" s="29">
        <v>33445</v>
      </c>
      <c r="AD1274" s="29">
        <v>41092</v>
      </c>
      <c r="AE1274" s="29"/>
      <c r="AF1274">
        <v>10</v>
      </c>
      <c r="AG1274" t="s">
        <v>149</v>
      </c>
      <c r="AI1274">
        <v>22</v>
      </c>
      <c r="AJ1274">
        <v>1</v>
      </c>
      <c r="AK1274" t="s">
        <v>154</v>
      </c>
      <c r="AL1274" t="s">
        <v>77</v>
      </c>
      <c r="AM1274">
        <f t="shared" si="95"/>
        <v>3</v>
      </c>
      <c r="AN1274">
        <f t="shared" si="96"/>
        <v>7</v>
      </c>
      <c r="AO1274" t="str">
        <f t="shared" si="97"/>
        <v/>
      </c>
      <c r="AP1274" t="str">
        <f t="shared" si="98"/>
        <v/>
      </c>
      <c r="AQ1274">
        <f t="shared" si="99"/>
        <v>2012</v>
      </c>
    </row>
    <row r="1275" spans="1:43" x14ac:dyDescent="0.35">
      <c r="A1275">
        <v>1794</v>
      </c>
      <c r="B1275">
        <v>37</v>
      </c>
      <c r="C1275" t="s">
        <v>148</v>
      </c>
      <c r="D1275" t="s">
        <v>145</v>
      </c>
      <c r="E1275" t="s">
        <v>168</v>
      </c>
      <c r="F1275" t="s">
        <v>36</v>
      </c>
      <c r="G1275" t="s">
        <v>43</v>
      </c>
      <c r="H1275" t="s">
        <v>82</v>
      </c>
      <c r="I1275" t="s">
        <v>43</v>
      </c>
      <c r="J1275" t="s">
        <v>168</v>
      </c>
      <c r="K1275" t="s">
        <v>42</v>
      </c>
      <c r="L1275" t="s">
        <v>147</v>
      </c>
      <c r="M1275" t="s">
        <v>48</v>
      </c>
      <c r="N1275" t="s">
        <v>96</v>
      </c>
      <c r="P1275" t="s">
        <v>148</v>
      </c>
      <c r="Q1275">
        <v>13</v>
      </c>
      <c r="R1275">
        <v>2</v>
      </c>
      <c r="S1275">
        <v>19</v>
      </c>
      <c r="T1275">
        <v>4</v>
      </c>
      <c r="U1275">
        <v>7</v>
      </c>
      <c r="V1275">
        <v>8</v>
      </c>
      <c r="W1275">
        <v>89</v>
      </c>
      <c r="X1275">
        <v>1239</v>
      </c>
      <c r="Y1275">
        <v>12832</v>
      </c>
      <c r="Z1275">
        <v>4071</v>
      </c>
      <c r="AA1275">
        <v>4</v>
      </c>
      <c r="AB1275" s="29">
        <v>44773</v>
      </c>
      <c r="AC1275" s="29">
        <v>31264</v>
      </c>
      <c r="AD1275" s="29">
        <v>41146</v>
      </c>
      <c r="AE1275" s="29"/>
      <c r="AF1275">
        <v>10</v>
      </c>
      <c r="AG1275" t="s">
        <v>149</v>
      </c>
      <c r="AI1275">
        <v>27</v>
      </c>
      <c r="AJ1275">
        <v>1</v>
      </c>
      <c r="AK1275" t="s">
        <v>154</v>
      </c>
      <c r="AL1275" t="s">
        <v>77</v>
      </c>
      <c r="AM1275">
        <f t="shared" si="95"/>
        <v>3</v>
      </c>
      <c r="AN1275">
        <f t="shared" si="96"/>
        <v>8</v>
      </c>
      <c r="AO1275" t="str">
        <f t="shared" si="97"/>
        <v/>
      </c>
      <c r="AP1275" t="str">
        <f t="shared" si="98"/>
        <v/>
      </c>
      <c r="AQ1275">
        <f t="shared" si="99"/>
        <v>2012</v>
      </c>
    </row>
    <row r="1276" spans="1:43" x14ac:dyDescent="0.35">
      <c r="A1276">
        <v>228</v>
      </c>
      <c r="B1276">
        <v>30</v>
      </c>
      <c r="C1276" t="s">
        <v>148</v>
      </c>
      <c r="D1276" t="s">
        <v>145</v>
      </c>
      <c r="E1276" t="s">
        <v>158</v>
      </c>
      <c r="F1276" t="s">
        <v>38</v>
      </c>
      <c r="G1276" t="s">
        <v>42</v>
      </c>
      <c r="H1276" t="s">
        <v>81</v>
      </c>
      <c r="I1276" t="s">
        <v>43</v>
      </c>
      <c r="J1276" t="s">
        <v>159</v>
      </c>
      <c r="K1276" t="s">
        <v>44</v>
      </c>
      <c r="L1276" t="s">
        <v>147</v>
      </c>
      <c r="M1276" t="s">
        <v>49</v>
      </c>
      <c r="N1276" t="s">
        <v>160</v>
      </c>
      <c r="O1276" t="s">
        <v>41</v>
      </c>
      <c r="P1276" t="s">
        <v>148</v>
      </c>
      <c r="Q1276">
        <v>12</v>
      </c>
      <c r="R1276">
        <v>2</v>
      </c>
      <c r="S1276">
        <v>12</v>
      </c>
      <c r="T1276">
        <v>7</v>
      </c>
      <c r="U1276">
        <v>4</v>
      </c>
      <c r="V1276">
        <v>5</v>
      </c>
      <c r="W1276">
        <v>41</v>
      </c>
      <c r="X1276">
        <v>1339</v>
      </c>
      <c r="Y1276">
        <v>8053</v>
      </c>
      <c r="Z1276">
        <v>9419</v>
      </c>
      <c r="AA1276">
        <v>2</v>
      </c>
      <c r="AB1276" s="29">
        <v>44773</v>
      </c>
      <c r="AC1276" s="29">
        <v>33843</v>
      </c>
      <c r="AD1276" s="29">
        <v>41197</v>
      </c>
      <c r="AE1276" s="29"/>
      <c r="AF1276">
        <v>10</v>
      </c>
      <c r="AG1276" t="s">
        <v>149</v>
      </c>
      <c r="AI1276">
        <v>20</v>
      </c>
      <c r="AJ1276">
        <v>1</v>
      </c>
      <c r="AK1276" t="s">
        <v>154</v>
      </c>
      <c r="AL1276" t="s">
        <v>77</v>
      </c>
      <c r="AM1276">
        <f t="shared" si="95"/>
        <v>4</v>
      </c>
      <c r="AN1276">
        <f t="shared" si="96"/>
        <v>10</v>
      </c>
      <c r="AO1276" t="str">
        <f t="shared" si="97"/>
        <v/>
      </c>
      <c r="AP1276" t="str">
        <f t="shared" si="98"/>
        <v/>
      </c>
      <c r="AQ1276">
        <f t="shared" si="99"/>
        <v>2012</v>
      </c>
    </row>
    <row r="1277" spans="1:43" x14ac:dyDescent="0.35">
      <c r="A1277">
        <v>1356</v>
      </c>
      <c r="B1277">
        <v>34</v>
      </c>
      <c r="C1277" t="s">
        <v>148</v>
      </c>
      <c r="D1277" t="s">
        <v>145</v>
      </c>
      <c r="E1277" t="s">
        <v>158</v>
      </c>
      <c r="F1277" t="s">
        <v>36</v>
      </c>
      <c r="G1277" t="s">
        <v>43</v>
      </c>
      <c r="H1277" t="s">
        <v>81</v>
      </c>
      <c r="I1277" t="s">
        <v>43</v>
      </c>
      <c r="J1277" t="s">
        <v>159</v>
      </c>
      <c r="K1277" t="s">
        <v>41</v>
      </c>
      <c r="L1277" t="s">
        <v>147</v>
      </c>
      <c r="M1277" t="s">
        <v>50</v>
      </c>
      <c r="N1277" t="s">
        <v>95</v>
      </c>
      <c r="P1277" t="s">
        <v>148</v>
      </c>
      <c r="Q1277">
        <v>12</v>
      </c>
      <c r="R1277">
        <v>1</v>
      </c>
      <c r="S1277">
        <v>10</v>
      </c>
      <c r="T1277">
        <v>9</v>
      </c>
      <c r="U1277">
        <v>6</v>
      </c>
      <c r="V1277">
        <v>15</v>
      </c>
      <c r="W1277">
        <v>66</v>
      </c>
      <c r="X1277">
        <v>507</v>
      </c>
      <c r="Y1277">
        <v>23553</v>
      </c>
      <c r="Z1277">
        <v>6125</v>
      </c>
      <c r="AA1277">
        <v>6</v>
      </c>
      <c r="AB1277" s="29">
        <v>44773</v>
      </c>
      <c r="AC1277" s="29">
        <v>32454</v>
      </c>
      <c r="AD1277" s="29">
        <v>41208</v>
      </c>
      <c r="AE1277" s="29"/>
      <c r="AF1277">
        <v>10</v>
      </c>
      <c r="AG1277" t="s">
        <v>149</v>
      </c>
      <c r="AI1277">
        <v>24</v>
      </c>
      <c r="AJ1277">
        <v>1</v>
      </c>
      <c r="AK1277" t="s">
        <v>154</v>
      </c>
      <c r="AL1277" t="s">
        <v>77</v>
      </c>
      <c r="AM1277">
        <f t="shared" si="95"/>
        <v>4</v>
      </c>
      <c r="AN1277">
        <f t="shared" si="96"/>
        <v>10</v>
      </c>
      <c r="AO1277" t="str">
        <f t="shared" si="97"/>
        <v/>
      </c>
      <c r="AP1277" t="str">
        <f t="shared" si="98"/>
        <v/>
      </c>
      <c r="AQ1277">
        <f t="shared" si="99"/>
        <v>2012</v>
      </c>
    </row>
    <row r="1278" spans="1:43" x14ac:dyDescent="0.35">
      <c r="A1278">
        <v>621</v>
      </c>
      <c r="B1278">
        <v>34</v>
      </c>
      <c r="C1278" t="s">
        <v>148</v>
      </c>
      <c r="D1278" t="s">
        <v>145</v>
      </c>
      <c r="E1278" t="s">
        <v>158</v>
      </c>
      <c r="F1278" t="s">
        <v>37</v>
      </c>
      <c r="G1278" t="s">
        <v>44</v>
      </c>
      <c r="H1278" t="s">
        <v>82</v>
      </c>
      <c r="I1278" t="s">
        <v>44</v>
      </c>
      <c r="J1278" t="s">
        <v>159</v>
      </c>
      <c r="K1278" t="s">
        <v>44</v>
      </c>
      <c r="L1278" t="s">
        <v>147</v>
      </c>
      <c r="M1278" t="s">
        <v>49</v>
      </c>
      <c r="N1278" t="s">
        <v>95</v>
      </c>
      <c r="P1278" t="s">
        <v>148</v>
      </c>
      <c r="Q1278">
        <v>12</v>
      </c>
      <c r="R1278">
        <v>1</v>
      </c>
      <c r="S1278">
        <v>10</v>
      </c>
      <c r="T1278">
        <v>5</v>
      </c>
      <c r="U1278">
        <v>7</v>
      </c>
      <c r="V1278">
        <v>21</v>
      </c>
      <c r="W1278">
        <v>74</v>
      </c>
      <c r="X1278">
        <v>258</v>
      </c>
      <c r="Y1278">
        <v>19921</v>
      </c>
      <c r="Z1278">
        <v>5337</v>
      </c>
      <c r="AA1278">
        <v>3</v>
      </c>
      <c r="AB1278" s="29">
        <v>44773</v>
      </c>
      <c r="AC1278" s="29">
        <v>32653</v>
      </c>
      <c r="AD1278" s="29">
        <v>41213</v>
      </c>
      <c r="AE1278" s="29"/>
      <c r="AF1278">
        <v>10</v>
      </c>
      <c r="AG1278" t="s">
        <v>149</v>
      </c>
      <c r="AI1278">
        <v>24</v>
      </c>
      <c r="AJ1278">
        <v>1</v>
      </c>
      <c r="AK1278" t="s">
        <v>154</v>
      </c>
      <c r="AL1278" t="s">
        <v>77</v>
      </c>
      <c r="AM1278">
        <f t="shared" si="95"/>
        <v>4</v>
      </c>
      <c r="AN1278">
        <f t="shared" si="96"/>
        <v>10</v>
      </c>
      <c r="AO1278" t="str">
        <f t="shared" si="97"/>
        <v/>
      </c>
      <c r="AP1278" t="str">
        <f t="shared" si="98"/>
        <v/>
      </c>
      <c r="AQ1278">
        <f t="shared" si="99"/>
        <v>2012</v>
      </c>
    </row>
    <row r="1279" spans="1:43" x14ac:dyDescent="0.35">
      <c r="A1279">
        <v>1708</v>
      </c>
      <c r="B1279">
        <v>41</v>
      </c>
      <c r="C1279" t="s">
        <v>148</v>
      </c>
      <c r="D1279" t="s">
        <v>145</v>
      </c>
      <c r="E1279" t="s">
        <v>158</v>
      </c>
      <c r="F1279" t="s">
        <v>38</v>
      </c>
      <c r="G1279" t="s">
        <v>44</v>
      </c>
      <c r="H1279" t="s">
        <v>82</v>
      </c>
      <c r="I1279" t="s">
        <v>43</v>
      </c>
      <c r="J1279" t="s">
        <v>159</v>
      </c>
      <c r="K1279" t="s">
        <v>43</v>
      </c>
      <c r="L1279" t="s">
        <v>147</v>
      </c>
      <c r="M1279" t="s">
        <v>49</v>
      </c>
      <c r="N1279" t="s">
        <v>95</v>
      </c>
      <c r="P1279" t="s">
        <v>148</v>
      </c>
      <c r="Q1279">
        <v>12</v>
      </c>
      <c r="R1279">
        <v>1</v>
      </c>
      <c r="S1279">
        <v>10</v>
      </c>
      <c r="T1279">
        <v>8</v>
      </c>
      <c r="U1279">
        <v>7</v>
      </c>
      <c r="V1279">
        <v>6</v>
      </c>
      <c r="W1279">
        <v>35</v>
      </c>
      <c r="X1279">
        <v>918</v>
      </c>
      <c r="Y1279">
        <v>15869</v>
      </c>
      <c r="Z1279">
        <v>9241</v>
      </c>
      <c r="AA1279">
        <v>3</v>
      </c>
      <c r="AB1279" s="29">
        <v>44773</v>
      </c>
      <c r="AC1279" s="29">
        <v>30100</v>
      </c>
      <c r="AD1279" s="29">
        <v>41221</v>
      </c>
      <c r="AE1279" s="29"/>
      <c r="AF1279">
        <v>10</v>
      </c>
      <c r="AG1279" t="s">
        <v>153</v>
      </c>
      <c r="AI1279">
        <v>31</v>
      </c>
      <c r="AJ1279">
        <v>1</v>
      </c>
      <c r="AK1279" t="s">
        <v>154</v>
      </c>
      <c r="AL1279" t="s">
        <v>77</v>
      </c>
      <c r="AM1279">
        <f t="shared" si="95"/>
        <v>4</v>
      </c>
      <c r="AN1279">
        <f t="shared" si="96"/>
        <v>11</v>
      </c>
      <c r="AO1279" t="str">
        <f t="shared" si="97"/>
        <v/>
      </c>
      <c r="AP1279" t="str">
        <f t="shared" si="98"/>
        <v/>
      </c>
      <c r="AQ1279">
        <f t="shared" si="99"/>
        <v>2012</v>
      </c>
    </row>
    <row r="1280" spans="1:43" x14ac:dyDescent="0.35">
      <c r="A1280">
        <v>1706</v>
      </c>
      <c r="B1280">
        <v>43</v>
      </c>
      <c r="C1280" t="s">
        <v>148</v>
      </c>
      <c r="D1280" t="s">
        <v>145</v>
      </c>
      <c r="E1280" t="s">
        <v>158</v>
      </c>
      <c r="F1280" t="s">
        <v>38</v>
      </c>
      <c r="G1280" t="s">
        <v>44</v>
      </c>
      <c r="H1280" t="s">
        <v>82</v>
      </c>
      <c r="I1280" t="s">
        <v>43</v>
      </c>
      <c r="J1280" t="s">
        <v>159</v>
      </c>
      <c r="K1280" t="s">
        <v>44</v>
      </c>
      <c r="L1280" t="s">
        <v>147</v>
      </c>
      <c r="M1280" t="s">
        <v>49</v>
      </c>
      <c r="N1280" t="s">
        <v>160</v>
      </c>
      <c r="O1280" t="s">
        <v>41</v>
      </c>
      <c r="P1280" t="s">
        <v>144</v>
      </c>
      <c r="Q1280">
        <v>17</v>
      </c>
      <c r="R1280">
        <v>1</v>
      </c>
      <c r="S1280">
        <v>10</v>
      </c>
      <c r="T1280">
        <v>8</v>
      </c>
      <c r="U1280">
        <v>8</v>
      </c>
      <c r="V1280">
        <v>2</v>
      </c>
      <c r="W1280">
        <v>73</v>
      </c>
      <c r="X1280">
        <v>1179</v>
      </c>
      <c r="Y1280">
        <v>6069</v>
      </c>
      <c r="Z1280">
        <v>7847</v>
      </c>
      <c r="AA1280">
        <v>3</v>
      </c>
      <c r="AB1280" s="29">
        <v>44773</v>
      </c>
      <c r="AC1280" s="29">
        <v>29256</v>
      </c>
      <c r="AD1280" s="29">
        <v>41223</v>
      </c>
      <c r="AE1280" s="29"/>
      <c r="AF1280">
        <v>10</v>
      </c>
      <c r="AG1280" t="s">
        <v>153</v>
      </c>
      <c r="AI1280">
        <v>33</v>
      </c>
      <c r="AJ1280">
        <v>1</v>
      </c>
      <c r="AK1280" t="s">
        <v>154</v>
      </c>
      <c r="AL1280" t="s">
        <v>77</v>
      </c>
      <c r="AM1280">
        <f t="shared" si="95"/>
        <v>4</v>
      </c>
      <c r="AN1280">
        <f t="shared" si="96"/>
        <v>11</v>
      </c>
      <c r="AO1280" t="str">
        <f t="shared" si="97"/>
        <v/>
      </c>
      <c r="AP1280" t="str">
        <f t="shared" si="98"/>
        <v/>
      </c>
      <c r="AQ1280">
        <f t="shared" si="99"/>
        <v>2012</v>
      </c>
    </row>
    <row r="1281" spans="1:43" x14ac:dyDescent="0.35">
      <c r="A1281">
        <v>513</v>
      </c>
      <c r="B1281">
        <v>36</v>
      </c>
      <c r="C1281" t="s">
        <v>148</v>
      </c>
      <c r="D1281" t="s">
        <v>145</v>
      </c>
      <c r="E1281" t="s">
        <v>158</v>
      </c>
      <c r="F1281" t="s">
        <v>36</v>
      </c>
      <c r="G1281" t="s">
        <v>42</v>
      </c>
      <c r="H1281" t="s">
        <v>82</v>
      </c>
      <c r="I1281" t="s">
        <v>42</v>
      </c>
      <c r="J1281" t="s">
        <v>159</v>
      </c>
      <c r="K1281" t="s">
        <v>43</v>
      </c>
      <c r="L1281" t="s">
        <v>147</v>
      </c>
      <c r="M1281" t="s">
        <v>49</v>
      </c>
      <c r="N1281" t="s">
        <v>160</v>
      </c>
      <c r="O1281" t="s">
        <v>156</v>
      </c>
      <c r="P1281" t="s">
        <v>148</v>
      </c>
      <c r="Q1281">
        <v>13</v>
      </c>
      <c r="R1281">
        <v>1</v>
      </c>
      <c r="S1281">
        <v>10</v>
      </c>
      <c r="T1281">
        <v>9</v>
      </c>
      <c r="U1281">
        <v>0</v>
      </c>
      <c r="V1281">
        <v>2</v>
      </c>
      <c r="W1281">
        <v>61</v>
      </c>
      <c r="X1281">
        <v>164</v>
      </c>
      <c r="Y1281">
        <v>3809</v>
      </c>
      <c r="Z1281">
        <v>7596</v>
      </c>
      <c r="AA1281">
        <v>2</v>
      </c>
      <c r="AB1281" s="29">
        <v>44773</v>
      </c>
      <c r="AC1281" s="29">
        <v>31936</v>
      </c>
      <c r="AD1281" s="29">
        <v>41453</v>
      </c>
      <c r="AE1281" s="29"/>
      <c r="AF1281">
        <v>9</v>
      </c>
      <c r="AG1281" t="s">
        <v>149</v>
      </c>
      <c r="AI1281">
        <v>27</v>
      </c>
      <c r="AJ1281">
        <v>1</v>
      </c>
      <c r="AK1281" t="s">
        <v>150</v>
      </c>
      <c r="AL1281" t="s">
        <v>77</v>
      </c>
      <c r="AM1281">
        <f t="shared" si="95"/>
        <v>2</v>
      </c>
      <c r="AN1281">
        <f t="shared" si="96"/>
        <v>6</v>
      </c>
      <c r="AO1281" t="str">
        <f t="shared" si="97"/>
        <v/>
      </c>
      <c r="AP1281" t="str">
        <f t="shared" si="98"/>
        <v/>
      </c>
      <c r="AQ1281">
        <f t="shared" si="99"/>
        <v>2013</v>
      </c>
    </row>
    <row r="1282" spans="1:43" x14ac:dyDescent="0.35">
      <c r="A1282">
        <v>1535</v>
      </c>
      <c r="B1282">
        <v>34</v>
      </c>
      <c r="C1282" t="s">
        <v>148</v>
      </c>
      <c r="D1282" t="s">
        <v>145</v>
      </c>
      <c r="E1282" t="s">
        <v>158</v>
      </c>
      <c r="F1282" t="s">
        <v>38</v>
      </c>
      <c r="G1282" t="s">
        <v>44</v>
      </c>
      <c r="H1282" t="s">
        <v>82</v>
      </c>
      <c r="I1282" t="s">
        <v>42</v>
      </c>
      <c r="J1282" t="s">
        <v>159</v>
      </c>
      <c r="K1282" t="s">
        <v>43</v>
      </c>
      <c r="L1282" t="s">
        <v>147</v>
      </c>
      <c r="M1282" t="s">
        <v>49</v>
      </c>
      <c r="N1282" t="s">
        <v>160</v>
      </c>
      <c r="P1282" t="s">
        <v>144</v>
      </c>
      <c r="Q1282">
        <v>14</v>
      </c>
      <c r="R1282">
        <v>1</v>
      </c>
      <c r="S1282">
        <v>10</v>
      </c>
      <c r="T1282">
        <v>8</v>
      </c>
      <c r="U1282">
        <v>6</v>
      </c>
      <c r="V1282">
        <v>1</v>
      </c>
      <c r="W1282">
        <v>64</v>
      </c>
      <c r="X1282">
        <v>971</v>
      </c>
      <c r="Y1282">
        <v>12288</v>
      </c>
      <c r="Z1282">
        <v>7083</v>
      </c>
      <c r="AA1282">
        <v>3</v>
      </c>
      <c r="AB1282" s="29">
        <v>44773</v>
      </c>
      <c r="AC1282" s="29">
        <v>32638</v>
      </c>
      <c r="AD1282" s="29">
        <v>41462</v>
      </c>
      <c r="AE1282" s="29"/>
      <c r="AF1282">
        <v>9</v>
      </c>
      <c r="AG1282" t="s">
        <v>149</v>
      </c>
      <c r="AI1282">
        <v>25</v>
      </c>
      <c r="AJ1282">
        <v>1</v>
      </c>
      <c r="AK1282" t="s">
        <v>150</v>
      </c>
      <c r="AL1282" t="s">
        <v>77</v>
      </c>
      <c r="AM1282">
        <f t="shared" ref="AM1282:AM1345" si="100">ROUNDUP(MONTH(AD1282)/3,0)</f>
        <v>3</v>
      </c>
      <c r="AN1282">
        <f t="shared" ref="AN1282:AN1345" si="101">MONTH(AD1282)</f>
        <v>7</v>
      </c>
      <c r="AO1282" t="str">
        <f t="shared" ref="AO1282:AO1345" si="102">IF(C1282="Yes",ROUNDUP(MONTH(AE1282)/3,0),"")</f>
        <v/>
      </c>
      <c r="AP1282" t="str">
        <f t="shared" ref="AP1282:AP1345" si="103">IF(C1282="Yes",MONTH(AE1282),"")</f>
        <v/>
      </c>
      <c r="AQ1282">
        <f t="shared" ref="AQ1282:AQ1345" si="104">YEAR(AD1282)</f>
        <v>2013</v>
      </c>
    </row>
    <row r="1283" spans="1:43" x14ac:dyDescent="0.35">
      <c r="A1283">
        <v>1138</v>
      </c>
      <c r="B1283">
        <v>49</v>
      </c>
      <c r="C1283" t="s">
        <v>148</v>
      </c>
      <c r="D1283" t="s">
        <v>145</v>
      </c>
      <c r="E1283" t="s">
        <v>158</v>
      </c>
      <c r="F1283" t="s">
        <v>37</v>
      </c>
      <c r="G1283" t="s">
        <v>44</v>
      </c>
      <c r="H1283" t="s">
        <v>82</v>
      </c>
      <c r="I1283" t="s">
        <v>42</v>
      </c>
      <c r="J1283" t="s">
        <v>159</v>
      </c>
      <c r="K1283" t="s">
        <v>42</v>
      </c>
      <c r="L1283" t="s">
        <v>147</v>
      </c>
      <c r="M1283" t="s">
        <v>49</v>
      </c>
      <c r="N1283" t="s">
        <v>160</v>
      </c>
      <c r="O1283" t="s">
        <v>41</v>
      </c>
      <c r="P1283" t="s">
        <v>148</v>
      </c>
      <c r="Q1283">
        <v>17</v>
      </c>
      <c r="R1283">
        <v>6</v>
      </c>
      <c r="S1283">
        <v>22</v>
      </c>
      <c r="T1283">
        <v>2</v>
      </c>
      <c r="U1283">
        <v>3</v>
      </c>
      <c r="V1283">
        <v>8</v>
      </c>
      <c r="W1283">
        <v>56</v>
      </c>
      <c r="X1283">
        <v>174</v>
      </c>
      <c r="Y1283">
        <v>11879</v>
      </c>
      <c r="Z1283">
        <v>13120</v>
      </c>
      <c r="AA1283">
        <v>3</v>
      </c>
      <c r="AB1283" s="29">
        <v>44773</v>
      </c>
      <c r="AC1283" s="29">
        <v>27001</v>
      </c>
      <c r="AD1283" s="29">
        <v>41592</v>
      </c>
      <c r="AE1283" s="29"/>
      <c r="AF1283">
        <v>9</v>
      </c>
      <c r="AG1283" t="s">
        <v>153</v>
      </c>
      <c r="AI1283">
        <v>40</v>
      </c>
      <c r="AJ1283">
        <v>1</v>
      </c>
      <c r="AK1283" t="s">
        <v>150</v>
      </c>
      <c r="AL1283" t="s">
        <v>77</v>
      </c>
      <c r="AM1283">
        <f t="shared" si="100"/>
        <v>4</v>
      </c>
      <c r="AN1283">
        <f t="shared" si="101"/>
        <v>11</v>
      </c>
      <c r="AO1283" t="str">
        <f t="shared" si="102"/>
        <v/>
      </c>
      <c r="AP1283" t="str">
        <f t="shared" si="103"/>
        <v/>
      </c>
      <c r="AQ1283">
        <f t="shared" si="104"/>
        <v>2013</v>
      </c>
    </row>
    <row r="1284" spans="1:43" x14ac:dyDescent="0.35">
      <c r="A1284">
        <v>1070</v>
      </c>
      <c r="B1284">
        <v>54</v>
      </c>
      <c r="C1284" t="s">
        <v>148</v>
      </c>
      <c r="D1284" t="s">
        <v>145</v>
      </c>
      <c r="E1284" t="s">
        <v>158</v>
      </c>
      <c r="F1284" t="s">
        <v>37</v>
      </c>
      <c r="G1284" t="s">
        <v>43</v>
      </c>
      <c r="H1284" t="s">
        <v>81</v>
      </c>
      <c r="I1284" t="s">
        <v>42</v>
      </c>
      <c r="J1284" t="s">
        <v>159</v>
      </c>
      <c r="K1284" t="s">
        <v>43</v>
      </c>
      <c r="L1284" t="s">
        <v>147</v>
      </c>
      <c r="M1284" t="s">
        <v>49</v>
      </c>
      <c r="N1284" t="s">
        <v>160</v>
      </c>
      <c r="O1284" t="s">
        <v>41</v>
      </c>
      <c r="P1284" t="s">
        <v>148</v>
      </c>
      <c r="Q1284">
        <v>11</v>
      </c>
      <c r="R1284">
        <v>6</v>
      </c>
      <c r="S1284">
        <v>13</v>
      </c>
      <c r="T1284">
        <v>7</v>
      </c>
      <c r="U1284">
        <v>0</v>
      </c>
      <c r="V1284">
        <v>2</v>
      </c>
      <c r="W1284">
        <v>41</v>
      </c>
      <c r="X1284">
        <v>1082</v>
      </c>
      <c r="Y1284">
        <v>8392</v>
      </c>
      <c r="Z1284">
        <v>10686</v>
      </c>
      <c r="AA1284">
        <v>4</v>
      </c>
      <c r="AB1284" s="29">
        <v>44773</v>
      </c>
      <c r="AC1284" s="29">
        <v>25265</v>
      </c>
      <c r="AD1284" s="29">
        <v>41641</v>
      </c>
      <c r="AE1284" s="29"/>
      <c r="AF1284">
        <v>9</v>
      </c>
      <c r="AG1284" t="s">
        <v>167</v>
      </c>
      <c r="AI1284">
        <v>45</v>
      </c>
      <c r="AJ1284">
        <v>1</v>
      </c>
      <c r="AK1284" t="s">
        <v>150</v>
      </c>
      <c r="AL1284" t="s">
        <v>77</v>
      </c>
      <c r="AM1284">
        <f t="shared" si="100"/>
        <v>1</v>
      </c>
      <c r="AN1284">
        <f t="shared" si="101"/>
        <v>1</v>
      </c>
      <c r="AO1284" t="str">
        <f t="shared" si="102"/>
        <v/>
      </c>
      <c r="AP1284" t="str">
        <f t="shared" si="103"/>
        <v/>
      </c>
      <c r="AQ1284">
        <f t="shared" si="104"/>
        <v>2014</v>
      </c>
    </row>
    <row r="1285" spans="1:43" x14ac:dyDescent="0.35">
      <c r="A1285">
        <v>698</v>
      </c>
      <c r="B1285">
        <v>54</v>
      </c>
      <c r="C1285" t="s">
        <v>148</v>
      </c>
      <c r="D1285" t="s">
        <v>145</v>
      </c>
      <c r="E1285" t="s">
        <v>168</v>
      </c>
      <c r="F1285" t="s">
        <v>37</v>
      </c>
      <c r="G1285" t="s">
        <v>43</v>
      </c>
      <c r="H1285" t="s">
        <v>82</v>
      </c>
      <c r="I1285" t="s">
        <v>43</v>
      </c>
      <c r="J1285" t="s">
        <v>168</v>
      </c>
      <c r="K1285" t="s">
        <v>42</v>
      </c>
      <c r="L1285" t="s">
        <v>147</v>
      </c>
      <c r="M1285" t="s">
        <v>50</v>
      </c>
      <c r="N1285" t="s">
        <v>160</v>
      </c>
      <c r="O1285" t="s">
        <v>41</v>
      </c>
      <c r="P1285" t="s">
        <v>148</v>
      </c>
      <c r="Q1285">
        <v>15</v>
      </c>
      <c r="R1285">
        <v>2</v>
      </c>
      <c r="S1285">
        <v>16</v>
      </c>
      <c r="T1285">
        <v>7</v>
      </c>
      <c r="U1285">
        <v>1</v>
      </c>
      <c r="V1285">
        <v>19</v>
      </c>
      <c r="W1285">
        <v>88</v>
      </c>
      <c r="X1285">
        <v>397</v>
      </c>
      <c r="Y1285">
        <v>6729</v>
      </c>
      <c r="Z1285">
        <v>10725</v>
      </c>
      <c r="AA1285">
        <v>1</v>
      </c>
      <c r="AB1285" s="29">
        <v>44773</v>
      </c>
      <c r="AC1285" s="29">
        <v>25311</v>
      </c>
      <c r="AD1285" s="29">
        <v>41719</v>
      </c>
      <c r="AE1285" s="29"/>
      <c r="AF1285">
        <v>8</v>
      </c>
      <c r="AG1285" t="s">
        <v>167</v>
      </c>
      <c r="AI1285">
        <v>46</v>
      </c>
      <c r="AJ1285">
        <v>1</v>
      </c>
      <c r="AK1285" t="s">
        <v>150</v>
      </c>
      <c r="AL1285" t="s">
        <v>77</v>
      </c>
      <c r="AM1285">
        <f t="shared" si="100"/>
        <v>1</v>
      </c>
      <c r="AN1285">
        <f t="shared" si="101"/>
        <v>3</v>
      </c>
      <c r="AO1285" t="str">
        <f t="shared" si="102"/>
        <v/>
      </c>
      <c r="AP1285" t="str">
        <f t="shared" si="103"/>
        <v/>
      </c>
      <c r="AQ1285">
        <f t="shared" si="104"/>
        <v>2014</v>
      </c>
    </row>
    <row r="1286" spans="1:43" x14ac:dyDescent="0.35">
      <c r="A1286">
        <v>2024</v>
      </c>
      <c r="B1286">
        <v>36</v>
      </c>
      <c r="C1286" t="s">
        <v>148</v>
      </c>
      <c r="D1286" t="s">
        <v>145</v>
      </c>
      <c r="E1286" t="s">
        <v>158</v>
      </c>
      <c r="F1286" t="s">
        <v>38</v>
      </c>
      <c r="G1286" t="s">
        <v>41</v>
      </c>
      <c r="H1286" t="s">
        <v>81</v>
      </c>
      <c r="I1286" t="s">
        <v>42</v>
      </c>
      <c r="J1286" t="s">
        <v>159</v>
      </c>
      <c r="K1286" t="s">
        <v>44</v>
      </c>
      <c r="L1286" t="s">
        <v>147</v>
      </c>
      <c r="M1286" t="s">
        <v>49</v>
      </c>
      <c r="N1286" t="s">
        <v>160</v>
      </c>
      <c r="O1286" t="s">
        <v>156</v>
      </c>
      <c r="P1286" t="s">
        <v>148</v>
      </c>
      <c r="Q1286">
        <v>19</v>
      </c>
      <c r="R1286">
        <v>0</v>
      </c>
      <c r="S1286">
        <v>10</v>
      </c>
      <c r="T1286">
        <v>3</v>
      </c>
      <c r="U1286">
        <v>4</v>
      </c>
      <c r="V1286">
        <v>3</v>
      </c>
      <c r="W1286">
        <v>94</v>
      </c>
      <c r="X1286">
        <v>557</v>
      </c>
      <c r="Y1286">
        <v>12695</v>
      </c>
      <c r="Z1286">
        <v>7644</v>
      </c>
      <c r="AA1286">
        <v>2</v>
      </c>
      <c r="AB1286" s="29">
        <v>44773</v>
      </c>
      <c r="AC1286" s="29">
        <v>31960</v>
      </c>
      <c r="AD1286" s="29">
        <v>41807</v>
      </c>
      <c r="AE1286" s="29"/>
      <c r="AF1286">
        <v>8</v>
      </c>
      <c r="AG1286" t="s">
        <v>149</v>
      </c>
      <c r="AI1286">
        <v>28</v>
      </c>
      <c r="AJ1286">
        <v>1</v>
      </c>
      <c r="AK1286" t="s">
        <v>150</v>
      </c>
      <c r="AL1286" t="s">
        <v>77</v>
      </c>
      <c r="AM1286">
        <f t="shared" si="100"/>
        <v>2</v>
      </c>
      <c r="AN1286">
        <f t="shared" si="101"/>
        <v>6</v>
      </c>
      <c r="AO1286" t="str">
        <f t="shared" si="102"/>
        <v/>
      </c>
      <c r="AP1286" t="str">
        <f t="shared" si="103"/>
        <v/>
      </c>
      <c r="AQ1286">
        <f t="shared" si="104"/>
        <v>2014</v>
      </c>
    </row>
    <row r="1287" spans="1:43" x14ac:dyDescent="0.35">
      <c r="A1287">
        <v>595</v>
      </c>
      <c r="B1287">
        <v>48</v>
      </c>
      <c r="C1287" t="s">
        <v>148</v>
      </c>
      <c r="D1287" t="s">
        <v>145</v>
      </c>
      <c r="E1287" t="s">
        <v>158</v>
      </c>
      <c r="F1287" t="s">
        <v>34</v>
      </c>
      <c r="G1287" t="s">
        <v>42</v>
      </c>
      <c r="H1287" t="s">
        <v>81</v>
      </c>
      <c r="I1287" t="s">
        <v>43</v>
      </c>
      <c r="J1287" t="s">
        <v>159</v>
      </c>
      <c r="K1287" t="s">
        <v>44</v>
      </c>
      <c r="L1287" t="s">
        <v>147</v>
      </c>
      <c r="M1287" t="s">
        <v>49</v>
      </c>
      <c r="N1287" t="s">
        <v>160</v>
      </c>
      <c r="O1287" t="s">
        <v>41</v>
      </c>
      <c r="P1287" t="s">
        <v>148</v>
      </c>
      <c r="Q1287">
        <v>14</v>
      </c>
      <c r="R1287">
        <v>2</v>
      </c>
      <c r="S1287">
        <v>14</v>
      </c>
      <c r="T1287">
        <v>6</v>
      </c>
      <c r="U1287">
        <v>7</v>
      </c>
      <c r="V1287">
        <v>2</v>
      </c>
      <c r="W1287">
        <v>37</v>
      </c>
      <c r="X1287">
        <v>163</v>
      </c>
      <c r="Y1287">
        <v>19658</v>
      </c>
      <c r="Z1287">
        <v>4051</v>
      </c>
      <c r="AA1287">
        <v>2</v>
      </c>
      <c r="AB1287" s="29">
        <v>44773</v>
      </c>
      <c r="AC1287" s="29">
        <v>27447</v>
      </c>
      <c r="AD1287" s="29">
        <v>41808</v>
      </c>
      <c r="AE1287" s="29"/>
      <c r="AF1287">
        <v>8</v>
      </c>
      <c r="AG1287" t="s">
        <v>153</v>
      </c>
      <c r="AI1287">
        <v>40</v>
      </c>
      <c r="AJ1287">
        <v>2</v>
      </c>
      <c r="AK1287" t="s">
        <v>150</v>
      </c>
      <c r="AL1287" t="s">
        <v>78</v>
      </c>
      <c r="AM1287">
        <f t="shared" si="100"/>
        <v>2</v>
      </c>
      <c r="AN1287">
        <f t="shared" si="101"/>
        <v>6</v>
      </c>
      <c r="AO1287" t="str">
        <f t="shared" si="102"/>
        <v/>
      </c>
      <c r="AP1287" t="str">
        <f t="shared" si="103"/>
        <v/>
      </c>
      <c r="AQ1287">
        <f t="shared" si="104"/>
        <v>2014</v>
      </c>
    </row>
    <row r="1288" spans="1:43" x14ac:dyDescent="0.35">
      <c r="A1288">
        <v>1582</v>
      </c>
      <c r="B1288">
        <v>38</v>
      </c>
      <c r="C1288" t="s">
        <v>148</v>
      </c>
      <c r="D1288" t="s">
        <v>145</v>
      </c>
      <c r="E1288" t="s">
        <v>158</v>
      </c>
      <c r="F1288" t="s">
        <v>38</v>
      </c>
      <c r="G1288" t="s">
        <v>43</v>
      </c>
      <c r="H1288" t="s">
        <v>82</v>
      </c>
      <c r="I1288" t="s">
        <v>43</v>
      </c>
      <c r="J1288" t="s">
        <v>159</v>
      </c>
      <c r="K1288" t="s">
        <v>42</v>
      </c>
      <c r="L1288" t="s">
        <v>147</v>
      </c>
      <c r="M1288" t="s">
        <v>49</v>
      </c>
      <c r="N1288" t="s">
        <v>160</v>
      </c>
      <c r="O1288" t="s">
        <v>41</v>
      </c>
      <c r="P1288" t="s">
        <v>148</v>
      </c>
      <c r="Q1288">
        <v>11</v>
      </c>
      <c r="R1288">
        <v>0</v>
      </c>
      <c r="S1288">
        <v>10</v>
      </c>
      <c r="T1288">
        <v>7</v>
      </c>
      <c r="U1288">
        <v>7</v>
      </c>
      <c r="V1288">
        <v>14</v>
      </c>
      <c r="W1288">
        <v>80</v>
      </c>
      <c r="X1288">
        <v>1245</v>
      </c>
      <c r="Y1288">
        <v>12355</v>
      </c>
      <c r="Z1288">
        <v>9924</v>
      </c>
      <c r="AA1288">
        <v>3</v>
      </c>
      <c r="AB1288" s="29">
        <v>44773</v>
      </c>
      <c r="AC1288" s="29">
        <v>31129</v>
      </c>
      <c r="AD1288" s="29">
        <v>41827</v>
      </c>
      <c r="AE1288" s="29"/>
      <c r="AF1288">
        <v>8</v>
      </c>
      <c r="AG1288" t="s">
        <v>149</v>
      </c>
      <c r="AI1288">
        <v>30</v>
      </c>
      <c r="AJ1288">
        <v>1</v>
      </c>
      <c r="AK1288" t="s">
        <v>150</v>
      </c>
      <c r="AL1288" t="s">
        <v>77</v>
      </c>
      <c r="AM1288">
        <f t="shared" si="100"/>
        <v>3</v>
      </c>
      <c r="AN1288">
        <f t="shared" si="101"/>
        <v>7</v>
      </c>
      <c r="AO1288" t="str">
        <f t="shared" si="102"/>
        <v/>
      </c>
      <c r="AP1288" t="str">
        <f t="shared" si="103"/>
        <v/>
      </c>
      <c r="AQ1288">
        <f t="shared" si="104"/>
        <v>2014</v>
      </c>
    </row>
    <row r="1289" spans="1:43" x14ac:dyDescent="0.35">
      <c r="A1289">
        <v>35</v>
      </c>
      <c r="B1289">
        <v>42</v>
      </c>
      <c r="C1289" t="s">
        <v>148</v>
      </c>
      <c r="D1289" t="s">
        <v>145</v>
      </c>
      <c r="E1289" t="s">
        <v>158</v>
      </c>
      <c r="F1289" t="s">
        <v>37</v>
      </c>
      <c r="G1289" t="s">
        <v>43</v>
      </c>
      <c r="H1289" t="s">
        <v>82</v>
      </c>
      <c r="I1289" t="s">
        <v>43</v>
      </c>
      <c r="J1289" t="s">
        <v>159</v>
      </c>
      <c r="K1289" t="s">
        <v>42</v>
      </c>
      <c r="L1289" t="s">
        <v>147</v>
      </c>
      <c r="M1289" t="s">
        <v>49</v>
      </c>
      <c r="N1289" t="s">
        <v>160</v>
      </c>
      <c r="O1289" t="s">
        <v>41</v>
      </c>
      <c r="P1289" t="s">
        <v>148</v>
      </c>
      <c r="Q1289">
        <v>11</v>
      </c>
      <c r="R1289">
        <v>0</v>
      </c>
      <c r="S1289">
        <v>10</v>
      </c>
      <c r="T1289">
        <v>4</v>
      </c>
      <c r="U1289">
        <v>2</v>
      </c>
      <c r="V1289">
        <v>8</v>
      </c>
      <c r="W1289">
        <v>48</v>
      </c>
      <c r="X1289">
        <v>691</v>
      </c>
      <c r="Y1289">
        <v>21173</v>
      </c>
      <c r="Z1289">
        <v>6825</v>
      </c>
      <c r="AA1289">
        <v>2</v>
      </c>
      <c r="AB1289" s="29">
        <v>44773</v>
      </c>
      <c r="AC1289" s="29">
        <v>29634</v>
      </c>
      <c r="AD1289" s="29">
        <v>41831</v>
      </c>
      <c r="AE1289" s="29"/>
      <c r="AF1289">
        <v>8</v>
      </c>
      <c r="AG1289" t="s">
        <v>153</v>
      </c>
      <c r="AI1289">
        <v>34</v>
      </c>
      <c r="AJ1289">
        <v>1</v>
      </c>
      <c r="AK1289" t="s">
        <v>150</v>
      </c>
      <c r="AL1289" t="s">
        <v>77</v>
      </c>
      <c r="AM1289">
        <f t="shared" si="100"/>
        <v>3</v>
      </c>
      <c r="AN1289">
        <f t="shared" si="101"/>
        <v>7</v>
      </c>
      <c r="AO1289" t="str">
        <f t="shared" si="102"/>
        <v/>
      </c>
      <c r="AP1289" t="str">
        <f t="shared" si="103"/>
        <v/>
      </c>
      <c r="AQ1289">
        <f t="shared" si="104"/>
        <v>2014</v>
      </c>
    </row>
    <row r="1290" spans="1:43" x14ac:dyDescent="0.35">
      <c r="A1290">
        <v>416</v>
      </c>
      <c r="B1290">
        <v>31</v>
      </c>
      <c r="C1290" t="s">
        <v>148</v>
      </c>
      <c r="D1290" t="s">
        <v>145</v>
      </c>
      <c r="E1290" t="s">
        <v>158</v>
      </c>
      <c r="F1290" t="s">
        <v>38</v>
      </c>
      <c r="G1290" t="s">
        <v>42</v>
      </c>
      <c r="H1290" t="s">
        <v>82</v>
      </c>
      <c r="I1290" t="s">
        <v>44</v>
      </c>
      <c r="J1290" t="s">
        <v>159</v>
      </c>
      <c r="K1290" t="s">
        <v>44</v>
      </c>
      <c r="L1290" t="s">
        <v>147</v>
      </c>
      <c r="M1290" t="s">
        <v>48</v>
      </c>
      <c r="N1290" t="s">
        <v>160</v>
      </c>
      <c r="O1290" t="s">
        <v>41</v>
      </c>
      <c r="P1290" t="s">
        <v>148</v>
      </c>
      <c r="Q1290">
        <v>11</v>
      </c>
      <c r="R1290">
        <v>4</v>
      </c>
      <c r="S1290">
        <v>10</v>
      </c>
      <c r="T1290">
        <v>7</v>
      </c>
      <c r="U1290">
        <v>7</v>
      </c>
      <c r="V1290">
        <v>7</v>
      </c>
      <c r="W1290">
        <v>100</v>
      </c>
      <c r="X1290">
        <v>218</v>
      </c>
      <c r="Y1290">
        <v>12241</v>
      </c>
      <c r="Z1290">
        <v>6929</v>
      </c>
      <c r="AA1290">
        <v>3</v>
      </c>
      <c r="AB1290" s="29">
        <v>44773</v>
      </c>
      <c r="AC1290" s="29">
        <v>33541</v>
      </c>
      <c r="AD1290" s="29">
        <v>41861</v>
      </c>
      <c r="AE1290" s="29"/>
      <c r="AF1290">
        <v>8</v>
      </c>
      <c r="AG1290" t="s">
        <v>149</v>
      </c>
      <c r="AI1290">
        <v>23</v>
      </c>
      <c r="AJ1290">
        <v>1</v>
      </c>
      <c r="AK1290" t="s">
        <v>150</v>
      </c>
      <c r="AL1290" t="s">
        <v>77</v>
      </c>
      <c r="AM1290">
        <f t="shared" si="100"/>
        <v>3</v>
      </c>
      <c r="AN1290">
        <f t="shared" si="101"/>
        <v>8</v>
      </c>
      <c r="AO1290" t="str">
        <f t="shared" si="102"/>
        <v/>
      </c>
      <c r="AP1290" t="str">
        <f t="shared" si="103"/>
        <v/>
      </c>
      <c r="AQ1290">
        <f t="shared" si="104"/>
        <v>2014</v>
      </c>
    </row>
    <row r="1291" spans="1:43" x14ac:dyDescent="0.35">
      <c r="A1291">
        <v>1548</v>
      </c>
      <c r="B1291">
        <v>40</v>
      </c>
      <c r="C1291" t="s">
        <v>148</v>
      </c>
      <c r="D1291" t="s">
        <v>145</v>
      </c>
      <c r="E1291" t="s">
        <v>158</v>
      </c>
      <c r="F1291" t="s">
        <v>36</v>
      </c>
      <c r="G1291" t="s">
        <v>41</v>
      </c>
      <c r="H1291" t="s">
        <v>82</v>
      </c>
      <c r="I1291" t="s">
        <v>43</v>
      </c>
      <c r="J1291" t="s">
        <v>159</v>
      </c>
      <c r="K1291" t="s">
        <v>41</v>
      </c>
      <c r="L1291" t="s">
        <v>147</v>
      </c>
      <c r="M1291" t="s">
        <v>50</v>
      </c>
      <c r="N1291" t="s">
        <v>160</v>
      </c>
      <c r="P1291" t="s">
        <v>148</v>
      </c>
      <c r="Q1291">
        <v>12</v>
      </c>
      <c r="R1291">
        <v>0</v>
      </c>
      <c r="S1291">
        <v>9</v>
      </c>
      <c r="T1291">
        <v>7</v>
      </c>
      <c r="U1291">
        <v>1</v>
      </c>
      <c r="V1291">
        <v>9</v>
      </c>
      <c r="W1291">
        <v>47</v>
      </c>
      <c r="X1291">
        <v>1342</v>
      </c>
      <c r="Y1291">
        <v>19345</v>
      </c>
      <c r="Z1291">
        <v>5473</v>
      </c>
      <c r="AA1291">
        <v>5</v>
      </c>
      <c r="AB1291" s="29">
        <v>44773</v>
      </c>
      <c r="AC1291" s="29">
        <v>30522</v>
      </c>
      <c r="AD1291" s="29">
        <v>41876</v>
      </c>
      <c r="AE1291" s="29"/>
      <c r="AF1291">
        <v>8</v>
      </c>
      <c r="AG1291" t="s">
        <v>153</v>
      </c>
      <c r="AI1291">
        <v>32</v>
      </c>
      <c r="AJ1291">
        <v>1</v>
      </c>
      <c r="AK1291" t="s">
        <v>150</v>
      </c>
      <c r="AL1291" t="s">
        <v>78</v>
      </c>
      <c r="AM1291">
        <f t="shared" si="100"/>
        <v>3</v>
      </c>
      <c r="AN1291">
        <f t="shared" si="101"/>
        <v>8</v>
      </c>
      <c r="AO1291" t="str">
        <f t="shared" si="102"/>
        <v/>
      </c>
      <c r="AP1291" t="str">
        <f t="shared" si="103"/>
        <v/>
      </c>
      <c r="AQ1291">
        <f t="shared" si="104"/>
        <v>2014</v>
      </c>
    </row>
    <row r="1292" spans="1:43" x14ac:dyDescent="0.35">
      <c r="A1292">
        <v>606</v>
      </c>
      <c r="B1292">
        <v>45</v>
      </c>
      <c r="C1292" t="s">
        <v>148</v>
      </c>
      <c r="D1292" t="s">
        <v>145</v>
      </c>
      <c r="E1292" t="s">
        <v>158</v>
      </c>
      <c r="F1292" t="s">
        <v>38</v>
      </c>
      <c r="G1292" t="s">
        <v>44</v>
      </c>
      <c r="H1292" t="s">
        <v>82</v>
      </c>
      <c r="I1292" t="s">
        <v>43</v>
      </c>
      <c r="J1292" t="s">
        <v>159</v>
      </c>
      <c r="K1292" t="s">
        <v>42</v>
      </c>
      <c r="L1292" t="s">
        <v>147</v>
      </c>
      <c r="M1292" t="s">
        <v>50</v>
      </c>
      <c r="N1292" t="s">
        <v>160</v>
      </c>
      <c r="O1292" t="s">
        <v>41</v>
      </c>
      <c r="P1292" t="s">
        <v>148</v>
      </c>
      <c r="Q1292">
        <v>19</v>
      </c>
      <c r="R1292">
        <v>0</v>
      </c>
      <c r="S1292">
        <v>9</v>
      </c>
      <c r="T1292">
        <v>3</v>
      </c>
      <c r="U1292">
        <v>7</v>
      </c>
      <c r="V1292">
        <v>2</v>
      </c>
      <c r="W1292">
        <v>61</v>
      </c>
      <c r="X1292">
        <v>561</v>
      </c>
      <c r="Y1292">
        <v>16177</v>
      </c>
      <c r="Z1292">
        <v>4805</v>
      </c>
      <c r="AA1292">
        <v>3</v>
      </c>
      <c r="AB1292" s="29">
        <v>44773</v>
      </c>
      <c r="AC1292" s="29">
        <v>28658</v>
      </c>
      <c r="AD1292" s="29">
        <v>41935</v>
      </c>
      <c r="AE1292" s="29"/>
      <c r="AF1292">
        <v>8</v>
      </c>
      <c r="AG1292" t="s">
        <v>153</v>
      </c>
      <c r="AI1292">
        <v>37</v>
      </c>
      <c r="AJ1292">
        <v>2</v>
      </c>
      <c r="AK1292" t="s">
        <v>150</v>
      </c>
      <c r="AL1292" t="s">
        <v>77</v>
      </c>
      <c r="AM1292">
        <f t="shared" si="100"/>
        <v>4</v>
      </c>
      <c r="AN1292">
        <f t="shared" si="101"/>
        <v>10</v>
      </c>
      <c r="AO1292" t="str">
        <f t="shared" si="102"/>
        <v/>
      </c>
      <c r="AP1292" t="str">
        <f t="shared" si="103"/>
        <v/>
      </c>
      <c r="AQ1292">
        <f t="shared" si="104"/>
        <v>2014</v>
      </c>
    </row>
    <row r="1293" spans="1:43" x14ac:dyDescent="0.35">
      <c r="A1293">
        <v>760</v>
      </c>
      <c r="B1293">
        <v>39</v>
      </c>
      <c r="C1293" t="s">
        <v>148</v>
      </c>
      <c r="D1293" t="s">
        <v>145</v>
      </c>
      <c r="E1293" t="s">
        <v>168</v>
      </c>
      <c r="F1293" t="s">
        <v>38</v>
      </c>
      <c r="G1293" t="s">
        <v>43</v>
      </c>
      <c r="H1293" t="s">
        <v>81</v>
      </c>
      <c r="I1293" t="s">
        <v>44</v>
      </c>
      <c r="J1293" t="s">
        <v>168</v>
      </c>
      <c r="K1293" t="s">
        <v>42</v>
      </c>
      <c r="L1293" t="s">
        <v>147</v>
      </c>
      <c r="M1293" t="s">
        <v>47</v>
      </c>
      <c r="N1293" t="s">
        <v>160</v>
      </c>
      <c r="O1293" t="s">
        <v>41</v>
      </c>
      <c r="P1293" t="s">
        <v>148</v>
      </c>
      <c r="Q1293">
        <v>15</v>
      </c>
      <c r="R1293">
        <v>9</v>
      </c>
      <c r="S1293">
        <v>12</v>
      </c>
      <c r="T1293">
        <v>3</v>
      </c>
      <c r="U1293">
        <v>6</v>
      </c>
      <c r="V1293">
        <v>3</v>
      </c>
      <c r="W1293">
        <v>44</v>
      </c>
      <c r="X1293">
        <v>141</v>
      </c>
      <c r="Y1293">
        <v>18767</v>
      </c>
      <c r="Z1293">
        <v>6389</v>
      </c>
      <c r="AA1293">
        <v>3</v>
      </c>
      <c r="AB1293" s="29">
        <v>44773</v>
      </c>
      <c r="AC1293" s="29">
        <v>30671</v>
      </c>
      <c r="AD1293" s="29">
        <v>41938</v>
      </c>
      <c r="AE1293" s="29"/>
      <c r="AF1293">
        <v>8</v>
      </c>
      <c r="AG1293" t="s">
        <v>149</v>
      </c>
      <c r="AI1293">
        <v>31</v>
      </c>
      <c r="AJ1293">
        <v>1</v>
      </c>
      <c r="AK1293" t="s">
        <v>150</v>
      </c>
      <c r="AL1293" t="s">
        <v>78</v>
      </c>
      <c r="AM1293">
        <f t="shared" si="100"/>
        <v>4</v>
      </c>
      <c r="AN1293">
        <f t="shared" si="101"/>
        <v>10</v>
      </c>
      <c r="AO1293" t="str">
        <f t="shared" si="102"/>
        <v/>
      </c>
      <c r="AP1293" t="str">
        <f t="shared" si="103"/>
        <v/>
      </c>
      <c r="AQ1293">
        <f t="shared" si="104"/>
        <v>2014</v>
      </c>
    </row>
    <row r="1294" spans="1:43" x14ac:dyDescent="0.35">
      <c r="A1294">
        <v>1557</v>
      </c>
      <c r="B1294">
        <v>48</v>
      </c>
      <c r="C1294" t="s">
        <v>148</v>
      </c>
      <c r="D1294" t="s">
        <v>145</v>
      </c>
      <c r="E1294" t="s">
        <v>158</v>
      </c>
      <c r="F1294" t="s">
        <v>37</v>
      </c>
      <c r="G1294" t="s">
        <v>43</v>
      </c>
      <c r="H1294" t="s">
        <v>81</v>
      </c>
      <c r="I1294" t="s">
        <v>43</v>
      </c>
      <c r="J1294" t="s">
        <v>159</v>
      </c>
      <c r="K1294" t="s">
        <v>43</v>
      </c>
      <c r="L1294" t="s">
        <v>147</v>
      </c>
      <c r="M1294" t="s">
        <v>49</v>
      </c>
      <c r="N1294" t="s">
        <v>96</v>
      </c>
      <c r="O1294" t="s">
        <v>41</v>
      </c>
      <c r="P1294" t="s">
        <v>148</v>
      </c>
      <c r="Q1294">
        <v>14</v>
      </c>
      <c r="R1294">
        <v>8</v>
      </c>
      <c r="S1294">
        <v>18</v>
      </c>
      <c r="T1294">
        <v>7</v>
      </c>
      <c r="U1294">
        <v>7</v>
      </c>
      <c r="V1294">
        <v>16</v>
      </c>
      <c r="W1294">
        <v>96</v>
      </c>
      <c r="X1294">
        <v>492</v>
      </c>
      <c r="Y1294">
        <v>13693</v>
      </c>
      <c r="Z1294">
        <v>6439</v>
      </c>
      <c r="AA1294">
        <v>2</v>
      </c>
      <c r="AB1294" s="29">
        <v>44773</v>
      </c>
      <c r="AC1294" s="29">
        <v>27402</v>
      </c>
      <c r="AD1294" s="29">
        <v>41947</v>
      </c>
      <c r="AE1294" s="29"/>
      <c r="AF1294">
        <v>8</v>
      </c>
      <c r="AG1294" t="s">
        <v>153</v>
      </c>
      <c r="AI1294">
        <v>40</v>
      </c>
      <c r="AJ1294">
        <v>2</v>
      </c>
      <c r="AK1294" t="s">
        <v>150</v>
      </c>
      <c r="AL1294" t="s">
        <v>77</v>
      </c>
      <c r="AM1294">
        <f t="shared" si="100"/>
        <v>4</v>
      </c>
      <c r="AN1294">
        <f t="shared" si="101"/>
        <v>11</v>
      </c>
      <c r="AO1294" t="str">
        <f t="shared" si="102"/>
        <v/>
      </c>
      <c r="AP1294" t="str">
        <f t="shared" si="103"/>
        <v/>
      </c>
      <c r="AQ1294">
        <f t="shared" si="104"/>
        <v>2014</v>
      </c>
    </row>
    <row r="1295" spans="1:43" x14ac:dyDescent="0.35">
      <c r="A1295">
        <v>783</v>
      </c>
      <c r="B1295">
        <v>45</v>
      </c>
      <c r="C1295" t="s">
        <v>148</v>
      </c>
      <c r="D1295" t="s">
        <v>145</v>
      </c>
      <c r="E1295" t="s">
        <v>158</v>
      </c>
      <c r="F1295" t="s">
        <v>36</v>
      </c>
      <c r="G1295" t="s">
        <v>42</v>
      </c>
      <c r="H1295" t="s">
        <v>82</v>
      </c>
      <c r="I1295" t="s">
        <v>41</v>
      </c>
      <c r="J1295" t="s">
        <v>166</v>
      </c>
      <c r="K1295" t="s">
        <v>43</v>
      </c>
      <c r="L1295" t="s">
        <v>147</v>
      </c>
      <c r="M1295" t="s">
        <v>49</v>
      </c>
      <c r="N1295" t="s">
        <v>95</v>
      </c>
      <c r="P1295" t="s">
        <v>148</v>
      </c>
      <c r="Q1295">
        <v>13</v>
      </c>
      <c r="R1295">
        <v>0</v>
      </c>
      <c r="S1295">
        <v>9</v>
      </c>
      <c r="T1295">
        <v>3</v>
      </c>
      <c r="U1295">
        <v>1</v>
      </c>
      <c r="V1295">
        <v>2</v>
      </c>
      <c r="W1295">
        <v>46</v>
      </c>
      <c r="X1295">
        <v>954</v>
      </c>
      <c r="Y1295">
        <v>12388</v>
      </c>
      <c r="Z1295">
        <v>6632</v>
      </c>
      <c r="AA1295">
        <v>3</v>
      </c>
      <c r="AB1295" s="29">
        <v>44773</v>
      </c>
      <c r="AC1295" s="29">
        <v>28452</v>
      </c>
      <c r="AD1295" s="29">
        <v>42041</v>
      </c>
      <c r="AE1295" s="29"/>
      <c r="AF1295">
        <v>7</v>
      </c>
      <c r="AG1295" t="s">
        <v>153</v>
      </c>
      <c r="AI1295">
        <v>38</v>
      </c>
      <c r="AJ1295">
        <v>2</v>
      </c>
      <c r="AK1295" t="s">
        <v>150</v>
      </c>
      <c r="AL1295" t="s">
        <v>77</v>
      </c>
      <c r="AM1295">
        <f t="shared" si="100"/>
        <v>1</v>
      </c>
      <c r="AN1295">
        <f t="shared" si="101"/>
        <v>2</v>
      </c>
      <c r="AO1295" t="str">
        <f t="shared" si="102"/>
        <v/>
      </c>
      <c r="AP1295" t="str">
        <f t="shared" si="103"/>
        <v/>
      </c>
      <c r="AQ1295">
        <f t="shared" si="104"/>
        <v>2015</v>
      </c>
    </row>
    <row r="1296" spans="1:43" x14ac:dyDescent="0.35">
      <c r="A1296">
        <v>1119</v>
      </c>
      <c r="B1296">
        <v>38</v>
      </c>
      <c r="C1296" t="s">
        <v>148</v>
      </c>
      <c r="D1296" t="s">
        <v>145</v>
      </c>
      <c r="E1296" t="s">
        <v>158</v>
      </c>
      <c r="F1296" t="s">
        <v>37</v>
      </c>
      <c r="G1296" t="s">
        <v>43</v>
      </c>
      <c r="H1296" t="s">
        <v>82</v>
      </c>
      <c r="I1296" t="s">
        <v>42</v>
      </c>
      <c r="J1296" t="s">
        <v>159</v>
      </c>
      <c r="K1296" t="s">
        <v>43</v>
      </c>
      <c r="L1296" t="s">
        <v>147</v>
      </c>
      <c r="M1296" t="s">
        <v>49</v>
      </c>
      <c r="N1296" t="s">
        <v>96</v>
      </c>
      <c r="O1296" t="s">
        <v>156</v>
      </c>
      <c r="P1296" t="s">
        <v>144</v>
      </c>
      <c r="Q1296">
        <v>14</v>
      </c>
      <c r="R1296">
        <v>0</v>
      </c>
      <c r="S1296">
        <v>9</v>
      </c>
      <c r="T1296">
        <v>2</v>
      </c>
      <c r="U1296">
        <v>7</v>
      </c>
      <c r="V1296">
        <v>10</v>
      </c>
      <c r="W1296">
        <v>73</v>
      </c>
      <c r="X1296">
        <v>770</v>
      </c>
      <c r="Y1296">
        <v>5569</v>
      </c>
      <c r="Z1296">
        <v>8740</v>
      </c>
      <c r="AA1296">
        <v>2</v>
      </c>
      <c r="AB1296" s="29">
        <v>44773</v>
      </c>
      <c r="AC1296" s="29">
        <v>31211</v>
      </c>
      <c r="AD1296" s="29">
        <v>42044</v>
      </c>
      <c r="AE1296" s="29"/>
      <c r="AF1296">
        <v>7</v>
      </c>
      <c r="AG1296" t="s">
        <v>149</v>
      </c>
      <c r="AI1296">
        <v>31</v>
      </c>
      <c r="AJ1296">
        <v>1</v>
      </c>
      <c r="AK1296" t="s">
        <v>150</v>
      </c>
      <c r="AL1296" t="s">
        <v>77</v>
      </c>
      <c r="AM1296">
        <f t="shared" si="100"/>
        <v>1</v>
      </c>
      <c r="AN1296">
        <f t="shared" si="101"/>
        <v>2</v>
      </c>
      <c r="AO1296" t="str">
        <f t="shared" si="102"/>
        <v/>
      </c>
      <c r="AP1296" t="str">
        <f t="shared" si="103"/>
        <v/>
      </c>
      <c r="AQ1296">
        <f t="shared" si="104"/>
        <v>2015</v>
      </c>
    </row>
    <row r="1297" spans="1:43" x14ac:dyDescent="0.35">
      <c r="A1297">
        <v>476</v>
      </c>
      <c r="B1297">
        <v>26</v>
      </c>
      <c r="C1297" t="s">
        <v>148</v>
      </c>
      <c r="D1297" t="s">
        <v>145</v>
      </c>
      <c r="E1297" t="s">
        <v>158</v>
      </c>
      <c r="F1297" t="s">
        <v>38</v>
      </c>
      <c r="G1297" t="s">
        <v>43</v>
      </c>
      <c r="H1297" t="s">
        <v>82</v>
      </c>
      <c r="I1297" t="s">
        <v>43</v>
      </c>
      <c r="J1297" t="s">
        <v>159</v>
      </c>
      <c r="K1297" t="s">
        <v>43</v>
      </c>
      <c r="L1297" t="s">
        <v>147</v>
      </c>
      <c r="M1297" t="s">
        <v>49</v>
      </c>
      <c r="N1297" t="s">
        <v>160</v>
      </c>
      <c r="O1297" t="s">
        <v>41</v>
      </c>
      <c r="P1297" t="s">
        <v>148</v>
      </c>
      <c r="Q1297">
        <v>17</v>
      </c>
      <c r="R1297">
        <v>1</v>
      </c>
      <c r="S1297">
        <v>8</v>
      </c>
      <c r="T1297">
        <v>7</v>
      </c>
      <c r="U1297">
        <v>7</v>
      </c>
      <c r="V1297">
        <v>1</v>
      </c>
      <c r="W1297">
        <v>57</v>
      </c>
      <c r="X1297">
        <v>933</v>
      </c>
      <c r="Y1297">
        <v>20156</v>
      </c>
      <c r="Z1297">
        <v>5296</v>
      </c>
      <c r="AA1297">
        <v>3</v>
      </c>
      <c r="AB1297" s="29">
        <v>44773</v>
      </c>
      <c r="AC1297" s="29">
        <v>35368</v>
      </c>
      <c r="AD1297" s="29">
        <v>42116</v>
      </c>
      <c r="AE1297" s="29"/>
      <c r="AF1297">
        <v>7</v>
      </c>
      <c r="AG1297" t="s">
        <v>157</v>
      </c>
      <c r="AI1297">
        <v>19</v>
      </c>
      <c r="AJ1297">
        <v>1</v>
      </c>
      <c r="AK1297" t="s">
        <v>150</v>
      </c>
      <c r="AL1297" t="s">
        <v>77</v>
      </c>
      <c r="AM1297">
        <f t="shared" si="100"/>
        <v>2</v>
      </c>
      <c r="AN1297">
        <f t="shared" si="101"/>
        <v>4</v>
      </c>
      <c r="AO1297" t="str">
        <f t="shared" si="102"/>
        <v/>
      </c>
      <c r="AP1297" t="str">
        <f t="shared" si="103"/>
        <v/>
      </c>
      <c r="AQ1297">
        <f t="shared" si="104"/>
        <v>2015</v>
      </c>
    </row>
    <row r="1298" spans="1:43" x14ac:dyDescent="0.35">
      <c r="A1298">
        <v>1588</v>
      </c>
      <c r="B1298">
        <v>39</v>
      </c>
      <c r="C1298" t="s">
        <v>148</v>
      </c>
      <c r="D1298" t="s">
        <v>145</v>
      </c>
      <c r="E1298" t="s">
        <v>158</v>
      </c>
      <c r="F1298" t="s">
        <v>38</v>
      </c>
      <c r="G1298" t="s">
        <v>44</v>
      </c>
      <c r="H1298" t="s">
        <v>82</v>
      </c>
      <c r="I1298" t="s">
        <v>44</v>
      </c>
      <c r="J1298" t="s">
        <v>159</v>
      </c>
      <c r="K1298" t="s">
        <v>43</v>
      </c>
      <c r="L1298" t="s">
        <v>147</v>
      </c>
      <c r="M1298" t="s">
        <v>49</v>
      </c>
      <c r="N1298" t="s">
        <v>160</v>
      </c>
      <c r="O1298" t="s">
        <v>41</v>
      </c>
      <c r="P1298" t="s">
        <v>148</v>
      </c>
      <c r="Q1298">
        <v>11</v>
      </c>
      <c r="R1298">
        <v>2</v>
      </c>
      <c r="S1298">
        <v>11</v>
      </c>
      <c r="T1298">
        <v>7</v>
      </c>
      <c r="U1298">
        <v>6</v>
      </c>
      <c r="V1298">
        <v>6</v>
      </c>
      <c r="W1298">
        <v>38</v>
      </c>
      <c r="X1298">
        <v>1462</v>
      </c>
      <c r="Y1298">
        <v>4658</v>
      </c>
      <c r="Z1298">
        <v>8237</v>
      </c>
      <c r="AA1298">
        <v>3</v>
      </c>
      <c r="AB1298" s="29">
        <v>44773</v>
      </c>
      <c r="AC1298" s="29">
        <v>30643</v>
      </c>
      <c r="AD1298" s="29">
        <v>42217</v>
      </c>
      <c r="AE1298" s="29"/>
      <c r="AF1298">
        <v>7</v>
      </c>
      <c r="AG1298" t="s">
        <v>149</v>
      </c>
      <c r="AI1298">
        <v>32</v>
      </c>
      <c r="AJ1298">
        <v>1</v>
      </c>
      <c r="AK1298" t="s">
        <v>150</v>
      </c>
      <c r="AL1298" t="s">
        <v>77</v>
      </c>
      <c r="AM1298">
        <f t="shared" si="100"/>
        <v>3</v>
      </c>
      <c r="AN1298">
        <f t="shared" si="101"/>
        <v>8</v>
      </c>
      <c r="AO1298" t="str">
        <f t="shared" si="102"/>
        <v/>
      </c>
      <c r="AP1298" t="str">
        <f t="shared" si="103"/>
        <v/>
      </c>
      <c r="AQ1298">
        <f t="shared" si="104"/>
        <v>2015</v>
      </c>
    </row>
    <row r="1299" spans="1:43" x14ac:dyDescent="0.35">
      <c r="A1299">
        <v>1338</v>
      </c>
      <c r="B1299">
        <v>56</v>
      </c>
      <c r="C1299" t="s">
        <v>148</v>
      </c>
      <c r="D1299" t="s">
        <v>145</v>
      </c>
      <c r="E1299" t="s">
        <v>168</v>
      </c>
      <c r="F1299" t="s">
        <v>37</v>
      </c>
      <c r="G1299" t="s">
        <v>44</v>
      </c>
      <c r="H1299" t="s">
        <v>82</v>
      </c>
      <c r="I1299" t="s">
        <v>43</v>
      </c>
      <c r="J1299" t="s">
        <v>169</v>
      </c>
      <c r="K1299" t="s">
        <v>42</v>
      </c>
      <c r="L1299" t="s">
        <v>147</v>
      </c>
      <c r="M1299" t="s">
        <v>49</v>
      </c>
      <c r="N1299" t="s">
        <v>95</v>
      </c>
      <c r="P1299" t="s">
        <v>148</v>
      </c>
      <c r="Q1299">
        <v>14</v>
      </c>
      <c r="R1299">
        <v>6</v>
      </c>
      <c r="S1299">
        <v>36</v>
      </c>
      <c r="T1299">
        <v>7</v>
      </c>
      <c r="U1299">
        <v>7</v>
      </c>
      <c r="V1299">
        <v>8</v>
      </c>
      <c r="W1299">
        <v>99</v>
      </c>
      <c r="X1299">
        <v>206</v>
      </c>
      <c r="Y1299">
        <v>4022</v>
      </c>
      <c r="Z1299">
        <v>19717</v>
      </c>
      <c r="AA1299">
        <v>4</v>
      </c>
      <c r="AB1299" s="29">
        <v>44773</v>
      </c>
      <c r="AC1299" s="29">
        <v>24354</v>
      </c>
      <c r="AD1299" s="29">
        <v>42248</v>
      </c>
      <c r="AE1299" s="29"/>
      <c r="AF1299">
        <v>7</v>
      </c>
      <c r="AG1299" t="s">
        <v>167</v>
      </c>
      <c r="AI1299">
        <v>49</v>
      </c>
      <c r="AJ1299">
        <v>1</v>
      </c>
      <c r="AK1299" t="s">
        <v>150</v>
      </c>
      <c r="AL1299" t="s">
        <v>77</v>
      </c>
      <c r="AM1299">
        <f t="shared" si="100"/>
        <v>3</v>
      </c>
      <c r="AN1299">
        <f t="shared" si="101"/>
        <v>9</v>
      </c>
      <c r="AO1299" t="str">
        <f t="shared" si="102"/>
        <v/>
      </c>
      <c r="AP1299" t="str">
        <f t="shared" si="103"/>
        <v/>
      </c>
      <c r="AQ1299">
        <f t="shared" si="104"/>
        <v>2015</v>
      </c>
    </row>
    <row r="1300" spans="1:43" x14ac:dyDescent="0.35">
      <c r="A1300">
        <v>1066</v>
      </c>
      <c r="B1300">
        <v>40</v>
      </c>
      <c r="C1300" t="s">
        <v>148</v>
      </c>
      <c r="D1300" t="s">
        <v>145</v>
      </c>
      <c r="E1300" t="s">
        <v>158</v>
      </c>
      <c r="F1300" t="s">
        <v>38</v>
      </c>
      <c r="G1300" t="s">
        <v>43</v>
      </c>
      <c r="H1300" t="s">
        <v>82</v>
      </c>
      <c r="I1300" t="s">
        <v>43</v>
      </c>
      <c r="J1300" t="s">
        <v>159</v>
      </c>
      <c r="K1300" t="s">
        <v>41</v>
      </c>
      <c r="L1300" t="s">
        <v>147</v>
      </c>
      <c r="M1300" t="s">
        <v>48</v>
      </c>
      <c r="N1300" t="s">
        <v>160</v>
      </c>
      <c r="O1300" t="s">
        <v>41</v>
      </c>
      <c r="P1300" t="s">
        <v>148</v>
      </c>
      <c r="Q1300">
        <v>14</v>
      </c>
      <c r="R1300">
        <v>1</v>
      </c>
      <c r="S1300">
        <v>8</v>
      </c>
      <c r="T1300">
        <v>7</v>
      </c>
      <c r="U1300">
        <v>5</v>
      </c>
      <c r="V1300">
        <v>26</v>
      </c>
      <c r="W1300">
        <v>74</v>
      </c>
      <c r="X1300">
        <v>300</v>
      </c>
      <c r="Y1300">
        <v>22217</v>
      </c>
      <c r="Z1300">
        <v>8396</v>
      </c>
      <c r="AA1300">
        <v>3</v>
      </c>
      <c r="AB1300" s="29">
        <v>44773</v>
      </c>
      <c r="AC1300" s="29">
        <v>30406</v>
      </c>
      <c r="AD1300" s="29">
        <v>42339</v>
      </c>
      <c r="AE1300" s="29"/>
      <c r="AF1300">
        <v>7</v>
      </c>
      <c r="AG1300" t="s">
        <v>153</v>
      </c>
      <c r="AI1300">
        <v>33</v>
      </c>
      <c r="AJ1300">
        <v>1</v>
      </c>
      <c r="AK1300" t="s">
        <v>150</v>
      </c>
      <c r="AL1300" t="s">
        <v>77</v>
      </c>
      <c r="AM1300">
        <f t="shared" si="100"/>
        <v>4</v>
      </c>
      <c r="AN1300">
        <f t="shared" si="101"/>
        <v>12</v>
      </c>
      <c r="AO1300" t="str">
        <f t="shared" si="102"/>
        <v/>
      </c>
      <c r="AP1300" t="str">
        <f t="shared" si="103"/>
        <v/>
      </c>
      <c r="AQ1300">
        <f t="shared" si="104"/>
        <v>2015</v>
      </c>
    </row>
    <row r="1301" spans="1:43" x14ac:dyDescent="0.35">
      <c r="A1301">
        <v>363</v>
      </c>
      <c r="B1301">
        <v>46</v>
      </c>
      <c r="C1301" t="s">
        <v>148</v>
      </c>
      <c r="D1301" t="s">
        <v>145</v>
      </c>
      <c r="E1301" t="s">
        <v>158</v>
      </c>
      <c r="F1301" t="s">
        <v>38</v>
      </c>
      <c r="G1301" t="s">
        <v>43</v>
      </c>
      <c r="H1301" t="s">
        <v>81</v>
      </c>
      <c r="I1301" t="s">
        <v>41</v>
      </c>
      <c r="J1301" t="s">
        <v>169</v>
      </c>
      <c r="K1301" t="s">
        <v>42</v>
      </c>
      <c r="L1301" t="s">
        <v>147</v>
      </c>
      <c r="M1301" t="s">
        <v>48</v>
      </c>
      <c r="N1301" t="s">
        <v>160</v>
      </c>
      <c r="O1301" t="s">
        <v>41</v>
      </c>
      <c r="P1301" t="s">
        <v>144</v>
      </c>
      <c r="Q1301">
        <v>12</v>
      </c>
      <c r="R1301">
        <v>3</v>
      </c>
      <c r="S1301">
        <v>28</v>
      </c>
      <c r="T1301">
        <v>7</v>
      </c>
      <c r="U1301">
        <v>7</v>
      </c>
      <c r="V1301">
        <v>2</v>
      </c>
      <c r="W1301">
        <v>75</v>
      </c>
      <c r="X1301">
        <v>488</v>
      </c>
      <c r="Y1301">
        <v>14977</v>
      </c>
      <c r="Z1301">
        <v>16872</v>
      </c>
      <c r="AA1301">
        <v>2</v>
      </c>
      <c r="AB1301" s="29">
        <v>44773</v>
      </c>
      <c r="AC1301" s="29">
        <v>28226</v>
      </c>
      <c r="AD1301" s="29">
        <v>42343</v>
      </c>
      <c r="AE1301" s="29"/>
      <c r="AF1301">
        <v>7</v>
      </c>
      <c r="AG1301" t="s">
        <v>153</v>
      </c>
      <c r="AI1301">
        <v>39</v>
      </c>
      <c r="AJ1301">
        <v>1</v>
      </c>
      <c r="AK1301" t="s">
        <v>150</v>
      </c>
      <c r="AL1301" t="s">
        <v>77</v>
      </c>
      <c r="AM1301">
        <f t="shared" si="100"/>
        <v>4</v>
      </c>
      <c r="AN1301">
        <f t="shared" si="101"/>
        <v>12</v>
      </c>
      <c r="AO1301" t="str">
        <f t="shared" si="102"/>
        <v/>
      </c>
      <c r="AP1301" t="str">
        <f t="shared" si="103"/>
        <v/>
      </c>
      <c r="AQ1301">
        <f t="shared" si="104"/>
        <v>2015</v>
      </c>
    </row>
    <row r="1302" spans="1:43" x14ac:dyDescent="0.35">
      <c r="A1302">
        <v>941</v>
      </c>
      <c r="B1302">
        <v>31</v>
      </c>
      <c r="C1302" t="s">
        <v>148</v>
      </c>
      <c r="D1302" t="s">
        <v>145</v>
      </c>
      <c r="E1302" t="s">
        <v>158</v>
      </c>
      <c r="F1302" t="s">
        <v>37</v>
      </c>
      <c r="G1302" t="s">
        <v>42</v>
      </c>
      <c r="H1302" t="s">
        <v>82</v>
      </c>
      <c r="I1302" t="s">
        <v>42</v>
      </c>
      <c r="J1302" t="s">
        <v>166</v>
      </c>
      <c r="K1302" t="s">
        <v>43</v>
      </c>
      <c r="L1302" t="s">
        <v>147</v>
      </c>
      <c r="M1302" t="s">
        <v>50</v>
      </c>
      <c r="N1302" t="s">
        <v>160</v>
      </c>
      <c r="P1302" t="s">
        <v>148</v>
      </c>
      <c r="Q1302">
        <v>15</v>
      </c>
      <c r="R1302">
        <v>3</v>
      </c>
      <c r="S1302">
        <v>13</v>
      </c>
      <c r="T1302">
        <v>5</v>
      </c>
      <c r="U1302">
        <v>2</v>
      </c>
      <c r="V1302">
        <v>7</v>
      </c>
      <c r="W1302">
        <v>41</v>
      </c>
      <c r="X1302">
        <v>154</v>
      </c>
      <c r="Y1302">
        <v>11737</v>
      </c>
      <c r="Z1302">
        <v>2329</v>
      </c>
      <c r="AA1302">
        <v>2</v>
      </c>
      <c r="AB1302" s="29">
        <v>44773</v>
      </c>
      <c r="AC1302" s="29">
        <v>33676</v>
      </c>
      <c r="AD1302" s="29">
        <v>42349</v>
      </c>
      <c r="AE1302" s="29"/>
      <c r="AF1302">
        <v>7</v>
      </c>
      <c r="AG1302" t="s">
        <v>149</v>
      </c>
      <c r="AI1302">
        <v>24</v>
      </c>
      <c r="AJ1302">
        <v>2</v>
      </c>
      <c r="AK1302" t="s">
        <v>150</v>
      </c>
      <c r="AL1302" t="s">
        <v>77</v>
      </c>
      <c r="AM1302">
        <f t="shared" si="100"/>
        <v>4</v>
      </c>
      <c r="AN1302">
        <f t="shared" si="101"/>
        <v>12</v>
      </c>
      <c r="AO1302" t="str">
        <f t="shared" si="102"/>
        <v/>
      </c>
      <c r="AP1302" t="str">
        <f t="shared" si="103"/>
        <v/>
      </c>
      <c r="AQ1302">
        <f t="shared" si="104"/>
        <v>2015</v>
      </c>
    </row>
    <row r="1303" spans="1:43" x14ac:dyDescent="0.35">
      <c r="A1303">
        <v>1403</v>
      </c>
      <c r="B1303">
        <v>27</v>
      </c>
      <c r="C1303" t="s">
        <v>148</v>
      </c>
      <c r="D1303" t="s">
        <v>145</v>
      </c>
      <c r="E1303" t="s">
        <v>158</v>
      </c>
      <c r="F1303" t="s">
        <v>38</v>
      </c>
      <c r="G1303" t="s">
        <v>44</v>
      </c>
      <c r="H1303" t="s">
        <v>81</v>
      </c>
      <c r="I1303" t="s">
        <v>42</v>
      </c>
      <c r="J1303" t="s">
        <v>159</v>
      </c>
      <c r="K1303" t="s">
        <v>44</v>
      </c>
      <c r="L1303" t="s">
        <v>147</v>
      </c>
      <c r="M1303" t="s">
        <v>49</v>
      </c>
      <c r="N1303" t="s">
        <v>160</v>
      </c>
      <c r="P1303" t="s">
        <v>144</v>
      </c>
      <c r="Q1303">
        <v>11</v>
      </c>
      <c r="R1303">
        <v>1</v>
      </c>
      <c r="S1303">
        <v>6</v>
      </c>
      <c r="T1303">
        <v>4</v>
      </c>
      <c r="U1303">
        <v>4</v>
      </c>
      <c r="V1303">
        <v>10</v>
      </c>
      <c r="W1303">
        <v>98</v>
      </c>
      <c r="X1303">
        <v>205</v>
      </c>
      <c r="Y1303">
        <v>7100</v>
      </c>
      <c r="Z1303">
        <v>5769</v>
      </c>
      <c r="AA1303">
        <v>3</v>
      </c>
      <c r="AB1303" s="29">
        <v>44773</v>
      </c>
      <c r="AC1303" s="29">
        <v>34984</v>
      </c>
      <c r="AD1303" s="29">
        <v>42631</v>
      </c>
      <c r="AE1303" s="29"/>
      <c r="AF1303">
        <v>6</v>
      </c>
      <c r="AG1303" t="s">
        <v>157</v>
      </c>
      <c r="AI1303">
        <v>21</v>
      </c>
      <c r="AJ1303">
        <v>2</v>
      </c>
      <c r="AK1303" t="s">
        <v>150</v>
      </c>
      <c r="AL1303" t="s">
        <v>77</v>
      </c>
      <c r="AM1303">
        <f t="shared" si="100"/>
        <v>3</v>
      </c>
      <c r="AN1303">
        <f t="shared" si="101"/>
        <v>9</v>
      </c>
      <c r="AO1303" t="str">
        <f t="shared" si="102"/>
        <v/>
      </c>
      <c r="AP1303" t="str">
        <f t="shared" si="103"/>
        <v/>
      </c>
      <c r="AQ1303">
        <f t="shared" si="104"/>
        <v>2016</v>
      </c>
    </row>
    <row r="1304" spans="1:43" x14ac:dyDescent="0.35">
      <c r="A1304">
        <v>533</v>
      </c>
      <c r="B1304">
        <v>30</v>
      </c>
      <c r="C1304" t="s">
        <v>148</v>
      </c>
      <c r="D1304" t="s">
        <v>145</v>
      </c>
      <c r="E1304" t="s">
        <v>158</v>
      </c>
      <c r="F1304" t="s">
        <v>38</v>
      </c>
      <c r="G1304" t="s">
        <v>42</v>
      </c>
      <c r="H1304" t="s">
        <v>81</v>
      </c>
      <c r="I1304" t="s">
        <v>43</v>
      </c>
      <c r="J1304" t="s">
        <v>159</v>
      </c>
      <c r="K1304" t="s">
        <v>43</v>
      </c>
      <c r="L1304" t="s">
        <v>147</v>
      </c>
      <c r="M1304" t="s">
        <v>49</v>
      </c>
      <c r="N1304" t="s">
        <v>95</v>
      </c>
      <c r="P1304" t="s">
        <v>148</v>
      </c>
      <c r="Q1304">
        <v>11</v>
      </c>
      <c r="R1304">
        <v>0</v>
      </c>
      <c r="S1304">
        <v>6</v>
      </c>
      <c r="T1304">
        <v>4</v>
      </c>
      <c r="U1304">
        <v>4</v>
      </c>
      <c r="V1304">
        <v>12</v>
      </c>
      <c r="W1304">
        <v>83</v>
      </c>
      <c r="X1304">
        <v>1082</v>
      </c>
      <c r="Y1304">
        <v>19558</v>
      </c>
      <c r="Z1304">
        <v>6577</v>
      </c>
      <c r="AA1304">
        <v>6</v>
      </c>
      <c r="AB1304" s="29">
        <v>44773</v>
      </c>
      <c r="AC1304" s="29">
        <v>33881</v>
      </c>
      <c r="AD1304" s="29">
        <v>42974</v>
      </c>
      <c r="AE1304" s="29"/>
      <c r="AF1304">
        <v>5</v>
      </c>
      <c r="AG1304" t="s">
        <v>149</v>
      </c>
      <c r="AI1304">
        <v>25</v>
      </c>
      <c r="AJ1304">
        <v>1</v>
      </c>
      <c r="AK1304" t="s">
        <v>162</v>
      </c>
      <c r="AL1304" t="s">
        <v>78</v>
      </c>
      <c r="AM1304">
        <f t="shared" si="100"/>
        <v>3</v>
      </c>
      <c r="AN1304">
        <f t="shared" si="101"/>
        <v>8</v>
      </c>
      <c r="AO1304" t="str">
        <f t="shared" si="102"/>
        <v/>
      </c>
      <c r="AP1304" t="str">
        <f t="shared" si="103"/>
        <v/>
      </c>
      <c r="AQ1304">
        <f t="shared" si="104"/>
        <v>2017</v>
      </c>
    </row>
    <row r="1305" spans="1:43" x14ac:dyDescent="0.35">
      <c r="A1305">
        <v>2013</v>
      </c>
      <c r="B1305">
        <v>32</v>
      </c>
      <c r="C1305" t="s">
        <v>148</v>
      </c>
      <c r="D1305" t="s">
        <v>145</v>
      </c>
      <c r="E1305" t="s">
        <v>158</v>
      </c>
      <c r="F1305" t="s">
        <v>37</v>
      </c>
      <c r="G1305" t="s">
        <v>42</v>
      </c>
      <c r="H1305" t="s">
        <v>82</v>
      </c>
      <c r="I1305" t="s">
        <v>42</v>
      </c>
      <c r="J1305" t="s">
        <v>166</v>
      </c>
      <c r="K1305" t="s">
        <v>42</v>
      </c>
      <c r="L1305" t="s">
        <v>147</v>
      </c>
      <c r="M1305" t="s">
        <v>49</v>
      </c>
      <c r="N1305" t="s">
        <v>160</v>
      </c>
      <c r="O1305" t="s">
        <v>41</v>
      </c>
      <c r="P1305" t="s">
        <v>148</v>
      </c>
      <c r="Q1305">
        <v>14</v>
      </c>
      <c r="R1305">
        <v>0</v>
      </c>
      <c r="S1305">
        <v>3</v>
      </c>
      <c r="T1305">
        <v>2</v>
      </c>
      <c r="U1305">
        <v>2</v>
      </c>
      <c r="V1305">
        <v>1</v>
      </c>
      <c r="W1305">
        <v>68</v>
      </c>
      <c r="X1305">
        <v>234</v>
      </c>
      <c r="Y1305">
        <v>18024</v>
      </c>
      <c r="Z1305">
        <v>2269</v>
      </c>
      <c r="AA1305">
        <v>2</v>
      </c>
      <c r="AB1305" s="29">
        <v>44773</v>
      </c>
      <c r="AC1305" s="29">
        <v>33126</v>
      </c>
      <c r="AD1305" s="29">
        <v>44044</v>
      </c>
      <c r="AE1305" s="29"/>
      <c r="AF1305">
        <v>2</v>
      </c>
      <c r="AG1305" t="s">
        <v>149</v>
      </c>
      <c r="AI1305">
        <v>30</v>
      </c>
      <c r="AJ1305">
        <v>1</v>
      </c>
      <c r="AK1305" t="s">
        <v>170</v>
      </c>
      <c r="AL1305" t="s">
        <v>77</v>
      </c>
      <c r="AM1305">
        <f t="shared" si="100"/>
        <v>3</v>
      </c>
      <c r="AN1305">
        <f t="shared" si="101"/>
        <v>8</v>
      </c>
      <c r="AO1305" t="str">
        <f t="shared" si="102"/>
        <v/>
      </c>
      <c r="AP1305" t="str">
        <f t="shared" si="103"/>
        <v/>
      </c>
      <c r="AQ1305">
        <f t="shared" si="104"/>
        <v>2020</v>
      </c>
    </row>
    <row r="1306" spans="1:43" x14ac:dyDescent="0.35">
      <c r="A1306">
        <v>1657</v>
      </c>
      <c r="B1306">
        <v>20</v>
      </c>
      <c r="C1306" t="s">
        <v>148</v>
      </c>
      <c r="D1306" t="s">
        <v>145</v>
      </c>
      <c r="E1306" t="s">
        <v>158</v>
      </c>
      <c r="F1306" t="s">
        <v>38</v>
      </c>
      <c r="G1306" t="s">
        <v>43</v>
      </c>
      <c r="H1306" t="s">
        <v>81</v>
      </c>
      <c r="I1306" t="s">
        <v>43</v>
      </c>
      <c r="J1306" t="s">
        <v>166</v>
      </c>
      <c r="K1306" t="s">
        <v>43</v>
      </c>
      <c r="L1306" t="s">
        <v>147</v>
      </c>
      <c r="M1306" t="s">
        <v>49</v>
      </c>
      <c r="N1306" t="s">
        <v>95</v>
      </c>
      <c r="P1306" t="s">
        <v>148</v>
      </c>
      <c r="Q1306">
        <v>19</v>
      </c>
      <c r="R1306">
        <v>1</v>
      </c>
      <c r="S1306">
        <v>2</v>
      </c>
      <c r="T1306">
        <v>2</v>
      </c>
      <c r="U1306">
        <v>2</v>
      </c>
      <c r="V1306">
        <v>2</v>
      </c>
      <c r="W1306">
        <v>31</v>
      </c>
      <c r="X1306">
        <v>1141</v>
      </c>
      <c r="Y1306">
        <v>13251</v>
      </c>
      <c r="Z1306">
        <v>2783</v>
      </c>
      <c r="AA1306">
        <v>3</v>
      </c>
      <c r="AB1306" s="29">
        <v>44773</v>
      </c>
      <c r="AC1306" s="29">
        <v>37822</v>
      </c>
      <c r="AD1306" s="29">
        <v>44045</v>
      </c>
      <c r="AE1306" s="29"/>
      <c r="AF1306">
        <v>2</v>
      </c>
      <c r="AG1306" t="s">
        <v>157</v>
      </c>
      <c r="AI1306">
        <v>18</v>
      </c>
      <c r="AJ1306">
        <v>2</v>
      </c>
      <c r="AK1306" t="s">
        <v>170</v>
      </c>
      <c r="AL1306" t="s">
        <v>78</v>
      </c>
      <c r="AM1306">
        <f t="shared" si="100"/>
        <v>3</v>
      </c>
      <c r="AN1306">
        <f t="shared" si="101"/>
        <v>8</v>
      </c>
      <c r="AO1306" t="str">
        <f t="shared" si="102"/>
        <v/>
      </c>
      <c r="AP1306" t="str">
        <f t="shared" si="103"/>
        <v/>
      </c>
      <c r="AQ1306">
        <f t="shared" si="104"/>
        <v>2020</v>
      </c>
    </row>
    <row r="1307" spans="1:43" x14ac:dyDescent="0.35">
      <c r="A1307">
        <v>1226</v>
      </c>
      <c r="B1307">
        <v>20</v>
      </c>
      <c r="C1307" t="s">
        <v>148</v>
      </c>
      <c r="D1307" t="s">
        <v>145</v>
      </c>
      <c r="E1307" t="s">
        <v>158</v>
      </c>
      <c r="F1307" t="s">
        <v>38</v>
      </c>
      <c r="G1307" t="s">
        <v>43</v>
      </c>
      <c r="H1307" t="s">
        <v>82</v>
      </c>
      <c r="I1307" t="s">
        <v>44</v>
      </c>
      <c r="J1307" t="s">
        <v>166</v>
      </c>
      <c r="K1307" t="s">
        <v>44</v>
      </c>
      <c r="L1307" t="s">
        <v>147</v>
      </c>
      <c r="M1307" t="s">
        <v>49</v>
      </c>
      <c r="N1307" t="s">
        <v>95</v>
      </c>
      <c r="P1307" t="s">
        <v>148</v>
      </c>
      <c r="Q1307">
        <v>17</v>
      </c>
      <c r="R1307">
        <v>1</v>
      </c>
      <c r="S1307">
        <v>2</v>
      </c>
      <c r="T1307">
        <v>2</v>
      </c>
      <c r="U1307">
        <v>2</v>
      </c>
      <c r="V1307">
        <v>21</v>
      </c>
      <c r="W1307">
        <v>43</v>
      </c>
      <c r="X1307">
        <v>654</v>
      </c>
      <c r="Y1307">
        <v>5050</v>
      </c>
      <c r="Z1307">
        <v>2678</v>
      </c>
      <c r="AA1307">
        <v>2</v>
      </c>
      <c r="AB1307" s="29">
        <v>44773</v>
      </c>
      <c r="AC1307" s="29">
        <v>37665</v>
      </c>
      <c r="AD1307" s="29">
        <v>44054</v>
      </c>
      <c r="AE1307" s="29"/>
      <c r="AF1307">
        <v>2</v>
      </c>
      <c r="AG1307" t="s">
        <v>157</v>
      </c>
      <c r="AI1307">
        <v>18</v>
      </c>
      <c r="AJ1307">
        <v>2</v>
      </c>
      <c r="AK1307" t="s">
        <v>170</v>
      </c>
      <c r="AL1307" t="s">
        <v>77</v>
      </c>
      <c r="AM1307">
        <f t="shared" si="100"/>
        <v>3</v>
      </c>
      <c r="AN1307">
        <f t="shared" si="101"/>
        <v>8</v>
      </c>
      <c r="AO1307" t="str">
        <f t="shared" si="102"/>
        <v/>
      </c>
      <c r="AP1307" t="str">
        <f t="shared" si="103"/>
        <v/>
      </c>
      <c r="AQ1307">
        <f t="shared" si="104"/>
        <v>2020</v>
      </c>
    </row>
    <row r="1308" spans="1:43" x14ac:dyDescent="0.35">
      <c r="A1308">
        <v>1683</v>
      </c>
      <c r="B1308">
        <v>44</v>
      </c>
      <c r="C1308" t="s">
        <v>148</v>
      </c>
      <c r="D1308" t="s">
        <v>145</v>
      </c>
      <c r="E1308" t="s">
        <v>168</v>
      </c>
      <c r="F1308" t="s">
        <v>38</v>
      </c>
      <c r="G1308" t="s">
        <v>43</v>
      </c>
      <c r="H1308" t="s">
        <v>81</v>
      </c>
      <c r="I1308" t="s">
        <v>43</v>
      </c>
      <c r="J1308" t="s">
        <v>168</v>
      </c>
      <c r="K1308" t="s">
        <v>44</v>
      </c>
      <c r="L1308" t="s">
        <v>147</v>
      </c>
      <c r="M1308" t="s">
        <v>49</v>
      </c>
      <c r="N1308" t="s">
        <v>96</v>
      </c>
      <c r="O1308" t="s">
        <v>43</v>
      </c>
      <c r="P1308" t="s">
        <v>144</v>
      </c>
      <c r="Q1308">
        <v>18</v>
      </c>
      <c r="R1308">
        <v>4</v>
      </c>
      <c r="S1308">
        <v>8</v>
      </c>
      <c r="T1308">
        <v>2</v>
      </c>
      <c r="U1308">
        <v>2</v>
      </c>
      <c r="V1308">
        <v>1</v>
      </c>
      <c r="W1308">
        <v>44</v>
      </c>
      <c r="X1308">
        <v>528</v>
      </c>
      <c r="Y1308">
        <v>4167</v>
      </c>
      <c r="Z1308">
        <v>3195</v>
      </c>
      <c r="AA1308">
        <v>2</v>
      </c>
      <c r="AB1308" s="29">
        <v>44773</v>
      </c>
      <c r="AC1308" s="29">
        <v>28903</v>
      </c>
      <c r="AD1308" s="29">
        <v>44162</v>
      </c>
      <c r="AE1308" s="29"/>
      <c r="AF1308">
        <v>2</v>
      </c>
      <c r="AG1308" t="s">
        <v>153</v>
      </c>
      <c r="AI1308">
        <v>42</v>
      </c>
      <c r="AJ1308">
        <v>1</v>
      </c>
      <c r="AK1308" t="s">
        <v>170</v>
      </c>
      <c r="AL1308" t="s">
        <v>77</v>
      </c>
      <c r="AM1308">
        <f t="shared" si="100"/>
        <v>4</v>
      </c>
      <c r="AN1308">
        <f t="shared" si="101"/>
        <v>11</v>
      </c>
      <c r="AO1308" t="str">
        <f t="shared" si="102"/>
        <v/>
      </c>
      <c r="AP1308" t="str">
        <f t="shared" si="103"/>
        <v/>
      </c>
      <c r="AQ1308">
        <f t="shared" si="104"/>
        <v>2020</v>
      </c>
    </row>
    <row r="1309" spans="1:43" x14ac:dyDescent="0.35">
      <c r="A1309">
        <v>712</v>
      </c>
      <c r="B1309">
        <v>48</v>
      </c>
      <c r="C1309" t="s">
        <v>148</v>
      </c>
      <c r="D1309" t="s">
        <v>145</v>
      </c>
      <c r="E1309" t="s">
        <v>158</v>
      </c>
      <c r="F1309" t="s">
        <v>35</v>
      </c>
      <c r="G1309" t="s">
        <v>42</v>
      </c>
      <c r="H1309" t="s">
        <v>82</v>
      </c>
      <c r="I1309" t="s">
        <v>44</v>
      </c>
      <c r="J1309" t="s">
        <v>159</v>
      </c>
      <c r="K1309" t="s">
        <v>42</v>
      </c>
      <c r="L1309" t="s">
        <v>147</v>
      </c>
      <c r="M1309" t="s">
        <v>49</v>
      </c>
      <c r="N1309" t="s">
        <v>160</v>
      </c>
      <c r="P1309" t="s">
        <v>148</v>
      </c>
      <c r="Q1309">
        <v>12</v>
      </c>
      <c r="R1309">
        <v>3</v>
      </c>
      <c r="S1309">
        <v>12</v>
      </c>
      <c r="T1309">
        <v>2</v>
      </c>
      <c r="U1309">
        <v>2</v>
      </c>
      <c r="V1309">
        <v>2</v>
      </c>
      <c r="W1309">
        <v>56</v>
      </c>
      <c r="X1309">
        <v>817</v>
      </c>
      <c r="Y1309">
        <v>18597</v>
      </c>
      <c r="Z1309">
        <v>8120</v>
      </c>
      <c r="AA1309">
        <v>3</v>
      </c>
      <c r="AB1309" s="29">
        <v>44773</v>
      </c>
      <c r="AC1309" s="29">
        <v>27561</v>
      </c>
      <c r="AD1309" s="29">
        <v>44196</v>
      </c>
      <c r="AE1309" s="29"/>
      <c r="AF1309">
        <v>2</v>
      </c>
      <c r="AG1309" t="s">
        <v>153</v>
      </c>
      <c r="AI1309">
        <v>46</v>
      </c>
      <c r="AJ1309">
        <v>2</v>
      </c>
      <c r="AK1309" t="s">
        <v>170</v>
      </c>
      <c r="AL1309" t="s">
        <v>77</v>
      </c>
      <c r="AM1309">
        <f t="shared" si="100"/>
        <v>4</v>
      </c>
      <c r="AN1309">
        <f t="shared" si="101"/>
        <v>12</v>
      </c>
      <c r="AO1309" t="str">
        <f t="shared" si="102"/>
        <v/>
      </c>
      <c r="AP1309" t="str">
        <f t="shared" si="103"/>
        <v/>
      </c>
      <c r="AQ1309">
        <f t="shared" si="104"/>
        <v>2020</v>
      </c>
    </row>
    <row r="1310" spans="1:43" x14ac:dyDescent="0.35">
      <c r="A1310">
        <v>1466</v>
      </c>
      <c r="B1310">
        <v>48</v>
      </c>
      <c r="C1310" t="s">
        <v>148</v>
      </c>
      <c r="D1310" t="s">
        <v>145</v>
      </c>
      <c r="E1310" t="s">
        <v>158</v>
      </c>
      <c r="F1310" t="s">
        <v>38</v>
      </c>
      <c r="G1310" t="s">
        <v>43</v>
      </c>
      <c r="H1310" t="s">
        <v>82</v>
      </c>
      <c r="I1310" t="s">
        <v>43</v>
      </c>
      <c r="J1310" t="s">
        <v>159</v>
      </c>
      <c r="K1310" t="s">
        <v>41</v>
      </c>
      <c r="L1310" t="s">
        <v>147</v>
      </c>
      <c r="M1310" t="s">
        <v>49</v>
      </c>
      <c r="N1310" t="s">
        <v>96</v>
      </c>
      <c r="O1310" t="s">
        <v>43</v>
      </c>
      <c r="P1310" t="s">
        <v>148</v>
      </c>
      <c r="Q1310">
        <v>11</v>
      </c>
      <c r="R1310">
        <v>4</v>
      </c>
      <c r="S1310">
        <v>15</v>
      </c>
      <c r="T1310">
        <v>2</v>
      </c>
      <c r="U1310">
        <v>2</v>
      </c>
      <c r="V1310">
        <v>7</v>
      </c>
      <c r="W1310">
        <v>96</v>
      </c>
      <c r="X1310">
        <v>1221</v>
      </c>
      <c r="Y1310">
        <v>24795</v>
      </c>
      <c r="Z1310">
        <v>5486</v>
      </c>
      <c r="AA1310">
        <v>3</v>
      </c>
      <c r="AB1310" s="29">
        <v>44773</v>
      </c>
      <c r="AC1310" s="29">
        <v>27309</v>
      </c>
      <c r="AD1310" s="29">
        <v>44196</v>
      </c>
      <c r="AE1310" s="29"/>
      <c r="AF1310">
        <v>2</v>
      </c>
      <c r="AG1310" t="s">
        <v>153</v>
      </c>
      <c r="AI1310">
        <v>46</v>
      </c>
      <c r="AJ1310">
        <v>1</v>
      </c>
      <c r="AK1310" t="s">
        <v>170</v>
      </c>
      <c r="AL1310" t="s">
        <v>78</v>
      </c>
      <c r="AM1310">
        <f t="shared" si="100"/>
        <v>4</v>
      </c>
      <c r="AN1310">
        <f t="shared" si="101"/>
        <v>12</v>
      </c>
      <c r="AO1310" t="str">
        <f t="shared" si="102"/>
        <v/>
      </c>
      <c r="AP1310" t="str">
        <f t="shared" si="103"/>
        <v/>
      </c>
      <c r="AQ1310">
        <f t="shared" si="104"/>
        <v>2020</v>
      </c>
    </row>
    <row r="1311" spans="1:43" x14ac:dyDescent="0.35">
      <c r="A1311">
        <v>183</v>
      </c>
      <c r="B1311">
        <v>25</v>
      </c>
      <c r="C1311" t="s">
        <v>148</v>
      </c>
      <c r="D1311" t="s">
        <v>145</v>
      </c>
      <c r="E1311" t="s">
        <v>158</v>
      </c>
      <c r="F1311" t="s">
        <v>38</v>
      </c>
      <c r="G1311" t="s">
        <v>41</v>
      </c>
      <c r="H1311" t="s">
        <v>82</v>
      </c>
      <c r="I1311" t="s">
        <v>42</v>
      </c>
      <c r="J1311" t="s">
        <v>159</v>
      </c>
      <c r="K1311" t="s">
        <v>43</v>
      </c>
      <c r="L1311" t="s">
        <v>147</v>
      </c>
      <c r="M1311" t="s">
        <v>49</v>
      </c>
      <c r="N1311" t="s">
        <v>160</v>
      </c>
      <c r="P1311" t="s">
        <v>148</v>
      </c>
      <c r="Q1311">
        <v>18</v>
      </c>
      <c r="R1311">
        <v>2</v>
      </c>
      <c r="S1311">
        <v>6</v>
      </c>
      <c r="T1311">
        <v>2</v>
      </c>
      <c r="U1311">
        <v>2</v>
      </c>
      <c r="V1311">
        <v>28</v>
      </c>
      <c r="W1311">
        <v>41</v>
      </c>
      <c r="X1311">
        <v>959</v>
      </c>
      <c r="Y1311">
        <v>24835</v>
      </c>
      <c r="Z1311">
        <v>8639</v>
      </c>
      <c r="AA1311">
        <v>3</v>
      </c>
      <c r="AB1311" s="29">
        <v>44773</v>
      </c>
      <c r="AC1311" s="29">
        <v>35890</v>
      </c>
      <c r="AD1311" s="29">
        <v>44203</v>
      </c>
      <c r="AE1311" s="29"/>
      <c r="AF1311">
        <v>2</v>
      </c>
      <c r="AG1311" t="s">
        <v>157</v>
      </c>
      <c r="AI1311">
        <v>23</v>
      </c>
      <c r="AJ1311">
        <v>1</v>
      </c>
      <c r="AK1311" t="s">
        <v>170</v>
      </c>
      <c r="AL1311" t="s">
        <v>77</v>
      </c>
      <c r="AM1311">
        <f t="shared" si="100"/>
        <v>1</v>
      </c>
      <c r="AN1311">
        <f t="shared" si="101"/>
        <v>1</v>
      </c>
      <c r="AO1311" t="str">
        <f t="shared" si="102"/>
        <v/>
      </c>
      <c r="AP1311" t="str">
        <f t="shared" si="103"/>
        <v/>
      </c>
      <c r="AQ1311">
        <f t="shared" si="104"/>
        <v>2021</v>
      </c>
    </row>
    <row r="1312" spans="1:43" x14ac:dyDescent="0.35">
      <c r="A1312">
        <v>766</v>
      </c>
      <c r="B1312">
        <v>29</v>
      </c>
      <c r="C1312" t="s">
        <v>148</v>
      </c>
      <c r="D1312" t="s">
        <v>145</v>
      </c>
      <c r="E1312" t="s">
        <v>158</v>
      </c>
      <c r="F1312" t="s">
        <v>38</v>
      </c>
      <c r="G1312" t="s">
        <v>44</v>
      </c>
      <c r="H1312" t="s">
        <v>82</v>
      </c>
      <c r="I1312" t="s">
        <v>43</v>
      </c>
      <c r="J1312" t="s">
        <v>166</v>
      </c>
      <c r="K1312" t="s">
        <v>42</v>
      </c>
      <c r="L1312" t="s">
        <v>147</v>
      </c>
      <c r="M1312" t="s">
        <v>49</v>
      </c>
      <c r="N1312" t="s">
        <v>96</v>
      </c>
      <c r="O1312" t="s">
        <v>156</v>
      </c>
      <c r="P1312" t="s">
        <v>148</v>
      </c>
      <c r="Q1312">
        <v>14</v>
      </c>
      <c r="R1312">
        <v>1</v>
      </c>
      <c r="S1312">
        <v>2</v>
      </c>
      <c r="T1312">
        <v>2</v>
      </c>
      <c r="U1312">
        <v>2</v>
      </c>
      <c r="V1312">
        <v>10</v>
      </c>
      <c r="W1312">
        <v>83</v>
      </c>
      <c r="X1312">
        <v>1090</v>
      </c>
      <c r="Y1312">
        <v>17967</v>
      </c>
      <c r="Z1312">
        <v>2297</v>
      </c>
      <c r="AA1312">
        <v>2</v>
      </c>
      <c r="AB1312" s="29">
        <v>44773</v>
      </c>
      <c r="AC1312" s="29">
        <v>34181</v>
      </c>
      <c r="AD1312" s="29">
        <v>44210</v>
      </c>
      <c r="AE1312" s="29"/>
      <c r="AF1312">
        <v>2</v>
      </c>
      <c r="AG1312" t="s">
        <v>157</v>
      </c>
      <c r="AI1312">
        <v>27</v>
      </c>
      <c r="AJ1312">
        <v>1</v>
      </c>
      <c r="AK1312" t="s">
        <v>170</v>
      </c>
      <c r="AL1312" t="s">
        <v>77</v>
      </c>
      <c r="AM1312">
        <f t="shared" si="100"/>
        <v>1</v>
      </c>
      <c r="AN1312">
        <f t="shared" si="101"/>
        <v>1</v>
      </c>
      <c r="AO1312" t="str">
        <f t="shared" si="102"/>
        <v/>
      </c>
      <c r="AP1312" t="str">
        <f t="shared" si="103"/>
        <v/>
      </c>
      <c r="AQ1312">
        <f t="shared" si="104"/>
        <v>2021</v>
      </c>
    </row>
    <row r="1313" spans="1:43" x14ac:dyDescent="0.35">
      <c r="A1313">
        <v>374</v>
      </c>
      <c r="B1313">
        <v>55</v>
      </c>
      <c r="C1313" t="s">
        <v>148</v>
      </c>
      <c r="D1313" t="s">
        <v>145</v>
      </c>
      <c r="E1313" t="s">
        <v>4</v>
      </c>
      <c r="F1313" t="s">
        <v>38</v>
      </c>
      <c r="G1313" t="s">
        <v>44</v>
      </c>
      <c r="H1313" t="s">
        <v>82</v>
      </c>
      <c r="I1313" t="s">
        <v>43</v>
      </c>
      <c r="J1313" t="s">
        <v>169</v>
      </c>
      <c r="K1313" t="s">
        <v>41</v>
      </c>
      <c r="L1313" t="s">
        <v>147</v>
      </c>
      <c r="M1313" t="s">
        <v>49</v>
      </c>
      <c r="N1313" t="s">
        <v>95</v>
      </c>
      <c r="P1313" t="s">
        <v>144</v>
      </c>
      <c r="Q1313">
        <v>14</v>
      </c>
      <c r="R1313">
        <v>0</v>
      </c>
      <c r="S1313">
        <v>37</v>
      </c>
      <c r="T1313">
        <v>3</v>
      </c>
      <c r="U1313">
        <v>3</v>
      </c>
      <c r="V1313">
        <v>1</v>
      </c>
      <c r="W1313">
        <v>81</v>
      </c>
      <c r="X1313">
        <v>452</v>
      </c>
      <c r="Y1313">
        <v>18938</v>
      </c>
      <c r="Z1313">
        <v>19045</v>
      </c>
      <c r="AA1313">
        <v>2</v>
      </c>
      <c r="AB1313" s="29">
        <v>44773</v>
      </c>
      <c r="AC1313" s="29">
        <v>24696</v>
      </c>
      <c r="AD1313" s="29">
        <v>43778</v>
      </c>
      <c r="AE1313" s="29"/>
      <c r="AF1313">
        <v>3</v>
      </c>
      <c r="AG1313" t="s">
        <v>167</v>
      </c>
      <c r="AI1313">
        <v>52</v>
      </c>
      <c r="AJ1313">
        <v>1</v>
      </c>
      <c r="AK1313" t="s">
        <v>170</v>
      </c>
      <c r="AL1313" t="s">
        <v>77</v>
      </c>
      <c r="AM1313">
        <f t="shared" si="100"/>
        <v>4</v>
      </c>
      <c r="AN1313">
        <f t="shared" si="101"/>
        <v>11</v>
      </c>
      <c r="AO1313" t="str">
        <f t="shared" si="102"/>
        <v/>
      </c>
      <c r="AP1313" t="str">
        <f t="shared" si="103"/>
        <v/>
      </c>
      <c r="AQ1313">
        <f t="shared" si="104"/>
        <v>2019</v>
      </c>
    </row>
    <row r="1314" spans="1:43" x14ac:dyDescent="0.35">
      <c r="A1314">
        <v>259</v>
      </c>
      <c r="B1314">
        <v>52</v>
      </c>
      <c r="C1314" t="s">
        <v>148</v>
      </c>
      <c r="D1314" t="s">
        <v>145</v>
      </c>
      <c r="E1314" t="s">
        <v>4</v>
      </c>
      <c r="F1314" t="s">
        <v>37</v>
      </c>
      <c r="G1314" t="s">
        <v>43</v>
      </c>
      <c r="H1314" t="s">
        <v>82</v>
      </c>
      <c r="I1314" t="s">
        <v>42</v>
      </c>
      <c r="J1314" t="s">
        <v>169</v>
      </c>
      <c r="K1314" t="s">
        <v>43</v>
      </c>
      <c r="L1314" t="s">
        <v>147</v>
      </c>
      <c r="M1314" t="s">
        <v>49</v>
      </c>
      <c r="N1314" t="s">
        <v>160</v>
      </c>
      <c r="O1314" t="s">
        <v>41</v>
      </c>
      <c r="P1314" t="s">
        <v>148</v>
      </c>
      <c r="Q1314">
        <v>14</v>
      </c>
      <c r="R1314">
        <v>0</v>
      </c>
      <c r="S1314">
        <v>34</v>
      </c>
      <c r="T1314">
        <v>11</v>
      </c>
      <c r="U1314">
        <v>9</v>
      </c>
      <c r="V1314">
        <v>1</v>
      </c>
      <c r="W1314">
        <v>65</v>
      </c>
      <c r="X1314">
        <v>699</v>
      </c>
      <c r="Y1314">
        <v>5678</v>
      </c>
      <c r="Z1314">
        <v>19999</v>
      </c>
      <c r="AA1314">
        <v>5</v>
      </c>
      <c r="AB1314" s="29">
        <v>44773</v>
      </c>
      <c r="AC1314" s="29">
        <v>26033</v>
      </c>
      <c r="AD1314" s="29">
        <v>32879</v>
      </c>
      <c r="AE1314" s="29"/>
      <c r="AF1314">
        <v>33</v>
      </c>
      <c r="AG1314" t="s">
        <v>167</v>
      </c>
      <c r="AI1314">
        <v>19</v>
      </c>
      <c r="AJ1314">
        <v>1</v>
      </c>
      <c r="AK1314" t="s">
        <v>163</v>
      </c>
      <c r="AL1314" t="s">
        <v>77</v>
      </c>
      <c r="AM1314">
        <f t="shared" si="100"/>
        <v>1</v>
      </c>
      <c r="AN1314">
        <f t="shared" si="101"/>
        <v>1</v>
      </c>
      <c r="AO1314" t="str">
        <f t="shared" si="102"/>
        <v/>
      </c>
      <c r="AP1314" t="str">
        <f t="shared" si="103"/>
        <v/>
      </c>
      <c r="AQ1314">
        <f t="shared" si="104"/>
        <v>1990</v>
      </c>
    </row>
    <row r="1315" spans="1:43" x14ac:dyDescent="0.35">
      <c r="A1315">
        <v>549</v>
      </c>
      <c r="B1315">
        <v>60</v>
      </c>
      <c r="C1315" t="s">
        <v>148</v>
      </c>
      <c r="D1315" t="s">
        <v>145</v>
      </c>
      <c r="E1315" t="s">
        <v>4</v>
      </c>
      <c r="F1315" t="s">
        <v>38</v>
      </c>
      <c r="G1315" t="s">
        <v>41</v>
      </c>
      <c r="H1315" t="s">
        <v>81</v>
      </c>
      <c r="I1315" t="s">
        <v>43</v>
      </c>
      <c r="J1315" t="s">
        <v>169</v>
      </c>
      <c r="K1315" t="s">
        <v>41</v>
      </c>
      <c r="L1315" t="s">
        <v>147</v>
      </c>
      <c r="M1315" t="s">
        <v>47</v>
      </c>
      <c r="N1315" t="s">
        <v>160</v>
      </c>
      <c r="P1315" t="s">
        <v>148</v>
      </c>
      <c r="Q1315">
        <v>11</v>
      </c>
      <c r="R1315">
        <v>5</v>
      </c>
      <c r="S1315">
        <v>33</v>
      </c>
      <c r="T1315">
        <v>11</v>
      </c>
      <c r="U1315">
        <v>10</v>
      </c>
      <c r="V1315">
        <v>7</v>
      </c>
      <c r="W1315">
        <v>41</v>
      </c>
      <c r="X1315">
        <v>422</v>
      </c>
      <c r="Y1315">
        <v>3854</v>
      </c>
      <c r="Z1315">
        <v>19566</v>
      </c>
      <c r="AA1315">
        <v>5</v>
      </c>
      <c r="AB1315" s="29">
        <v>44773</v>
      </c>
      <c r="AC1315" s="29">
        <v>22925</v>
      </c>
      <c r="AD1315" s="29">
        <v>34375</v>
      </c>
      <c r="AE1315" s="29"/>
      <c r="AF1315">
        <v>28</v>
      </c>
      <c r="AG1315" t="s">
        <v>174</v>
      </c>
      <c r="AI1315">
        <v>32</v>
      </c>
      <c r="AJ1315">
        <v>1</v>
      </c>
      <c r="AK1315" t="s">
        <v>163</v>
      </c>
      <c r="AL1315" t="s">
        <v>77</v>
      </c>
      <c r="AM1315">
        <f t="shared" si="100"/>
        <v>1</v>
      </c>
      <c r="AN1315">
        <f t="shared" si="101"/>
        <v>2</v>
      </c>
      <c r="AO1315" t="str">
        <f t="shared" si="102"/>
        <v/>
      </c>
      <c r="AP1315" t="str">
        <f t="shared" si="103"/>
        <v/>
      </c>
      <c r="AQ1315">
        <f t="shared" si="104"/>
        <v>1994</v>
      </c>
    </row>
    <row r="1316" spans="1:43" x14ac:dyDescent="0.35">
      <c r="A1316">
        <v>569</v>
      </c>
      <c r="B1316">
        <v>50</v>
      </c>
      <c r="C1316" t="s">
        <v>148</v>
      </c>
      <c r="D1316" t="s">
        <v>145</v>
      </c>
      <c r="E1316" t="s">
        <v>4</v>
      </c>
      <c r="F1316" t="s">
        <v>37</v>
      </c>
      <c r="G1316" t="s">
        <v>42</v>
      </c>
      <c r="H1316" t="s">
        <v>82</v>
      </c>
      <c r="I1316" t="s">
        <v>42</v>
      </c>
      <c r="J1316" t="s">
        <v>169</v>
      </c>
      <c r="K1316" t="s">
        <v>43</v>
      </c>
      <c r="L1316" t="s">
        <v>147</v>
      </c>
      <c r="M1316" t="s">
        <v>49</v>
      </c>
      <c r="N1316" t="s">
        <v>160</v>
      </c>
      <c r="O1316" t="s">
        <v>41</v>
      </c>
      <c r="P1316" t="s">
        <v>148</v>
      </c>
      <c r="Q1316">
        <v>15</v>
      </c>
      <c r="R1316">
        <v>0</v>
      </c>
      <c r="S1316">
        <v>28</v>
      </c>
      <c r="T1316">
        <v>15</v>
      </c>
      <c r="U1316">
        <v>7</v>
      </c>
      <c r="V1316">
        <v>29</v>
      </c>
      <c r="W1316">
        <v>88</v>
      </c>
      <c r="X1316">
        <v>1099</v>
      </c>
      <c r="Y1316">
        <v>9314</v>
      </c>
      <c r="Z1316">
        <v>17046</v>
      </c>
      <c r="AA1316">
        <v>2</v>
      </c>
      <c r="AB1316" s="29">
        <v>44773</v>
      </c>
      <c r="AC1316" s="29">
        <v>26776</v>
      </c>
      <c r="AD1316" s="29">
        <v>35022</v>
      </c>
      <c r="AE1316" s="29"/>
      <c r="AF1316">
        <v>27</v>
      </c>
      <c r="AG1316" t="s">
        <v>167</v>
      </c>
      <c r="AI1316">
        <v>23</v>
      </c>
      <c r="AJ1316">
        <v>1</v>
      </c>
      <c r="AK1316" t="s">
        <v>163</v>
      </c>
      <c r="AL1316" t="s">
        <v>77</v>
      </c>
      <c r="AM1316">
        <f t="shared" si="100"/>
        <v>4</v>
      </c>
      <c r="AN1316">
        <f t="shared" si="101"/>
        <v>11</v>
      </c>
      <c r="AO1316" t="str">
        <f t="shared" si="102"/>
        <v/>
      </c>
      <c r="AP1316" t="str">
        <f t="shared" si="103"/>
        <v/>
      </c>
      <c r="AQ1316">
        <f t="shared" si="104"/>
        <v>1995</v>
      </c>
    </row>
    <row r="1317" spans="1:43" x14ac:dyDescent="0.35">
      <c r="A1317">
        <v>80</v>
      </c>
      <c r="B1317">
        <v>50</v>
      </c>
      <c r="C1317" t="s">
        <v>148</v>
      </c>
      <c r="D1317" t="s">
        <v>145</v>
      </c>
      <c r="E1317" t="s">
        <v>4</v>
      </c>
      <c r="F1317" t="s">
        <v>36</v>
      </c>
      <c r="G1317" t="s">
        <v>42</v>
      </c>
      <c r="H1317" t="s">
        <v>81</v>
      </c>
      <c r="I1317" t="s">
        <v>42</v>
      </c>
      <c r="J1317" t="s">
        <v>173</v>
      </c>
      <c r="K1317" t="s">
        <v>43</v>
      </c>
      <c r="L1317" t="s">
        <v>147</v>
      </c>
      <c r="M1317" t="s">
        <v>48</v>
      </c>
      <c r="N1317" t="s">
        <v>96</v>
      </c>
      <c r="O1317" t="s">
        <v>41</v>
      </c>
      <c r="P1317" t="s">
        <v>144</v>
      </c>
      <c r="Q1317">
        <v>12</v>
      </c>
      <c r="R1317">
        <v>5</v>
      </c>
      <c r="S1317">
        <v>29</v>
      </c>
      <c r="T1317">
        <v>13</v>
      </c>
      <c r="U1317">
        <v>8</v>
      </c>
      <c r="V1317">
        <v>7</v>
      </c>
      <c r="W1317">
        <v>43</v>
      </c>
      <c r="X1317">
        <v>989</v>
      </c>
      <c r="Y1317">
        <v>16701</v>
      </c>
      <c r="Z1317">
        <v>18740</v>
      </c>
      <c r="AA1317">
        <v>2</v>
      </c>
      <c r="AB1317" s="29">
        <v>44773</v>
      </c>
      <c r="AC1317" s="29">
        <v>26687</v>
      </c>
      <c r="AD1317" s="29">
        <v>35103</v>
      </c>
      <c r="AE1317" s="29"/>
      <c r="AF1317">
        <v>26</v>
      </c>
      <c r="AG1317" t="s">
        <v>167</v>
      </c>
      <c r="AI1317">
        <v>24</v>
      </c>
      <c r="AJ1317">
        <v>1</v>
      </c>
      <c r="AK1317" t="s">
        <v>163</v>
      </c>
      <c r="AL1317" t="s">
        <v>77</v>
      </c>
      <c r="AM1317">
        <f t="shared" si="100"/>
        <v>1</v>
      </c>
      <c r="AN1317">
        <f t="shared" si="101"/>
        <v>2</v>
      </c>
      <c r="AO1317" t="str">
        <f t="shared" si="102"/>
        <v/>
      </c>
      <c r="AP1317" t="str">
        <f t="shared" si="103"/>
        <v/>
      </c>
      <c r="AQ1317">
        <f t="shared" si="104"/>
        <v>1996</v>
      </c>
    </row>
    <row r="1318" spans="1:43" x14ac:dyDescent="0.35">
      <c r="A1318">
        <v>820</v>
      </c>
      <c r="B1318">
        <v>47</v>
      </c>
      <c r="C1318" t="s">
        <v>148</v>
      </c>
      <c r="D1318" t="s">
        <v>145</v>
      </c>
      <c r="E1318" t="s">
        <v>4</v>
      </c>
      <c r="F1318" t="s">
        <v>36</v>
      </c>
      <c r="G1318" t="s">
        <v>43</v>
      </c>
      <c r="H1318" t="s">
        <v>81</v>
      </c>
      <c r="I1318" t="s">
        <v>43</v>
      </c>
      <c r="J1318" t="s">
        <v>169</v>
      </c>
      <c r="K1318" t="s">
        <v>44</v>
      </c>
      <c r="L1318" t="s">
        <v>147</v>
      </c>
      <c r="M1318" t="s">
        <v>48</v>
      </c>
      <c r="N1318" t="s">
        <v>160</v>
      </c>
      <c r="O1318" t="s">
        <v>41</v>
      </c>
      <c r="P1318" t="s">
        <v>144</v>
      </c>
      <c r="Q1318">
        <v>11</v>
      </c>
      <c r="R1318">
        <v>1</v>
      </c>
      <c r="S1318">
        <v>26</v>
      </c>
      <c r="T1318">
        <v>3</v>
      </c>
      <c r="U1318">
        <v>0</v>
      </c>
      <c r="V1318">
        <v>2</v>
      </c>
      <c r="W1318">
        <v>33</v>
      </c>
      <c r="X1318">
        <v>202</v>
      </c>
      <c r="Y1318">
        <v>12982</v>
      </c>
      <c r="Z1318">
        <v>16752</v>
      </c>
      <c r="AA1318">
        <v>3</v>
      </c>
      <c r="AB1318" s="29">
        <v>44773</v>
      </c>
      <c r="AC1318" s="29">
        <v>27700</v>
      </c>
      <c r="AD1318" s="29">
        <v>35399</v>
      </c>
      <c r="AE1318" s="29"/>
      <c r="AF1318">
        <v>26</v>
      </c>
      <c r="AG1318" t="s">
        <v>153</v>
      </c>
      <c r="AI1318">
        <v>21</v>
      </c>
      <c r="AJ1318">
        <v>1</v>
      </c>
      <c r="AK1318" t="s">
        <v>163</v>
      </c>
      <c r="AL1318" t="s">
        <v>77</v>
      </c>
      <c r="AM1318">
        <f t="shared" si="100"/>
        <v>4</v>
      </c>
      <c r="AN1318">
        <f t="shared" si="101"/>
        <v>11</v>
      </c>
      <c r="AO1318" t="str">
        <f t="shared" si="102"/>
        <v/>
      </c>
      <c r="AP1318" t="str">
        <f t="shared" si="103"/>
        <v/>
      </c>
      <c r="AQ1318">
        <f t="shared" si="104"/>
        <v>1996</v>
      </c>
    </row>
    <row r="1319" spans="1:43" x14ac:dyDescent="0.35">
      <c r="A1319">
        <v>520</v>
      </c>
      <c r="B1319">
        <v>43</v>
      </c>
      <c r="C1319" t="s">
        <v>148</v>
      </c>
      <c r="D1319" t="s">
        <v>145</v>
      </c>
      <c r="E1319" t="s">
        <v>4</v>
      </c>
      <c r="F1319" t="s">
        <v>38</v>
      </c>
      <c r="G1319" t="s">
        <v>41</v>
      </c>
      <c r="H1319" t="s">
        <v>82</v>
      </c>
      <c r="I1319" t="s">
        <v>42</v>
      </c>
      <c r="J1319" t="s">
        <v>173</v>
      </c>
      <c r="K1319" t="s">
        <v>42</v>
      </c>
      <c r="L1319" t="s">
        <v>147</v>
      </c>
      <c r="M1319" t="s">
        <v>49</v>
      </c>
      <c r="N1319" t="s">
        <v>96</v>
      </c>
      <c r="O1319" t="s">
        <v>41</v>
      </c>
      <c r="P1319" t="s">
        <v>148</v>
      </c>
      <c r="Q1319">
        <v>11</v>
      </c>
      <c r="R1319">
        <v>1</v>
      </c>
      <c r="S1319">
        <v>25</v>
      </c>
      <c r="T1319">
        <v>3</v>
      </c>
      <c r="U1319">
        <v>9</v>
      </c>
      <c r="V1319">
        <v>12</v>
      </c>
      <c r="W1319">
        <v>59</v>
      </c>
      <c r="X1319">
        <v>982</v>
      </c>
      <c r="Y1319">
        <v>4345</v>
      </c>
      <c r="Z1319">
        <v>14336</v>
      </c>
      <c r="AA1319">
        <v>3</v>
      </c>
      <c r="AB1319" s="29">
        <v>44773</v>
      </c>
      <c r="AC1319" s="29">
        <v>29382</v>
      </c>
      <c r="AD1319" s="29">
        <v>35837</v>
      </c>
      <c r="AE1319" s="29"/>
      <c r="AF1319">
        <v>24</v>
      </c>
      <c r="AG1319" t="s">
        <v>153</v>
      </c>
      <c r="AI1319">
        <v>19</v>
      </c>
      <c r="AJ1319">
        <v>1</v>
      </c>
      <c r="AK1319" t="s">
        <v>163</v>
      </c>
      <c r="AL1319" t="s">
        <v>77</v>
      </c>
      <c r="AM1319">
        <f t="shared" si="100"/>
        <v>1</v>
      </c>
      <c r="AN1319">
        <f t="shared" si="101"/>
        <v>2</v>
      </c>
      <c r="AO1319" t="str">
        <f t="shared" si="102"/>
        <v/>
      </c>
      <c r="AP1319" t="str">
        <f t="shared" si="103"/>
        <v/>
      </c>
      <c r="AQ1319">
        <f t="shared" si="104"/>
        <v>1998</v>
      </c>
    </row>
    <row r="1320" spans="1:43" x14ac:dyDescent="0.35">
      <c r="A1320">
        <v>1288</v>
      </c>
      <c r="B1320">
        <v>44</v>
      </c>
      <c r="C1320" t="s">
        <v>148</v>
      </c>
      <c r="D1320" t="s">
        <v>145</v>
      </c>
      <c r="E1320" t="s">
        <v>4</v>
      </c>
      <c r="F1320" t="s">
        <v>36</v>
      </c>
      <c r="G1320" t="s">
        <v>43</v>
      </c>
      <c r="H1320" t="s">
        <v>82</v>
      </c>
      <c r="I1320" t="s">
        <v>44</v>
      </c>
      <c r="J1320" t="s">
        <v>169</v>
      </c>
      <c r="K1320" t="s">
        <v>41</v>
      </c>
      <c r="L1320" t="s">
        <v>147</v>
      </c>
      <c r="M1320" t="s">
        <v>48</v>
      </c>
      <c r="N1320" t="s">
        <v>96</v>
      </c>
      <c r="O1320" t="s">
        <v>156</v>
      </c>
      <c r="P1320" t="s">
        <v>148</v>
      </c>
      <c r="Q1320">
        <v>14</v>
      </c>
      <c r="R1320">
        <v>1</v>
      </c>
      <c r="S1320">
        <v>26</v>
      </c>
      <c r="T1320">
        <v>14</v>
      </c>
      <c r="U1320">
        <v>13</v>
      </c>
      <c r="V1320">
        <v>4</v>
      </c>
      <c r="W1320">
        <v>92</v>
      </c>
      <c r="X1320">
        <v>1199</v>
      </c>
      <c r="Y1320">
        <v>17477</v>
      </c>
      <c r="Z1320">
        <v>19190</v>
      </c>
      <c r="AA1320">
        <v>4</v>
      </c>
      <c r="AB1320" s="29">
        <v>44773</v>
      </c>
      <c r="AC1320" s="29">
        <v>29038</v>
      </c>
      <c r="AD1320" s="29">
        <v>35953</v>
      </c>
      <c r="AE1320" s="29"/>
      <c r="AF1320">
        <v>24</v>
      </c>
      <c r="AG1320" t="s">
        <v>153</v>
      </c>
      <c r="AI1320">
        <v>20</v>
      </c>
      <c r="AJ1320">
        <v>1</v>
      </c>
      <c r="AK1320" t="s">
        <v>163</v>
      </c>
      <c r="AL1320" t="s">
        <v>77</v>
      </c>
      <c r="AM1320">
        <f t="shared" si="100"/>
        <v>2</v>
      </c>
      <c r="AN1320">
        <f t="shared" si="101"/>
        <v>6</v>
      </c>
      <c r="AO1320" t="str">
        <f t="shared" si="102"/>
        <v/>
      </c>
      <c r="AP1320" t="str">
        <f t="shared" si="103"/>
        <v/>
      </c>
      <c r="AQ1320">
        <f t="shared" si="104"/>
        <v>1998</v>
      </c>
    </row>
    <row r="1321" spans="1:43" x14ac:dyDescent="0.35">
      <c r="A1321">
        <v>254</v>
      </c>
      <c r="B1321">
        <v>55</v>
      </c>
      <c r="C1321" t="s">
        <v>148</v>
      </c>
      <c r="D1321" t="s">
        <v>145</v>
      </c>
      <c r="E1321" t="s">
        <v>4</v>
      </c>
      <c r="F1321" t="s">
        <v>37</v>
      </c>
      <c r="G1321" t="s">
        <v>43</v>
      </c>
      <c r="H1321" t="s">
        <v>82</v>
      </c>
      <c r="I1321" t="s">
        <v>44</v>
      </c>
      <c r="J1321" t="s">
        <v>173</v>
      </c>
      <c r="K1321" t="s">
        <v>42</v>
      </c>
      <c r="L1321" t="s">
        <v>147</v>
      </c>
      <c r="M1321" t="s">
        <v>49</v>
      </c>
      <c r="N1321" t="s">
        <v>95</v>
      </c>
      <c r="P1321" t="s">
        <v>148</v>
      </c>
      <c r="Q1321">
        <v>11</v>
      </c>
      <c r="R1321">
        <v>8</v>
      </c>
      <c r="S1321">
        <v>36</v>
      </c>
      <c r="T1321">
        <v>2</v>
      </c>
      <c r="U1321">
        <v>15</v>
      </c>
      <c r="V1321">
        <v>14</v>
      </c>
      <c r="W1321">
        <v>61</v>
      </c>
      <c r="X1321">
        <v>692</v>
      </c>
      <c r="Y1321">
        <v>13339</v>
      </c>
      <c r="Z1321">
        <v>18722</v>
      </c>
      <c r="AA1321">
        <v>3</v>
      </c>
      <c r="AB1321" s="29">
        <v>44773</v>
      </c>
      <c r="AC1321" s="29">
        <v>24731</v>
      </c>
      <c r="AD1321" s="29">
        <v>36122</v>
      </c>
      <c r="AE1321" s="29"/>
      <c r="AF1321">
        <v>24</v>
      </c>
      <c r="AG1321" t="s">
        <v>167</v>
      </c>
      <c r="AI1321">
        <v>31</v>
      </c>
      <c r="AJ1321">
        <v>1</v>
      </c>
      <c r="AK1321" t="s">
        <v>163</v>
      </c>
      <c r="AL1321" t="s">
        <v>77</v>
      </c>
      <c r="AM1321">
        <f t="shared" si="100"/>
        <v>4</v>
      </c>
      <c r="AN1321">
        <f t="shared" si="101"/>
        <v>11</v>
      </c>
      <c r="AO1321" t="str">
        <f t="shared" si="102"/>
        <v/>
      </c>
      <c r="AP1321" t="str">
        <f t="shared" si="103"/>
        <v/>
      </c>
      <c r="AQ1321">
        <f t="shared" si="104"/>
        <v>1998</v>
      </c>
    </row>
    <row r="1322" spans="1:43" x14ac:dyDescent="0.35">
      <c r="A1322">
        <v>36</v>
      </c>
      <c r="B1322">
        <v>44</v>
      </c>
      <c r="C1322" t="s">
        <v>148</v>
      </c>
      <c r="D1322" t="s">
        <v>145</v>
      </c>
      <c r="E1322" t="s">
        <v>4</v>
      </c>
      <c r="F1322" t="s">
        <v>37</v>
      </c>
      <c r="G1322" t="s">
        <v>41</v>
      </c>
      <c r="H1322" t="s">
        <v>81</v>
      </c>
      <c r="I1322" t="s">
        <v>42</v>
      </c>
      <c r="J1322" t="s">
        <v>161</v>
      </c>
      <c r="K1322" t="s">
        <v>44</v>
      </c>
      <c r="L1322" t="s">
        <v>147</v>
      </c>
      <c r="M1322" t="s">
        <v>49</v>
      </c>
      <c r="N1322" t="s">
        <v>160</v>
      </c>
      <c r="O1322" t="s">
        <v>41</v>
      </c>
      <c r="P1322" t="s">
        <v>148</v>
      </c>
      <c r="Q1322">
        <v>14</v>
      </c>
      <c r="R1322">
        <v>3</v>
      </c>
      <c r="S1322">
        <v>24</v>
      </c>
      <c r="T1322">
        <v>5</v>
      </c>
      <c r="U1322">
        <v>17</v>
      </c>
      <c r="V1322">
        <v>7</v>
      </c>
      <c r="W1322">
        <v>42</v>
      </c>
      <c r="X1322">
        <v>477</v>
      </c>
      <c r="Y1322">
        <v>2094</v>
      </c>
      <c r="Z1322">
        <v>10248</v>
      </c>
      <c r="AA1322">
        <v>4</v>
      </c>
      <c r="AB1322" s="29">
        <v>44773</v>
      </c>
      <c r="AC1322" s="29">
        <v>29045</v>
      </c>
      <c r="AD1322" s="29">
        <v>36879</v>
      </c>
      <c r="AE1322" s="29"/>
      <c r="AF1322">
        <v>22</v>
      </c>
      <c r="AG1322" t="s">
        <v>153</v>
      </c>
      <c r="AI1322">
        <v>22</v>
      </c>
      <c r="AJ1322">
        <v>1</v>
      </c>
      <c r="AK1322" t="s">
        <v>163</v>
      </c>
      <c r="AL1322" t="s">
        <v>77</v>
      </c>
      <c r="AM1322">
        <f t="shared" si="100"/>
        <v>4</v>
      </c>
      <c r="AN1322">
        <f t="shared" si="101"/>
        <v>12</v>
      </c>
      <c r="AO1322" t="str">
        <f t="shared" si="102"/>
        <v/>
      </c>
      <c r="AP1322" t="str">
        <f t="shared" si="103"/>
        <v/>
      </c>
      <c r="AQ1322">
        <f t="shared" si="104"/>
        <v>2000</v>
      </c>
    </row>
    <row r="1323" spans="1:43" x14ac:dyDescent="0.35">
      <c r="A1323">
        <v>2031</v>
      </c>
      <c r="B1323">
        <v>42</v>
      </c>
      <c r="C1323" t="s">
        <v>148</v>
      </c>
      <c r="D1323" t="s">
        <v>145</v>
      </c>
      <c r="E1323" t="s">
        <v>4</v>
      </c>
      <c r="F1323" t="s">
        <v>38</v>
      </c>
      <c r="G1323" t="s">
        <v>41</v>
      </c>
      <c r="H1323" t="s">
        <v>82</v>
      </c>
      <c r="I1323" t="s">
        <v>43</v>
      </c>
      <c r="J1323" t="s">
        <v>169</v>
      </c>
      <c r="K1323" t="s">
        <v>43</v>
      </c>
      <c r="L1323" t="s">
        <v>147</v>
      </c>
      <c r="M1323" t="s">
        <v>48</v>
      </c>
      <c r="N1323" t="s">
        <v>160</v>
      </c>
      <c r="P1323" t="s">
        <v>148</v>
      </c>
      <c r="Q1323">
        <v>11</v>
      </c>
      <c r="R1323">
        <v>5</v>
      </c>
      <c r="S1323">
        <v>24</v>
      </c>
      <c r="T1323">
        <v>4</v>
      </c>
      <c r="U1323">
        <v>14</v>
      </c>
      <c r="V1323">
        <v>2</v>
      </c>
      <c r="W1323">
        <v>56</v>
      </c>
      <c r="X1323">
        <v>300</v>
      </c>
      <c r="Y1323">
        <v>17312</v>
      </c>
      <c r="Z1323">
        <v>18880</v>
      </c>
      <c r="AA1323">
        <v>2</v>
      </c>
      <c r="AB1323" s="29">
        <v>44773</v>
      </c>
      <c r="AC1323" s="29">
        <v>29700</v>
      </c>
      <c r="AD1323" s="29">
        <v>36915</v>
      </c>
      <c r="AE1323" s="29"/>
      <c r="AF1323">
        <v>22</v>
      </c>
      <c r="AG1323" t="s">
        <v>153</v>
      </c>
      <c r="AI1323">
        <v>20</v>
      </c>
      <c r="AJ1323">
        <v>1</v>
      </c>
      <c r="AK1323" t="s">
        <v>163</v>
      </c>
      <c r="AL1323" t="s">
        <v>77</v>
      </c>
      <c r="AM1323">
        <f t="shared" si="100"/>
        <v>1</v>
      </c>
      <c r="AN1323">
        <f t="shared" si="101"/>
        <v>1</v>
      </c>
      <c r="AO1323" t="str">
        <f t="shared" si="102"/>
        <v/>
      </c>
      <c r="AP1323" t="str">
        <f t="shared" si="103"/>
        <v/>
      </c>
      <c r="AQ1323">
        <f t="shared" si="104"/>
        <v>2001</v>
      </c>
    </row>
    <row r="1324" spans="1:43" x14ac:dyDescent="0.35">
      <c r="A1324">
        <v>319</v>
      </c>
      <c r="B1324">
        <v>42</v>
      </c>
      <c r="C1324" t="s">
        <v>148</v>
      </c>
      <c r="D1324" t="s">
        <v>145</v>
      </c>
      <c r="E1324" t="s">
        <v>4</v>
      </c>
      <c r="F1324" t="s">
        <v>36</v>
      </c>
      <c r="G1324" t="s">
        <v>43</v>
      </c>
      <c r="H1324" t="s">
        <v>82</v>
      </c>
      <c r="I1324" t="s">
        <v>43</v>
      </c>
      <c r="J1324" t="s">
        <v>169</v>
      </c>
      <c r="K1324" t="s">
        <v>44</v>
      </c>
      <c r="L1324" t="s">
        <v>147</v>
      </c>
      <c r="M1324" t="s">
        <v>49</v>
      </c>
      <c r="N1324" t="s">
        <v>160</v>
      </c>
      <c r="P1324" t="s">
        <v>148</v>
      </c>
      <c r="Q1324">
        <v>11</v>
      </c>
      <c r="R1324">
        <v>1</v>
      </c>
      <c r="S1324">
        <v>22</v>
      </c>
      <c r="T1324">
        <v>11</v>
      </c>
      <c r="U1324">
        <v>15</v>
      </c>
      <c r="V1324">
        <v>4</v>
      </c>
      <c r="W1324">
        <v>58</v>
      </c>
      <c r="X1324">
        <v>532</v>
      </c>
      <c r="Y1324">
        <v>4933</v>
      </c>
      <c r="Z1324">
        <v>19232</v>
      </c>
      <c r="AA1324">
        <v>3</v>
      </c>
      <c r="AB1324" s="29">
        <v>44773</v>
      </c>
      <c r="AC1324" s="29">
        <v>29676</v>
      </c>
      <c r="AD1324" s="29">
        <v>36990</v>
      </c>
      <c r="AE1324" s="29"/>
      <c r="AF1324">
        <v>21</v>
      </c>
      <c r="AG1324" t="s">
        <v>153</v>
      </c>
      <c r="AI1324">
        <v>21</v>
      </c>
      <c r="AJ1324">
        <v>1</v>
      </c>
      <c r="AK1324" t="s">
        <v>163</v>
      </c>
      <c r="AL1324" t="s">
        <v>77</v>
      </c>
      <c r="AM1324">
        <f t="shared" si="100"/>
        <v>2</v>
      </c>
      <c r="AN1324">
        <f t="shared" si="101"/>
        <v>4</v>
      </c>
      <c r="AO1324" t="str">
        <f t="shared" si="102"/>
        <v/>
      </c>
      <c r="AP1324" t="str">
        <f t="shared" si="103"/>
        <v/>
      </c>
      <c r="AQ1324">
        <f t="shared" si="104"/>
        <v>2001</v>
      </c>
    </row>
    <row r="1325" spans="1:43" x14ac:dyDescent="0.35">
      <c r="A1325">
        <v>1867</v>
      </c>
      <c r="B1325">
        <v>48</v>
      </c>
      <c r="C1325" t="s">
        <v>148</v>
      </c>
      <c r="D1325" t="s">
        <v>145</v>
      </c>
      <c r="E1325" t="s">
        <v>4</v>
      </c>
      <c r="F1325" t="s">
        <v>38</v>
      </c>
      <c r="G1325" t="s">
        <v>44</v>
      </c>
      <c r="H1325" t="s">
        <v>82</v>
      </c>
      <c r="I1325" t="s">
        <v>42</v>
      </c>
      <c r="J1325" t="s">
        <v>173</v>
      </c>
      <c r="K1325" t="s">
        <v>42</v>
      </c>
      <c r="L1325" t="s">
        <v>147</v>
      </c>
      <c r="M1325" t="s">
        <v>49</v>
      </c>
      <c r="N1325" t="s">
        <v>160</v>
      </c>
      <c r="P1325" t="s">
        <v>148</v>
      </c>
      <c r="Q1325">
        <v>12</v>
      </c>
      <c r="R1325">
        <v>4</v>
      </c>
      <c r="S1325">
        <v>29</v>
      </c>
      <c r="T1325">
        <v>12</v>
      </c>
      <c r="U1325">
        <v>9</v>
      </c>
      <c r="V1325">
        <v>10</v>
      </c>
      <c r="W1325">
        <v>91</v>
      </c>
      <c r="X1325">
        <v>1224</v>
      </c>
      <c r="Y1325">
        <v>13583</v>
      </c>
      <c r="Z1325">
        <v>19665</v>
      </c>
      <c r="AA1325">
        <v>3</v>
      </c>
      <c r="AB1325" s="29">
        <v>44773</v>
      </c>
      <c r="AC1325" s="29">
        <v>27490</v>
      </c>
      <c r="AD1325" s="29">
        <v>37005</v>
      </c>
      <c r="AE1325" s="29"/>
      <c r="AF1325">
        <v>21</v>
      </c>
      <c r="AG1325" t="s">
        <v>153</v>
      </c>
      <c r="AI1325">
        <v>27</v>
      </c>
      <c r="AJ1325">
        <v>1</v>
      </c>
      <c r="AK1325" t="s">
        <v>163</v>
      </c>
      <c r="AL1325" t="s">
        <v>77</v>
      </c>
      <c r="AM1325">
        <f t="shared" si="100"/>
        <v>2</v>
      </c>
      <c r="AN1325">
        <f t="shared" si="101"/>
        <v>4</v>
      </c>
      <c r="AO1325" t="str">
        <f t="shared" si="102"/>
        <v/>
      </c>
      <c r="AP1325" t="str">
        <f t="shared" si="103"/>
        <v/>
      </c>
      <c r="AQ1325">
        <f t="shared" si="104"/>
        <v>2001</v>
      </c>
    </row>
    <row r="1326" spans="1:43" x14ac:dyDescent="0.35">
      <c r="A1326">
        <v>1109</v>
      </c>
      <c r="B1326">
        <v>42</v>
      </c>
      <c r="C1326" t="s">
        <v>148</v>
      </c>
      <c r="D1326" t="s">
        <v>145</v>
      </c>
      <c r="E1326" t="s">
        <v>4</v>
      </c>
      <c r="F1326" t="s">
        <v>36</v>
      </c>
      <c r="G1326" t="s">
        <v>44</v>
      </c>
      <c r="H1326" t="s">
        <v>82</v>
      </c>
      <c r="I1326" t="s">
        <v>43</v>
      </c>
      <c r="J1326" t="s">
        <v>169</v>
      </c>
      <c r="K1326" t="s">
        <v>41</v>
      </c>
      <c r="L1326" t="s">
        <v>147</v>
      </c>
      <c r="M1326" t="s">
        <v>49</v>
      </c>
      <c r="N1326" t="s">
        <v>160</v>
      </c>
      <c r="O1326" t="s">
        <v>41</v>
      </c>
      <c r="P1326" t="s">
        <v>148</v>
      </c>
      <c r="Q1326">
        <v>17</v>
      </c>
      <c r="R1326">
        <v>0</v>
      </c>
      <c r="S1326">
        <v>23</v>
      </c>
      <c r="T1326">
        <v>13</v>
      </c>
      <c r="U1326">
        <v>7</v>
      </c>
      <c r="V1326">
        <v>2</v>
      </c>
      <c r="W1326">
        <v>35</v>
      </c>
      <c r="X1326">
        <v>469</v>
      </c>
      <c r="Y1326">
        <v>14399</v>
      </c>
      <c r="Z1326">
        <v>17665</v>
      </c>
      <c r="AA1326">
        <v>3</v>
      </c>
      <c r="AB1326" s="29">
        <v>44773</v>
      </c>
      <c r="AC1326" s="29">
        <v>29719</v>
      </c>
      <c r="AD1326" s="29">
        <v>37043</v>
      </c>
      <c r="AE1326" s="29"/>
      <c r="AF1326">
        <v>21</v>
      </c>
      <c r="AG1326" t="s">
        <v>153</v>
      </c>
      <c r="AI1326">
        <v>21</v>
      </c>
      <c r="AJ1326">
        <v>1</v>
      </c>
      <c r="AK1326" t="s">
        <v>163</v>
      </c>
      <c r="AL1326" t="s">
        <v>77</v>
      </c>
      <c r="AM1326">
        <f t="shared" si="100"/>
        <v>2</v>
      </c>
      <c r="AN1326">
        <f t="shared" si="101"/>
        <v>6</v>
      </c>
      <c r="AO1326" t="str">
        <f t="shared" si="102"/>
        <v/>
      </c>
      <c r="AP1326" t="str">
        <f t="shared" si="103"/>
        <v/>
      </c>
      <c r="AQ1326">
        <f t="shared" si="104"/>
        <v>2001</v>
      </c>
    </row>
    <row r="1327" spans="1:43" x14ac:dyDescent="0.35">
      <c r="A1327">
        <v>1827</v>
      </c>
      <c r="B1327">
        <v>47</v>
      </c>
      <c r="C1327" t="s">
        <v>148</v>
      </c>
      <c r="D1327" t="s">
        <v>145</v>
      </c>
      <c r="E1327" t="s">
        <v>4</v>
      </c>
      <c r="F1327" t="s">
        <v>38</v>
      </c>
      <c r="G1327" t="s">
        <v>43</v>
      </c>
      <c r="H1327" t="s">
        <v>81</v>
      </c>
      <c r="I1327" t="s">
        <v>42</v>
      </c>
      <c r="J1327" t="s">
        <v>165</v>
      </c>
      <c r="K1327" t="s">
        <v>42</v>
      </c>
      <c r="L1327" t="s">
        <v>147</v>
      </c>
      <c r="M1327" t="s">
        <v>49</v>
      </c>
      <c r="N1327" t="s">
        <v>96</v>
      </c>
      <c r="O1327" t="s">
        <v>41</v>
      </c>
      <c r="P1327" t="s">
        <v>144</v>
      </c>
      <c r="Q1327">
        <v>12</v>
      </c>
      <c r="R1327">
        <v>8</v>
      </c>
      <c r="S1327">
        <v>28</v>
      </c>
      <c r="T1327">
        <v>14</v>
      </c>
      <c r="U1327">
        <v>10</v>
      </c>
      <c r="V1327">
        <v>4</v>
      </c>
      <c r="W1327">
        <v>92</v>
      </c>
      <c r="X1327">
        <v>1001</v>
      </c>
      <c r="Y1327">
        <v>19271</v>
      </c>
      <c r="Z1327">
        <v>10333</v>
      </c>
      <c r="AA1327">
        <v>4</v>
      </c>
      <c r="AB1327" s="29">
        <v>44773</v>
      </c>
      <c r="AC1327" s="29">
        <v>27905</v>
      </c>
      <c r="AD1327" s="29">
        <v>37098</v>
      </c>
      <c r="AE1327" s="29"/>
      <c r="AF1327">
        <v>21</v>
      </c>
      <c r="AG1327" t="s">
        <v>153</v>
      </c>
      <c r="AI1327">
        <v>26</v>
      </c>
      <c r="AJ1327">
        <v>1</v>
      </c>
      <c r="AK1327" t="s">
        <v>163</v>
      </c>
      <c r="AL1327" t="s">
        <v>77</v>
      </c>
      <c r="AM1327">
        <f t="shared" si="100"/>
        <v>3</v>
      </c>
      <c r="AN1327">
        <f t="shared" si="101"/>
        <v>7</v>
      </c>
      <c r="AO1327" t="str">
        <f t="shared" si="102"/>
        <v/>
      </c>
      <c r="AP1327" t="str">
        <f t="shared" si="103"/>
        <v/>
      </c>
      <c r="AQ1327">
        <f t="shared" si="104"/>
        <v>2001</v>
      </c>
    </row>
    <row r="1328" spans="1:43" x14ac:dyDescent="0.35">
      <c r="A1328">
        <v>1026</v>
      </c>
      <c r="B1328">
        <v>39</v>
      </c>
      <c r="C1328" t="s">
        <v>148</v>
      </c>
      <c r="D1328" t="s">
        <v>145</v>
      </c>
      <c r="E1328" t="s">
        <v>4</v>
      </c>
      <c r="F1328" t="s">
        <v>35</v>
      </c>
      <c r="G1328" t="s">
        <v>44</v>
      </c>
      <c r="H1328" t="s">
        <v>81</v>
      </c>
      <c r="I1328" t="s">
        <v>42</v>
      </c>
      <c r="J1328" t="s">
        <v>165</v>
      </c>
      <c r="K1328" t="s">
        <v>44</v>
      </c>
      <c r="L1328" t="s">
        <v>147</v>
      </c>
      <c r="M1328" t="s">
        <v>49</v>
      </c>
      <c r="N1328" t="s">
        <v>160</v>
      </c>
      <c r="O1328" t="s">
        <v>41</v>
      </c>
      <c r="P1328" t="s">
        <v>148</v>
      </c>
      <c r="Q1328">
        <v>16</v>
      </c>
      <c r="R1328">
        <v>1</v>
      </c>
      <c r="S1328">
        <v>21</v>
      </c>
      <c r="T1328">
        <v>11</v>
      </c>
      <c r="U1328">
        <v>8</v>
      </c>
      <c r="V1328">
        <v>1</v>
      </c>
      <c r="W1328">
        <v>65</v>
      </c>
      <c r="X1328">
        <v>466</v>
      </c>
      <c r="Y1328">
        <v>7060</v>
      </c>
      <c r="Z1328">
        <v>12742</v>
      </c>
      <c r="AA1328">
        <v>3</v>
      </c>
      <c r="AB1328" s="29">
        <v>44773</v>
      </c>
      <c r="AC1328" s="29">
        <v>30770</v>
      </c>
      <c r="AD1328" s="29">
        <v>37147</v>
      </c>
      <c r="AE1328" s="29"/>
      <c r="AF1328">
        <v>21</v>
      </c>
      <c r="AG1328" t="s">
        <v>149</v>
      </c>
      <c r="AI1328">
        <v>18</v>
      </c>
      <c r="AJ1328">
        <v>1</v>
      </c>
      <c r="AK1328" t="s">
        <v>163</v>
      </c>
      <c r="AL1328" t="s">
        <v>78</v>
      </c>
      <c r="AM1328">
        <f t="shared" si="100"/>
        <v>3</v>
      </c>
      <c r="AN1328">
        <f t="shared" si="101"/>
        <v>9</v>
      </c>
      <c r="AO1328" t="str">
        <f t="shared" si="102"/>
        <v/>
      </c>
      <c r="AP1328" t="str">
        <f t="shared" si="103"/>
        <v/>
      </c>
      <c r="AQ1328">
        <f t="shared" si="104"/>
        <v>2001</v>
      </c>
    </row>
    <row r="1329" spans="1:43" x14ac:dyDescent="0.35">
      <c r="A1329">
        <v>1719</v>
      </c>
      <c r="B1329">
        <v>45</v>
      </c>
      <c r="C1329" t="s">
        <v>148</v>
      </c>
      <c r="D1329" t="s">
        <v>145</v>
      </c>
      <c r="E1329" t="s">
        <v>4</v>
      </c>
      <c r="F1329" t="s">
        <v>36</v>
      </c>
      <c r="G1329" t="s">
        <v>44</v>
      </c>
      <c r="H1329" t="s">
        <v>81</v>
      </c>
      <c r="I1329" t="s">
        <v>42</v>
      </c>
      <c r="J1329" t="s">
        <v>173</v>
      </c>
      <c r="K1329" t="s">
        <v>42</v>
      </c>
      <c r="L1329" t="s">
        <v>147</v>
      </c>
      <c r="M1329" t="s">
        <v>49</v>
      </c>
      <c r="N1329" t="s">
        <v>95</v>
      </c>
      <c r="P1329" t="s">
        <v>148</v>
      </c>
      <c r="Q1329">
        <v>11</v>
      </c>
      <c r="R1329">
        <v>1</v>
      </c>
      <c r="S1329">
        <v>21</v>
      </c>
      <c r="T1329">
        <v>8</v>
      </c>
      <c r="U1329">
        <v>6</v>
      </c>
      <c r="V1329">
        <v>28</v>
      </c>
      <c r="W1329">
        <v>48</v>
      </c>
      <c r="X1329">
        <v>1005</v>
      </c>
      <c r="Y1329">
        <v>17119</v>
      </c>
      <c r="Z1329">
        <v>16704</v>
      </c>
      <c r="AA1329">
        <v>2</v>
      </c>
      <c r="AB1329" s="29">
        <v>44773</v>
      </c>
      <c r="AC1329" s="29">
        <v>28617</v>
      </c>
      <c r="AD1329" s="29">
        <v>37161</v>
      </c>
      <c r="AE1329" s="29"/>
      <c r="AF1329">
        <v>21</v>
      </c>
      <c r="AG1329" t="s">
        <v>153</v>
      </c>
      <c r="AI1329">
        <v>24</v>
      </c>
      <c r="AJ1329">
        <v>1</v>
      </c>
      <c r="AK1329" t="s">
        <v>163</v>
      </c>
      <c r="AL1329" t="s">
        <v>77</v>
      </c>
      <c r="AM1329">
        <f t="shared" si="100"/>
        <v>3</v>
      </c>
      <c r="AN1329">
        <f t="shared" si="101"/>
        <v>9</v>
      </c>
      <c r="AO1329" t="str">
        <f t="shared" si="102"/>
        <v/>
      </c>
      <c r="AP1329" t="str">
        <f t="shared" si="103"/>
        <v/>
      </c>
      <c r="AQ1329">
        <f t="shared" si="104"/>
        <v>2001</v>
      </c>
    </row>
    <row r="1330" spans="1:43" x14ac:dyDescent="0.35">
      <c r="A1330">
        <v>429</v>
      </c>
      <c r="B1330">
        <v>39</v>
      </c>
      <c r="C1330" t="s">
        <v>148</v>
      </c>
      <c r="D1330" t="s">
        <v>145</v>
      </c>
      <c r="E1330" t="s">
        <v>4</v>
      </c>
      <c r="F1330" t="s">
        <v>35</v>
      </c>
      <c r="G1330" t="s">
        <v>43</v>
      </c>
      <c r="H1330" t="s">
        <v>82</v>
      </c>
      <c r="I1330" t="s">
        <v>43</v>
      </c>
      <c r="J1330" t="s">
        <v>169</v>
      </c>
      <c r="K1330" t="s">
        <v>41</v>
      </c>
      <c r="L1330" t="s">
        <v>147</v>
      </c>
      <c r="M1330" t="s">
        <v>49</v>
      </c>
      <c r="N1330" t="s">
        <v>160</v>
      </c>
      <c r="P1330" t="s">
        <v>144</v>
      </c>
      <c r="Q1330">
        <v>14</v>
      </c>
      <c r="R1330">
        <v>1</v>
      </c>
      <c r="S1330">
        <v>21</v>
      </c>
      <c r="T1330">
        <v>11</v>
      </c>
      <c r="U1330">
        <v>10</v>
      </c>
      <c r="V1330">
        <v>10</v>
      </c>
      <c r="W1330">
        <v>99</v>
      </c>
      <c r="X1330">
        <v>117</v>
      </c>
      <c r="Y1330">
        <v>5355</v>
      </c>
      <c r="Z1330">
        <v>17068</v>
      </c>
      <c r="AA1330">
        <v>3</v>
      </c>
      <c r="AB1330" s="29">
        <v>44773</v>
      </c>
      <c r="AC1330" s="29">
        <v>30761</v>
      </c>
      <c r="AD1330" s="29">
        <v>37224</v>
      </c>
      <c r="AE1330" s="29"/>
      <c r="AF1330">
        <v>21</v>
      </c>
      <c r="AG1330" t="s">
        <v>149</v>
      </c>
      <c r="AI1330">
        <v>18</v>
      </c>
      <c r="AJ1330">
        <v>1</v>
      </c>
      <c r="AK1330" t="s">
        <v>163</v>
      </c>
      <c r="AL1330" t="s">
        <v>77</v>
      </c>
      <c r="AM1330">
        <f t="shared" si="100"/>
        <v>4</v>
      </c>
      <c r="AN1330">
        <f t="shared" si="101"/>
        <v>11</v>
      </c>
      <c r="AO1330" t="str">
        <f t="shared" si="102"/>
        <v/>
      </c>
      <c r="AP1330" t="str">
        <f t="shared" si="103"/>
        <v/>
      </c>
      <c r="AQ1330">
        <f t="shared" si="104"/>
        <v>2001</v>
      </c>
    </row>
    <row r="1331" spans="1:43" x14ac:dyDescent="0.35">
      <c r="A1331">
        <v>352</v>
      </c>
      <c r="B1331">
        <v>40</v>
      </c>
      <c r="C1331" t="s">
        <v>148</v>
      </c>
      <c r="D1331" t="s">
        <v>145</v>
      </c>
      <c r="E1331" t="s">
        <v>4</v>
      </c>
      <c r="F1331" t="s">
        <v>36</v>
      </c>
      <c r="G1331" t="s">
        <v>41</v>
      </c>
      <c r="H1331" t="s">
        <v>82</v>
      </c>
      <c r="I1331" t="s">
        <v>43</v>
      </c>
      <c r="J1331" t="s">
        <v>173</v>
      </c>
      <c r="K1331" t="s">
        <v>43</v>
      </c>
      <c r="L1331" t="s">
        <v>147</v>
      </c>
      <c r="M1331" t="s">
        <v>49</v>
      </c>
      <c r="N1331" t="s">
        <v>96</v>
      </c>
      <c r="O1331" t="s">
        <v>41</v>
      </c>
      <c r="P1331" t="s">
        <v>148</v>
      </c>
      <c r="Q1331">
        <v>19</v>
      </c>
      <c r="R1331">
        <v>0</v>
      </c>
      <c r="S1331">
        <v>22</v>
      </c>
      <c r="T1331">
        <v>3</v>
      </c>
      <c r="U1331">
        <v>9</v>
      </c>
      <c r="V1331">
        <v>2</v>
      </c>
      <c r="W1331">
        <v>49</v>
      </c>
      <c r="X1331">
        <v>1416</v>
      </c>
      <c r="Y1331">
        <v>5949</v>
      </c>
      <c r="Z1331">
        <v>19436</v>
      </c>
      <c r="AA1331">
        <v>5</v>
      </c>
      <c r="AB1331" s="29">
        <v>44773</v>
      </c>
      <c r="AC1331" s="29">
        <v>30221</v>
      </c>
      <c r="AD1331" s="29">
        <v>37404</v>
      </c>
      <c r="AE1331" s="29"/>
      <c r="AF1331">
        <v>20</v>
      </c>
      <c r="AG1331" t="s">
        <v>153</v>
      </c>
      <c r="AI1331">
        <v>20</v>
      </c>
      <c r="AJ1331">
        <v>1</v>
      </c>
      <c r="AK1331" t="s">
        <v>163</v>
      </c>
      <c r="AL1331" t="s">
        <v>77</v>
      </c>
      <c r="AM1331">
        <f t="shared" si="100"/>
        <v>2</v>
      </c>
      <c r="AN1331">
        <f t="shared" si="101"/>
        <v>5</v>
      </c>
      <c r="AO1331" t="str">
        <f t="shared" si="102"/>
        <v/>
      </c>
      <c r="AP1331" t="str">
        <f t="shared" si="103"/>
        <v/>
      </c>
      <c r="AQ1331">
        <f t="shared" si="104"/>
        <v>2002</v>
      </c>
    </row>
    <row r="1332" spans="1:43" x14ac:dyDescent="0.35">
      <c r="A1332">
        <v>1422</v>
      </c>
      <c r="B1332">
        <v>54</v>
      </c>
      <c r="C1332" t="s">
        <v>148</v>
      </c>
      <c r="D1332" t="s">
        <v>145</v>
      </c>
      <c r="E1332" t="s">
        <v>4</v>
      </c>
      <c r="F1332" t="s">
        <v>38</v>
      </c>
      <c r="G1332" t="s">
        <v>44</v>
      </c>
      <c r="H1332" t="s">
        <v>81</v>
      </c>
      <c r="I1332" t="s">
        <v>43</v>
      </c>
      <c r="J1332" t="s">
        <v>173</v>
      </c>
      <c r="K1332" t="s">
        <v>44</v>
      </c>
      <c r="L1332" t="s">
        <v>147</v>
      </c>
      <c r="M1332" t="s">
        <v>48</v>
      </c>
      <c r="N1332" t="s">
        <v>95</v>
      </c>
      <c r="P1332" t="s">
        <v>148</v>
      </c>
      <c r="Q1332">
        <v>19</v>
      </c>
      <c r="R1332">
        <v>6</v>
      </c>
      <c r="S1332">
        <v>29</v>
      </c>
      <c r="T1332">
        <v>12</v>
      </c>
      <c r="U1332">
        <v>7</v>
      </c>
      <c r="V1332">
        <v>1</v>
      </c>
      <c r="W1332">
        <v>54</v>
      </c>
      <c r="X1332">
        <v>971</v>
      </c>
      <c r="Y1332">
        <v>5652</v>
      </c>
      <c r="Z1332">
        <v>17328</v>
      </c>
      <c r="AA1332">
        <v>3</v>
      </c>
      <c r="AB1332" s="29">
        <v>44773</v>
      </c>
      <c r="AC1332" s="29">
        <v>25123</v>
      </c>
      <c r="AD1332" s="29">
        <v>37480</v>
      </c>
      <c r="AE1332" s="29"/>
      <c r="AF1332">
        <v>20</v>
      </c>
      <c r="AG1332" t="s">
        <v>167</v>
      </c>
      <c r="AI1332">
        <v>34</v>
      </c>
      <c r="AJ1332">
        <v>1</v>
      </c>
      <c r="AK1332" t="s">
        <v>163</v>
      </c>
      <c r="AL1332" t="s">
        <v>77</v>
      </c>
      <c r="AM1332">
        <f t="shared" si="100"/>
        <v>3</v>
      </c>
      <c r="AN1332">
        <f t="shared" si="101"/>
        <v>8</v>
      </c>
      <c r="AO1332" t="str">
        <f t="shared" si="102"/>
        <v/>
      </c>
      <c r="AP1332" t="str">
        <f t="shared" si="103"/>
        <v/>
      </c>
      <c r="AQ1332">
        <f t="shared" si="104"/>
        <v>2002</v>
      </c>
    </row>
    <row r="1333" spans="1:43" x14ac:dyDescent="0.35">
      <c r="A1333">
        <v>162</v>
      </c>
      <c r="B1333">
        <v>51</v>
      </c>
      <c r="C1333" t="s">
        <v>148</v>
      </c>
      <c r="D1333" t="s">
        <v>145</v>
      </c>
      <c r="E1333" t="s">
        <v>4</v>
      </c>
      <c r="F1333" t="s">
        <v>38</v>
      </c>
      <c r="G1333" t="s">
        <v>41</v>
      </c>
      <c r="H1333" t="s">
        <v>82</v>
      </c>
      <c r="I1333" t="s">
        <v>43</v>
      </c>
      <c r="J1333" t="s">
        <v>173</v>
      </c>
      <c r="K1333" t="s">
        <v>43</v>
      </c>
      <c r="L1333" t="s">
        <v>147</v>
      </c>
      <c r="M1333" t="s">
        <v>49</v>
      </c>
      <c r="N1333" t="s">
        <v>95</v>
      </c>
      <c r="P1333" t="s">
        <v>148</v>
      </c>
      <c r="Q1333">
        <v>13</v>
      </c>
      <c r="R1333">
        <v>7</v>
      </c>
      <c r="S1333">
        <v>23</v>
      </c>
      <c r="T1333">
        <v>15</v>
      </c>
      <c r="U1333">
        <v>15</v>
      </c>
      <c r="V1333">
        <v>6</v>
      </c>
      <c r="W1333">
        <v>51</v>
      </c>
      <c r="X1333">
        <v>684</v>
      </c>
      <c r="Y1333">
        <v>6462</v>
      </c>
      <c r="Z1333">
        <v>19537</v>
      </c>
      <c r="AA1333">
        <v>5</v>
      </c>
      <c r="AB1333" s="29">
        <v>44773</v>
      </c>
      <c r="AC1333" s="29">
        <v>26180</v>
      </c>
      <c r="AD1333" s="29">
        <v>37535</v>
      </c>
      <c r="AE1333" s="29"/>
      <c r="AF1333">
        <v>20</v>
      </c>
      <c r="AG1333" t="s">
        <v>167</v>
      </c>
      <c r="AI1333">
        <v>31</v>
      </c>
      <c r="AJ1333">
        <v>1</v>
      </c>
      <c r="AK1333" t="s">
        <v>163</v>
      </c>
      <c r="AL1333" t="s">
        <v>77</v>
      </c>
      <c r="AM1333">
        <f t="shared" si="100"/>
        <v>4</v>
      </c>
      <c r="AN1333">
        <f t="shared" si="101"/>
        <v>10</v>
      </c>
      <c r="AO1333" t="str">
        <f t="shared" si="102"/>
        <v/>
      </c>
      <c r="AP1333" t="str">
        <f t="shared" si="103"/>
        <v/>
      </c>
      <c r="AQ1333">
        <f t="shared" si="104"/>
        <v>2002</v>
      </c>
    </row>
    <row r="1334" spans="1:43" x14ac:dyDescent="0.35">
      <c r="A1334">
        <v>253</v>
      </c>
      <c r="B1334">
        <v>40</v>
      </c>
      <c r="C1334" t="s">
        <v>148</v>
      </c>
      <c r="D1334" t="s">
        <v>145</v>
      </c>
      <c r="E1334" t="s">
        <v>4</v>
      </c>
      <c r="F1334" t="s">
        <v>35</v>
      </c>
      <c r="G1334" t="s">
        <v>44</v>
      </c>
      <c r="H1334" t="s">
        <v>81</v>
      </c>
      <c r="I1334" t="s">
        <v>43</v>
      </c>
      <c r="J1334" t="s">
        <v>169</v>
      </c>
      <c r="K1334" t="s">
        <v>43</v>
      </c>
      <c r="L1334" t="s">
        <v>147</v>
      </c>
      <c r="M1334" t="s">
        <v>49</v>
      </c>
      <c r="N1334" t="s">
        <v>160</v>
      </c>
      <c r="O1334" t="s">
        <v>41</v>
      </c>
      <c r="P1334" t="s">
        <v>148</v>
      </c>
      <c r="Q1334">
        <v>14</v>
      </c>
      <c r="R1334">
        <v>1</v>
      </c>
      <c r="S1334">
        <v>21</v>
      </c>
      <c r="T1334">
        <v>9</v>
      </c>
      <c r="U1334">
        <v>9</v>
      </c>
      <c r="V1334">
        <v>4</v>
      </c>
      <c r="W1334">
        <v>46</v>
      </c>
      <c r="X1334">
        <v>989</v>
      </c>
      <c r="Y1334">
        <v>6499</v>
      </c>
      <c r="Z1334">
        <v>19033</v>
      </c>
      <c r="AA1334">
        <v>2</v>
      </c>
      <c r="AB1334" s="29">
        <v>44773</v>
      </c>
      <c r="AC1334" s="29">
        <v>30517</v>
      </c>
      <c r="AD1334" s="29">
        <v>37546</v>
      </c>
      <c r="AE1334" s="29"/>
      <c r="AF1334">
        <v>20</v>
      </c>
      <c r="AG1334" t="s">
        <v>153</v>
      </c>
      <c r="AI1334">
        <v>20</v>
      </c>
      <c r="AJ1334">
        <v>1</v>
      </c>
      <c r="AK1334" t="s">
        <v>163</v>
      </c>
      <c r="AL1334" t="s">
        <v>77</v>
      </c>
      <c r="AM1334">
        <f t="shared" si="100"/>
        <v>4</v>
      </c>
      <c r="AN1334">
        <f t="shared" si="101"/>
        <v>10</v>
      </c>
      <c r="AO1334" t="str">
        <f t="shared" si="102"/>
        <v/>
      </c>
      <c r="AP1334" t="str">
        <f t="shared" si="103"/>
        <v/>
      </c>
      <c r="AQ1334">
        <f t="shared" si="104"/>
        <v>2002</v>
      </c>
    </row>
    <row r="1335" spans="1:43" x14ac:dyDescent="0.35">
      <c r="A1335">
        <v>1128</v>
      </c>
      <c r="B1335">
        <v>40</v>
      </c>
      <c r="C1335" t="s">
        <v>148</v>
      </c>
      <c r="D1335" t="s">
        <v>145</v>
      </c>
      <c r="E1335" t="s">
        <v>4</v>
      </c>
      <c r="F1335" t="s">
        <v>38</v>
      </c>
      <c r="G1335" t="s">
        <v>43</v>
      </c>
      <c r="H1335" t="s">
        <v>82</v>
      </c>
      <c r="I1335" t="s">
        <v>42</v>
      </c>
      <c r="J1335" t="s">
        <v>173</v>
      </c>
      <c r="K1335" t="s">
        <v>43</v>
      </c>
      <c r="L1335" t="s">
        <v>147</v>
      </c>
      <c r="M1335" t="s">
        <v>50</v>
      </c>
      <c r="N1335" t="s">
        <v>95</v>
      </c>
      <c r="P1335" t="s">
        <v>148</v>
      </c>
      <c r="Q1335">
        <v>14</v>
      </c>
      <c r="R1335">
        <v>1</v>
      </c>
      <c r="S1335">
        <v>21</v>
      </c>
      <c r="T1335">
        <v>4</v>
      </c>
      <c r="U1335">
        <v>9</v>
      </c>
      <c r="V1335">
        <v>14</v>
      </c>
      <c r="W1335">
        <v>44</v>
      </c>
      <c r="X1335">
        <v>1308</v>
      </c>
      <c r="Y1335">
        <v>17544</v>
      </c>
      <c r="Z1335">
        <v>19626</v>
      </c>
      <c r="AA1335">
        <v>2</v>
      </c>
      <c r="AB1335" s="29">
        <v>44773</v>
      </c>
      <c r="AC1335" s="29">
        <v>30401</v>
      </c>
      <c r="AD1335" s="29">
        <v>37557</v>
      </c>
      <c r="AE1335" s="29"/>
      <c r="AF1335">
        <v>20</v>
      </c>
      <c r="AG1335" t="s">
        <v>153</v>
      </c>
      <c r="AI1335">
        <v>20</v>
      </c>
      <c r="AJ1335">
        <v>1</v>
      </c>
      <c r="AK1335" t="s">
        <v>163</v>
      </c>
      <c r="AL1335" t="s">
        <v>78</v>
      </c>
      <c r="AM1335">
        <f t="shared" si="100"/>
        <v>4</v>
      </c>
      <c r="AN1335">
        <f t="shared" si="101"/>
        <v>10</v>
      </c>
      <c r="AO1335" t="str">
        <f t="shared" si="102"/>
        <v/>
      </c>
      <c r="AP1335" t="str">
        <f t="shared" si="103"/>
        <v/>
      </c>
      <c r="AQ1335">
        <f t="shared" si="104"/>
        <v>2002</v>
      </c>
    </row>
    <row r="1336" spans="1:43" x14ac:dyDescent="0.35">
      <c r="A1336">
        <v>372</v>
      </c>
      <c r="B1336">
        <v>45</v>
      </c>
      <c r="C1336" t="s">
        <v>148</v>
      </c>
      <c r="D1336" t="s">
        <v>145</v>
      </c>
      <c r="E1336" t="s">
        <v>4</v>
      </c>
      <c r="F1336" t="s">
        <v>36</v>
      </c>
      <c r="G1336" t="s">
        <v>43</v>
      </c>
      <c r="H1336" t="s">
        <v>82</v>
      </c>
      <c r="I1336" t="s">
        <v>43</v>
      </c>
      <c r="J1336" t="s">
        <v>161</v>
      </c>
      <c r="K1336" t="s">
        <v>44</v>
      </c>
      <c r="L1336" t="s">
        <v>147</v>
      </c>
      <c r="M1336" t="s">
        <v>49</v>
      </c>
      <c r="N1336" t="s">
        <v>160</v>
      </c>
      <c r="P1336" t="s">
        <v>144</v>
      </c>
      <c r="Q1336">
        <v>14</v>
      </c>
      <c r="R1336">
        <v>0</v>
      </c>
      <c r="S1336">
        <v>21</v>
      </c>
      <c r="T1336">
        <v>4</v>
      </c>
      <c r="U1336">
        <v>10</v>
      </c>
      <c r="V1336">
        <v>20</v>
      </c>
      <c r="W1336">
        <v>79</v>
      </c>
      <c r="X1336">
        <v>1385</v>
      </c>
      <c r="Y1336">
        <v>7501</v>
      </c>
      <c r="Z1336">
        <v>13496</v>
      </c>
      <c r="AA1336">
        <v>2</v>
      </c>
      <c r="AB1336" s="29">
        <v>44773</v>
      </c>
      <c r="AC1336" s="29">
        <v>28363</v>
      </c>
      <c r="AD1336" s="29">
        <v>37718</v>
      </c>
      <c r="AE1336" s="29"/>
      <c r="AF1336">
        <v>19</v>
      </c>
      <c r="AG1336" t="s">
        <v>153</v>
      </c>
      <c r="AI1336">
        <v>26</v>
      </c>
      <c r="AJ1336">
        <v>1</v>
      </c>
      <c r="AK1336" t="s">
        <v>163</v>
      </c>
      <c r="AL1336" t="s">
        <v>77</v>
      </c>
      <c r="AM1336">
        <f t="shared" si="100"/>
        <v>2</v>
      </c>
      <c r="AN1336">
        <f t="shared" si="101"/>
        <v>4</v>
      </c>
      <c r="AO1336" t="str">
        <f t="shared" si="102"/>
        <v/>
      </c>
      <c r="AP1336" t="str">
        <f t="shared" si="103"/>
        <v/>
      </c>
      <c r="AQ1336">
        <f t="shared" si="104"/>
        <v>2003</v>
      </c>
    </row>
    <row r="1337" spans="1:43" x14ac:dyDescent="0.35">
      <c r="A1337">
        <v>601</v>
      </c>
      <c r="B1337">
        <v>40</v>
      </c>
      <c r="C1337" t="s">
        <v>148</v>
      </c>
      <c r="D1337" t="s">
        <v>145</v>
      </c>
      <c r="E1337" t="s">
        <v>4</v>
      </c>
      <c r="F1337" t="s">
        <v>38</v>
      </c>
      <c r="G1337" t="s">
        <v>42</v>
      </c>
      <c r="H1337" t="s">
        <v>81</v>
      </c>
      <c r="I1337" t="s">
        <v>43</v>
      </c>
      <c r="J1337" t="s">
        <v>165</v>
      </c>
      <c r="K1337" t="s">
        <v>43</v>
      </c>
      <c r="L1337" t="s">
        <v>147</v>
      </c>
      <c r="M1337" t="s">
        <v>49</v>
      </c>
      <c r="N1337" t="s">
        <v>95</v>
      </c>
      <c r="P1337" t="s">
        <v>148</v>
      </c>
      <c r="Q1337">
        <v>15</v>
      </c>
      <c r="R1337">
        <v>7</v>
      </c>
      <c r="S1337">
        <v>22</v>
      </c>
      <c r="T1337">
        <v>5</v>
      </c>
      <c r="U1337">
        <v>13</v>
      </c>
      <c r="V1337">
        <v>6</v>
      </c>
      <c r="W1337">
        <v>75</v>
      </c>
      <c r="X1337">
        <v>302</v>
      </c>
      <c r="Y1337">
        <v>20364</v>
      </c>
      <c r="Z1337">
        <v>13237</v>
      </c>
      <c r="AA1337">
        <v>3</v>
      </c>
      <c r="AB1337" s="29">
        <v>44773</v>
      </c>
      <c r="AC1337" s="29">
        <v>30357</v>
      </c>
      <c r="AD1337" s="29">
        <v>37727</v>
      </c>
      <c r="AE1337" s="29"/>
      <c r="AF1337">
        <v>19</v>
      </c>
      <c r="AG1337" t="s">
        <v>153</v>
      </c>
      <c r="AI1337">
        <v>21</v>
      </c>
      <c r="AJ1337">
        <v>1</v>
      </c>
      <c r="AK1337" t="s">
        <v>163</v>
      </c>
      <c r="AL1337" t="s">
        <v>77</v>
      </c>
      <c r="AM1337">
        <f t="shared" si="100"/>
        <v>2</v>
      </c>
      <c r="AN1337">
        <f t="shared" si="101"/>
        <v>4</v>
      </c>
      <c r="AO1337" t="str">
        <f t="shared" si="102"/>
        <v/>
      </c>
      <c r="AP1337" t="str">
        <f t="shared" si="103"/>
        <v/>
      </c>
      <c r="AQ1337">
        <f t="shared" si="104"/>
        <v>2003</v>
      </c>
    </row>
    <row r="1338" spans="1:43" x14ac:dyDescent="0.35">
      <c r="A1338">
        <v>1523</v>
      </c>
      <c r="B1338">
        <v>44</v>
      </c>
      <c r="C1338" t="s">
        <v>148</v>
      </c>
      <c r="D1338" t="s">
        <v>145</v>
      </c>
      <c r="E1338" t="s">
        <v>4</v>
      </c>
      <c r="F1338" t="s">
        <v>38</v>
      </c>
      <c r="G1338" t="s">
        <v>44</v>
      </c>
      <c r="H1338" t="s">
        <v>82</v>
      </c>
      <c r="I1338" t="s">
        <v>43</v>
      </c>
      <c r="J1338" t="s">
        <v>173</v>
      </c>
      <c r="K1338" t="s">
        <v>41</v>
      </c>
      <c r="L1338" t="s">
        <v>147</v>
      </c>
      <c r="M1338" t="s">
        <v>50</v>
      </c>
      <c r="N1338" t="s">
        <v>160</v>
      </c>
      <c r="O1338" t="s">
        <v>41</v>
      </c>
      <c r="P1338" t="s">
        <v>148</v>
      </c>
      <c r="Q1338">
        <v>13</v>
      </c>
      <c r="R1338">
        <v>3</v>
      </c>
      <c r="S1338">
        <v>24</v>
      </c>
      <c r="T1338">
        <v>14</v>
      </c>
      <c r="U1338">
        <v>17</v>
      </c>
      <c r="V1338">
        <v>28</v>
      </c>
      <c r="W1338">
        <v>32</v>
      </c>
      <c r="X1338">
        <v>136</v>
      </c>
      <c r="Y1338">
        <v>22074</v>
      </c>
      <c r="Z1338">
        <v>16328</v>
      </c>
      <c r="AA1338">
        <v>1</v>
      </c>
      <c r="AB1338" s="29">
        <v>44773</v>
      </c>
      <c r="AC1338" s="29">
        <v>28796</v>
      </c>
      <c r="AD1338" s="29">
        <v>37739</v>
      </c>
      <c r="AE1338" s="29"/>
      <c r="AF1338">
        <v>19</v>
      </c>
      <c r="AG1338" t="s">
        <v>153</v>
      </c>
      <c r="AI1338">
        <v>25</v>
      </c>
      <c r="AJ1338">
        <v>1</v>
      </c>
      <c r="AK1338" t="s">
        <v>163</v>
      </c>
      <c r="AL1338" t="s">
        <v>77</v>
      </c>
      <c r="AM1338">
        <f t="shared" si="100"/>
        <v>2</v>
      </c>
      <c r="AN1338">
        <f t="shared" si="101"/>
        <v>4</v>
      </c>
      <c r="AO1338" t="str">
        <f t="shared" si="102"/>
        <v/>
      </c>
      <c r="AP1338" t="str">
        <f t="shared" si="103"/>
        <v/>
      </c>
      <c r="AQ1338">
        <f t="shared" si="104"/>
        <v>2003</v>
      </c>
    </row>
    <row r="1339" spans="1:43" x14ac:dyDescent="0.35">
      <c r="A1339">
        <v>1443</v>
      </c>
      <c r="B1339">
        <v>47</v>
      </c>
      <c r="C1339" t="s">
        <v>148</v>
      </c>
      <c r="D1339" t="s">
        <v>145</v>
      </c>
      <c r="E1339" t="s">
        <v>4</v>
      </c>
      <c r="F1339" t="s">
        <v>37</v>
      </c>
      <c r="G1339" t="s">
        <v>41</v>
      </c>
      <c r="H1339" t="s">
        <v>81</v>
      </c>
      <c r="I1339" t="s">
        <v>43</v>
      </c>
      <c r="J1339" t="s">
        <v>173</v>
      </c>
      <c r="K1339" t="s">
        <v>43</v>
      </c>
      <c r="L1339" t="s">
        <v>147</v>
      </c>
      <c r="M1339" t="s">
        <v>50</v>
      </c>
      <c r="N1339" t="s">
        <v>160</v>
      </c>
      <c r="O1339" t="s">
        <v>156</v>
      </c>
      <c r="P1339" t="s">
        <v>148</v>
      </c>
      <c r="Q1339">
        <v>19</v>
      </c>
      <c r="R1339">
        <v>3</v>
      </c>
      <c r="S1339">
        <v>26</v>
      </c>
      <c r="T1339">
        <v>5</v>
      </c>
      <c r="U1339">
        <v>6</v>
      </c>
      <c r="V1339">
        <v>2</v>
      </c>
      <c r="W1339">
        <v>82</v>
      </c>
      <c r="X1339">
        <v>359</v>
      </c>
      <c r="Y1339">
        <v>26703</v>
      </c>
      <c r="Z1339">
        <v>17169</v>
      </c>
      <c r="AA1339">
        <v>2</v>
      </c>
      <c r="AB1339" s="29">
        <v>44773</v>
      </c>
      <c r="AC1339" s="29">
        <v>27757</v>
      </c>
      <c r="AD1339" s="29">
        <v>37782</v>
      </c>
      <c r="AE1339" s="29"/>
      <c r="AF1339">
        <v>19</v>
      </c>
      <c r="AG1339" t="s">
        <v>153</v>
      </c>
      <c r="AI1339">
        <v>28</v>
      </c>
      <c r="AJ1339">
        <v>1</v>
      </c>
      <c r="AK1339" t="s">
        <v>163</v>
      </c>
      <c r="AL1339" t="s">
        <v>78</v>
      </c>
      <c r="AM1339">
        <f t="shared" si="100"/>
        <v>2</v>
      </c>
      <c r="AN1339">
        <f t="shared" si="101"/>
        <v>6</v>
      </c>
      <c r="AO1339" t="str">
        <f t="shared" si="102"/>
        <v/>
      </c>
      <c r="AP1339" t="str">
        <f t="shared" si="103"/>
        <v/>
      </c>
      <c r="AQ1339">
        <f t="shared" si="104"/>
        <v>2003</v>
      </c>
    </row>
    <row r="1340" spans="1:43" x14ac:dyDescent="0.35">
      <c r="A1340">
        <v>716</v>
      </c>
      <c r="B1340">
        <v>50</v>
      </c>
      <c r="C1340" t="s">
        <v>148</v>
      </c>
      <c r="D1340" t="s">
        <v>145</v>
      </c>
      <c r="E1340" t="s">
        <v>4</v>
      </c>
      <c r="F1340" t="s">
        <v>35</v>
      </c>
      <c r="G1340" t="s">
        <v>44</v>
      </c>
      <c r="H1340" t="s">
        <v>82</v>
      </c>
      <c r="I1340" t="s">
        <v>44</v>
      </c>
      <c r="J1340" t="s">
        <v>155</v>
      </c>
      <c r="K1340" t="s">
        <v>43</v>
      </c>
      <c r="L1340" t="s">
        <v>147</v>
      </c>
      <c r="M1340" t="s">
        <v>49</v>
      </c>
      <c r="N1340" t="s">
        <v>160</v>
      </c>
      <c r="O1340" t="s">
        <v>43</v>
      </c>
      <c r="P1340" t="s">
        <v>144</v>
      </c>
      <c r="Q1340">
        <v>11</v>
      </c>
      <c r="R1340">
        <v>1</v>
      </c>
      <c r="S1340">
        <v>20</v>
      </c>
      <c r="T1340">
        <v>3</v>
      </c>
      <c r="U1340">
        <v>8</v>
      </c>
      <c r="V1340">
        <v>28</v>
      </c>
      <c r="W1340">
        <v>74</v>
      </c>
      <c r="X1340">
        <v>1207</v>
      </c>
      <c r="Y1340">
        <v>3297</v>
      </c>
      <c r="Z1340">
        <v>3221</v>
      </c>
      <c r="AA1340">
        <v>3</v>
      </c>
      <c r="AB1340" s="29">
        <v>44773</v>
      </c>
      <c r="AC1340" s="29">
        <v>26795</v>
      </c>
      <c r="AD1340" s="29">
        <v>37795</v>
      </c>
      <c r="AE1340" s="29"/>
      <c r="AF1340">
        <v>19</v>
      </c>
      <c r="AG1340" t="s">
        <v>167</v>
      </c>
      <c r="AI1340">
        <v>31</v>
      </c>
      <c r="AJ1340">
        <v>1</v>
      </c>
      <c r="AK1340" t="s">
        <v>163</v>
      </c>
      <c r="AL1340" t="s">
        <v>77</v>
      </c>
      <c r="AM1340">
        <f t="shared" si="100"/>
        <v>2</v>
      </c>
      <c r="AN1340">
        <f t="shared" si="101"/>
        <v>6</v>
      </c>
      <c r="AO1340" t="str">
        <f t="shared" si="102"/>
        <v/>
      </c>
      <c r="AP1340" t="str">
        <f t="shared" si="103"/>
        <v/>
      </c>
      <c r="AQ1340">
        <f t="shared" si="104"/>
        <v>2003</v>
      </c>
    </row>
    <row r="1341" spans="1:43" x14ac:dyDescent="0.35">
      <c r="A1341">
        <v>721</v>
      </c>
      <c r="B1341">
        <v>39</v>
      </c>
      <c r="C1341" t="s">
        <v>148</v>
      </c>
      <c r="D1341" t="s">
        <v>145</v>
      </c>
      <c r="E1341" t="s">
        <v>4</v>
      </c>
      <c r="F1341" t="s">
        <v>37</v>
      </c>
      <c r="G1341" t="s">
        <v>44</v>
      </c>
      <c r="H1341" t="s">
        <v>81</v>
      </c>
      <c r="I1341" t="s">
        <v>42</v>
      </c>
      <c r="J1341" t="s">
        <v>161</v>
      </c>
      <c r="K1341" t="s">
        <v>43</v>
      </c>
      <c r="L1341" t="s">
        <v>147</v>
      </c>
      <c r="M1341" t="s">
        <v>49</v>
      </c>
      <c r="N1341" t="s">
        <v>95</v>
      </c>
      <c r="P1341" t="s">
        <v>148</v>
      </c>
      <c r="Q1341">
        <v>11</v>
      </c>
      <c r="R1341">
        <v>1</v>
      </c>
      <c r="S1341">
        <v>20</v>
      </c>
      <c r="T1341">
        <v>11</v>
      </c>
      <c r="U1341">
        <v>10</v>
      </c>
      <c r="V1341">
        <v>2</v>
      </c>
      <c r="W1341">
        <v>80</v>
      </c>
      <c r="X1341">
        <v>408</v>
      </c>
      <c r="Y1341">
        <v>20978</v>
      </c>
      <c r="Z1341">
        <v>4553</v>
      </c>
      <c r="AA1341">
        <v>4</v>
      </c>
      <c r="AB1341" s="29">
        <v>44773</v>
      </c>
      <c r="AC1341" s="29">
        <v>30566</v>
      </c>
      <c r="AD1341" s="29">
        <v>37813</v>
      </c>
      <c r="AE1341" s="29"/>
      <c r="AF1341">
        <v>19</v>
      </c>
      <c r="AG1341" t="s">
        <v>149</v>
      </c>
      <c r="AI1341">
        <v>20</v>
      </c>
      <c r="AJ1341">
        <v>1</v>
      </c>
      <c r="AK1341" t="s">
        <v>163</v>
      </c>
      <c r="AL1341" t="s">
        <v>77</v>
      </c>
      <c r="AM1341">
        <f t="shared" si="100"/>
        <v>3</v>
      </c>
      <c r="AN1341">
        <f t="shared" si="101"/>
        <v>7</v>
      </c>
      <c r="AO1341" t="str">
        <f t="shared" si="102"/>
        <v/>
      </c>
      <c r="AP1341" t="str">
        <f t="shared" si="103"/>
        <v/>
      </c>
      <c r="AQ1341">
        <f t="shared" si="104"/>
        <v>2003</v>
      </c>
    </row>
    <row r="1342" spans="1:43" x14ac:dyDescent="0.35">
      <c r="A1342">
        <v>1373</v>
      </c>
      <c r="B1342">
        <v>56</v>
      </c>
      <c r="C1342" t="s">
        <v>148</v>
      </c>
      <c r="D1342" t="s">
        <v>145</v>
      </c>
      <c r="E1342" t="s">
        <v>4</v>
      </c>
      <c r="F1342" t="s">
        <v>38</v>
      </c>
      <c r="G1342" t="s">
        <v>44</v>
      </c>
      <c r="H1342" t="s">
        <v>82</v>
      </c>
      <c r="I1342" t="s">
        <v>43</v>
      </c>
      <c r="J1342" t="s">
        <v>165</v>
      </c>
      <c r="K1342" t="s">
        <v>42</v>
      </c>
      <c r="L1342" t="s">
        <v>147</v>
      </c>
      <c r="M1342" t="s">
        <v>49</v>
      </c>
      <c r="N1342" t="s">
        <v>160</v>
      </c>
      <c r="O1342" t="s">
        <v>41</v>
      </c>
      <c r="P1342" t="s">
        <v>144</v>
      </c>
      <c r="Q1342">
        <v>12</v>
      </c>
      <c r="R1342">
        <v>4</v>
      </c>
      <c r="S1342">
        <v>33</v>
      </c>
      <c r="T1342">
        <v>15</v>
      </c>
      <c r="U1342">
        <v>9</v>
      </c>
      <c r="V1342">
        <v>23</v>
      </c>
      <c r="W1342">
        <v>68</v>
      </c>
      <c r="X1342">
        <v>1369</v>
      </c>
      <c r="Y1342">
        <v>18235</v>
      </c>
      <c r="Z1342">
        <v>13402</v>
      </c>
      <c r="AA1342">
        <v>0</v>
      </c>
      <c r="AB1342" s="29">
        <v>44773</v>
      </c>
      <c r="AC1342" s="29">
        <v>24673</v>
      </c>
      <c r="AD1342" s="29">
        <v>37882</v>
      </c>
      <c r="AE1342" s="29"/>
      <c r="AF1342">
        <v>19</v>
      </c>
      <c r="AG1342" t="s">
        <v>167</v>
      </c>
      <c r="AI1342">
        <v>37</v>
      </c>
      <c r="AJ1342">
        <v>1</v>
      </c>
      <c r="AK1342" t="s">
        <v>163</v>
      </c>
      <c r="AL1342" t="s">
        <v>77</v>
      </c>
      <c r="AM1342">
        <f t="shared" si="100"/>
        <v>3</v>
      </c>
      <c r="AN1342">
        <f t="shared" si="101"/>
        <v>9</v>
      </c>
      <c r="AO1342" t="str">
        <f t="shared" si="102"/>
        <v/>
      </c>
      <c r="AP1342" t="str">
        <f t="shared" si="103"/>
        <v/>
      </c>
      <c r="AQ1342">
        <f t="shared" si="104"/>
        <v>2003</v>
      </c>
    </row>
    <row r="1343" spans="1:43" x14ac:dyDescent="0.35">
      <c r="A1343">
        <v>1307</v>
      </c>
      <c r="B1343">
        <v>39</v>
      </c>
      <c r="C1343" t="s">
        <v>148</v>
      </c>
      <c r="D1343" t="s">
        <v>145</v>
      </c>
      <c r="E1343" t="s">
        <v>4</v>
      </c>
      <c r="F1343" t="s">
        <v>37</v>
      </c>
      <c r="G1343" t="s">
        <v>43</v>
      </c>
      <c r="H1343" t="s">
        <v>81</v>
      </c>
      <c r="I1343" t="s">
        <v>42</v>
      </c>
      <c r="J1343" t="s">
        <v>169</v>
      </c>
      <c r="K1343" t="s">
        <v>42</v>
      </c>
      <c r="L1343" t="s">
        <v>147</v>
      </c>
      <c r="M1343" t="s">
        <v>49</v>
      </c>
      <c r="N1343" t="s">
        <v>96</v>
      </c>
      <c r="O1343" t="s">
        <v>156</v>
      </c>
      <c r="P1343" t="s">
        <v>144</v>
      </c>
      <c r="Q1343">
        <v>13</v>
      </c>
      <c r="R1343">
        <v>6</v>
      </c>
      <c r="S1343">
        <v>21</v>
      </c>
      <c r="T1343">
        <v>15</v>
      </c>
      <c r="U1343">
        <v>2</v>
      </c>
      <c r="V1343">
        <v>13</v>
      </c>
      <c r="W1343">
        <v>94</v>
      </c>
      <c r="X1343">
        <v>412</v>
      </c>
      <c r="Y1343">
        <v>17334</v>
      </c>
      <c r="Z1343">
        <v>17123</v>
      </c>
      <c r="AA1343">
        <v>4</v>
      </c>
      <c r="AB1343" s="29">
        <v>44773</v>
      </c>
      <c r="AC1343" s="29">
        <v>30576</v>
      </c>
      <c r="AD1343" s="29">
        <v>37891</v>
      </c>
      <c r="AE1343" s="29"/>
      <c r="AF1343">
        <v>19</v>
      </c>
      <c r="AG1343" t="s">
        <v>149</v>
      </c>
      <c r="AI1343">
        <v>20</v>
      </c>
      <c r="AJ1343">
        <v>1</v>
      </c>
      <c r="AK1343" t="s">
        <v>163</v>
      </c>
      <c r="AL1343" t="s">
        <v>77</v>
      </c>
      <c r="AM1343">
        <f t="shared" si="100"/>
        <v>3</v>
      </c>
      <c r="AN1343">
        <f t="shared" si="101"/>
        <v>9</v>
      </c>
      <c r="AO1343" t="str">
        <f t="shared" si="102"/>
        <v/>
      </c>
      <c r="AP1343" t="str">
        <f t="shared" si="103"/>
        <v/>
      </c>
      <c r="AQ1343">
        <f t="shared" si="104"/>
        <v>2003</v>
      </c>
    </row>
    <row r="1344" spans="1:43" x14ac:dyDescent="0.35">
      <c r="A1344">
        <v>1892</v>
      </c>
      <c r="B1344">
        <v>40</v>
      </c>
      <c r="C1344" t="s">
        <v>148</v>
      </c>
      <c r="D1344" t="s">
        <v>145</v>
      </c>
      <c r="E1344" t="s">
        <v>4</v>
      </c>
      <c r="F1344" t="s">
        <v>37</v>
      </c>
      <c r="G1344" t="s">
        <v>41</v>
      </c>
      <c r="H1344" t="s">
        <v>82</v>
      </c>
      <c r="I1344" t="s">
        <v>43</v>
      </c>
      <c r="J1344" t="s">
        <v>169</v>
      </c>
      <c r="K1344" t="s">
        <v>41</v>
      </c>
      <c r="L1344" t="s">
        <v>147</v>
      </c>
      <c r="M1344" t="s">
        <v>49</v>
      </c>
      <c r="N1344" t="s">
        <v>96</v>
      </c>
      <c r="O1344" t="s">
        <v>41</v>
      </c>
      <c r="P1344" t="s">
        <v>148</v>
      </c>
      <c r="Q1344">
        <v>11</v>
      </c>
      <c r="R1344">
        <v>2</v>
      </c>
      <c r="S1344">
        <v>22</v>
      </c>
      <c r="T1344">
        <v>11</v>
      </c>
      <c r="U1344">
        <v>16</v>
      </c>
      <c r="V1344">
        <v>1</v>
      </c>
      <c r="W1344">
        <v>98</v>
      </c>
      <c r="X1344">
        <v>1137</v>
      </c>
      <c r="Y1344">
        <v>18991</v>
      </c>
      <c r="Z1344">
        <v>16823</v>
      </c>
      <c r="AA1344">
        <v>3</v>
      </c>
      <c r="AB1344" s="29">
        <v>44773</v>
      </c>
      <c r="AC1344" s="29">
        <v>30272</v>
      </c>
      <c r="AD1344" s="29">
        <v>38052</v>
      </c>
      <c r="AE1344" s="29"/>
      <c r="AF1344">
        <v>18</v>
      </c>
      <c r="AG1344" t="s">
        <v>153</v>
      </c>
      <c r="AI1344">
        <v>22</v>
      </c>
      <c r="AJ1344">
        <v>1</v>
      </c>
      <c r="AK1344" t="s">
        <v>163</v>
      </c>
      <c r="AL1344" t="s">
        <v>77</v>
      </c>
      <c r="AM1344">
        <f t="shared" si="100"/>
        <v>1</v>
      </c>
      <c r="AN1344">
        <f t="shared" si="101"/>
        <v>3</v>
      </c>
      <c r="AO1344" t="str">
        <f t="shared" si="102"/>
        <v/>
      </c>
      <c r="AP1344" t="str">
        <f t="shared" si="103"/>
        <v/>
      </c>
      <c r="AQ1344">
        <f t="shared" si="104"/>
        <v>2004</v>
      </c>
    </row>
    <row r="1345" spans="1:43" x14ac:dyDescent="0.35">
      <c r="A1345">
        <v>1336</v>
      </c>
      <c r="B1345">
        <v>55</v>
      </c>
      <c r="C1345" t="s">
        <v>148</v>
      </c>
      <c r="D1345" t="s">
        <v>145</v>
      </c>
      <c r="E1345" t="s">
        <v>4</v>
      </c>
      <c r="F1345" t="s">
        <v>36</v>
      </c>
      <c r="G1345" t="s">
        <v>44</v>
      </c>
      <c r="H1345" t="s">
        <v>81</v>
      </c>
      <c r="I1345" t="s">
        <v>41</v>
      </c>
      <c r="J1345" t="s">
        <v>169</v>
      </c>
      <c r="K1345" t="s">
        <v>43</v>
      </c>
      <c r="L1345" t="s">
        <v>147</v>
      </c>
      <c r="M1345" t="s">
        <v>49</v>
      </c>
      <c r="N1345" t="s">
        <v>160</v>
      </c>
      <c r="O1345" t="s">
        <v>41</v>
      </c>
      <c r="P1345" t="s">
        <v>148</v>
      </c>
      <c r="Q1345">
        <v>14</v>
      </c>
      <c r="R1345">
        <v>4</v>
      </c>
      <c r="S1345">
        <v>23</v>
      </c>
      <c r="T1345">
        <v>9</v>
      </c>
      <c r="U1345">
        <v>11</v>
      </c>
      <c r="V1345">
        <v>2</v>
      </c>
      <c r="W1345">
        <v>58</v>
      </c>
      <c r="X1345">
        <v>282</v>
      </c>
      <c r="Y1345">
        <v>6992</v>
      </c>
      <c r="Z1345">
        <v>19187</v>
      </c>
      <c r="AA1345">
        <v>5</v>
      </c>
      <c r="AB1345" s="29">
        <v>44773</v>
      </c>
      <c r="AC1345" s="29">
        <v>24963</v>
      </c>
      <c r="AD1345" s="29">
        <v>38093</v>
      </c>
      <c r="AE1345" s="29"/>
      <c r="AF1345">
        <v>18</v>
      </c>
      <c r="AG1345" t="s">
        <v>167</v>
      </c>
      <c r="AI1345">
        <v>37</v>
      </c>
      <c r="AJ1345">
        <v>1</v>
      </c>
      <c r="AK1345" t="s">
        <v>163</v>
      </c>
      <c r="AL1345" t="s">
        <v>77</v>
      </c>
      <c r="AM1345">
        <f t="shared" si="100"/>
        <v>2</v>
      </c>
      <c r="AN1345">
        <f t="shared" si="101"/>
        <v>4</v>
      </c>
      <c r="AO1345" t="str">
        <f t="shared" si="102"/>
        <v/>
      </c>
      <c r="AP1345" t="str">
        <f t="shared" si="103"/>
        <v/>
      </c>
      <c r="AQ1345">
        <f t="shared" si="104"/>
        <v>2004</v>
      </c>
    </row>
    <row r="1346" spans="1:43" x14ac:dyDescent="0.35">
      <c r="A1346">
        <v>417</v>
      </c>
      <c r="B1346">
        <v>39</v>
      </c>
      <c r="C1346" t="s">
        <v>148</v>
      </c>
      <c r="D1346" t="s">
        <v>145</v>
      </c>
      <c r="E1346" t="s">
        <v>4</v>
      </c>
      <c r="F1346" t="s">
        <v>38</v>
      </c>
      <c r="G1346" t="s">
        <v>43</v>
      </c>
      <c r="H1346" t="s">
        <v>82</v>
      </c>
      <c r="I1346" t="s">
        <v>44</v>
      </c>
      <c r="J1346" t="s">
        <v>161</v>
      </c>
      <c r="K1346" t="s">
        <v>44</v>
      </c>
      <c r="L1346" t="s">
        <v>147</v>
      </c>
      <c r="M1346" t="s">
        <v>48</v>
      </c>
      <c r="N1346" t="s">
        <v>96</v>
      </c>
      <c r="O1346" t="s">
        <v>43</v>
      </c>
      <c r="P1346" t="s">
        <v>148</v>
      </c>
      <c r="Q1346">
        <v>17</v>
      </c>
      <c r="R1346">
        <v>0</v>
      </c>
      <c r="S1346">
        <v>19</v>
      </c>
      <c r="T1346">
        <v>3</v>
      </c>
      <c r="U1346">
        <v>7</v>
      </c>
      <c r="V1346">
        <v>1</v>
      </c>
      <c r="W1346">
        <v>48</v>
      </c>
      <c r="X1346">
        <v>1132</v>
      </c>
      <c r="Y1346">
        <v>10942</v>
      </c>
      <c r="Z1346">
        <v>9613</v>
      </c>
      <c r="AA1346">
        <v>5</v>
      </c>
      <c r="AB1346" s="29">
        <v>44773</v>
      </c>
      <c r="AC1346" s="29">
        <v>30599</v>
      </c>
      <c r="AD1346" s="29">
        <v>38227</v>
      </c>
      <c r="AE1346" s="29"/>
      <c r="AF1346">
        <v>18</v>
      </c>
      <c r="AG1346" t="s">
        <v>149</v>
      </c>
      <c r="AI1346">
        <v>21</v>
      </c>
      <c r="AJ1346">
        <v>1</v>
      </c>
      <c r="AK1346" t="s">
        <v>163</v>
      </c>
      <c r="AL1346" t="s">
        <v>77</v>
      </c>
      <c r="AM1346">
        <f t="shared" ref="AM1346:AM1409" si="105">ROUNDUP(MONTH(AD1346)/3,0)</f>
        <v>3</v>
      </c>
      <c r="AN1346">
        <f t="shared" ref="AN1346:AN1409" si="106">MONTH(AD1346)</f>
        <v>8</v>
      </c>
      <c r="AO1346" t="str">
        <f t="shared" ref="AO1346:AO1409" si="107">IF(C1346="Yes",ROUNDUP(MONTH(AE1346)/3,0),"")</f>
        <v/>
      </c>
      <c r="AP1346" t="str">
        <f t="shared" ref="AP1346:AP1409" si="108">IF(C1346="Yes",MONTH(AE1346),"")</f>
        <v/>
      </c>
      <c r="AQ1346">
        <f t="shared" ref="AQ1346:AQ1409" si="109">YEAR(AD1346)</f>
        <v>2004</v>
      </c>
    </row>
    <row r="1347" spans="1:43" x14ac:dyDescent="0.35">
      <c r="A1347">
        <v>515</v>
      </c>
      <c r="B1347">
        <v>37</v>
      </c>
      <c r="C1347" t="s">
        <v>148</v>
      </c>
      <c r="D1347" t="s">
        <v>145</v>
      </c>
      <c r="E1347" t="s">
        <v>4</v>
      </c>
      <c r="F1347" t="s">
        <v>38</v>
      </c>
      <c r="G1347" t="s">
        <v>44</v>
      </c>
      <c r="H1347" t="s">
        <v>81</v>
      </c>
      <c r="I1347" t="s">
        <v>43</v>
      </c>
      <c r="J1347" t="s">
        <v>155</v>
      </c>
      <c r="K1347" t="s">
        <v>41</v>
      </c>
      <c r="L1347" t="s">
        <v>147</v>
      </c>
      <c r="M1347" t="s">
        <v>48</v>
      </c>
      <c r="N1347" t="s">
        <v>96</v>
      </c>
      <c r="O1347" t="s">
        <v>41</v>
      </c>
      <c r="P1347" t="s">
        <v>148</v>
      </c>
      <c r="Q1347">
        <v>12</v>
      </c>
      <c r="R1347">
        <v>1</v>
      </c>
      <c r="S1347">
        <v>18</v>
      </c>
      <c r="T1347">
        <v>12</v>
      </c>
      <c r="U1347">
        <v>17</v>
      </c>
      <c r="V1347">
        <v>14</v>
      </c>
      <c r="W1347">
        <v>95</v>
      </c>
      <c r="X1347">
        <v>1107</v>
      </c>
      <c r="Y1347">
        <v>26914</v>
      </c>
      <c r="Z1347">
        <v>3034</v>
      </c>
      <c r="AA1347">
        <v>2</v>
      </c>
      <c r="AB1347" s="29">
        <v>44773</v>
      </c>
      <c r="AC1347" s="29">
        <v>31380</v>
      </c>
      <c r="AD1347" s="29">
        <v>38229</v>
      </c>
      <c r="AE1347" s="29"/>
      <c r="AF1347">
        <v>18</v>
      </c>
      <c r="AG1347" t="s">
        <v>149</v>
      </c>
      <c r="AI1347">
        <v>19</v>
      </c>
      <c r="AJ1347">
        <v>1</v>
      </c>
      <c r="AK1347" t="s">
        <v>163</v>
      </c>
      <c r="AL1347" t="s">
        <v>77</v>
      </c>
      <c r="AM1347">
        <f t="shared" si="105"/>
        <v>3</v>
      </c>
      <c r="AN1347">
        <f t="shared" si="106"/>
        <v>8</v>
      </c>
      <c r="AO1347" t="str">
        <f t="shared" si="107"/>
        <v/>
      </c>
      <c r="AP1347" t="str">
        <f t="shared" si="108"/>
        <v/>
      </c>
      <c r="AQ1347">
        <f t="shared" si="109"/>
        <v>2004</v>
      </c>
    </row>
    <row r="1348" spans="1:43" x14ac:dyDescent="0.35">
      <c r="A1348">
        <v>957</v>
      </c>
      <c r="B1348">
        <v>41</v>
      </c>
      <c r="C1348" t="s">
        <v>148</v>
      </c>
      <c r="D1348" t="s">
        <v>145</v>
      </c>
      <c r="E1348" t="s">
        <v>4</v>
      </c>
      <c r="F1348" t="s">
        <v>38</v>
      </c>
      <c r="G1348" t="s">
        <v>44</v>
      </c>
      <c r="H1348" t="s">
        <v>82</v>
      </c>
      <c r="I1348" t="s">
        <v>43</v>
      </c>
      <c r="J1348" t="s">
        <v>155</v>
      </c>
      <c r="K1348" t="s">
        <v>41</v>
      </c>
      <c r="L1348" t="s">
        <v>147</v>
      </c>
      <c r="M1348" t="s">
        <v>49</v>
      </c>
      <c r="N1348" t="s">
        <v>95</v>
      </c>
      <c r="P1348" t="s">
        <v>144</v>
      </c>
      <c r="Q1348">
        <v>13</v>
      </c>
      <c r="R1348">
        <v>2</v>
      </c>
      <c r="S1348">
        <v>20</v>
      </c>
      <c r="T1348">
        <v>2</v>
      </c>
      <c r="U1348">
        <v>17</v>
      </c>
      <c r="V1348">
        <v>6</v>
      </c>
      <c r="W1348">
        <v>59</v>
      </c>
      <c r="X1348">
        <v>263</v>
      </c>
      <c r="Y1348">
        <v>3119</v>
      </c>
      <c r="Z1348">
        <v>4721</v>
      </c>
      <c r="AA1348">
        <v>3</v>
      </c>
      <c r="AB1348" s="29">
        <v>44773</v>
      </c>
      <c r="AC1348" s="29">
        <v>29940</v>
      </c>
      <c r="AD1348" s="29">
        <v>38397</v>
      </c>
      <c r="AE1348" s="29"/>
      <c r="AF1348">
        <v>17</v>
      </c>
      <c r="AG1348" t="s">
        <v>153</v>
      </c>
      <c r="AI1348">
        <v>24</v>
      </c>
      <c r="AJ1348">
        <v>1</v>
      </c>
      <c r="AK1348" t="s">
        <v>163</v>
      </c>
      <c r="AL1348" t="s">
        <v>77</v>
      </c>
      <c r="AM1348">
        <f t="shared" si="105"/>
        <v>1</v>
      </c>
      <c r="AN1348">
        <f t="shared" si="106"/>
        <v>2</v>
      </c>
      <c r="AO1348" t="str">
        <f t="shared" si="107"/>
        <v/>
      </c>
      <c r="AP1348" t="str">
        <f t="shared" si="108"/>
        <v/>
      </c>
      <c r="AQ1348">
        <f t="shared" si="109"/>
        <v>2005</v>
      </c>
    </row>
    <row r="1349" spans="1:43" x14ac:dyDescent="0.35">
      <c r="A1349">
        <v>691</v>
      </c>
      <c r="B1349">
        <v>35</v>
      </c>
      <c r="C1349" t="s">
        <v>148</v>
      </c>
      <c r="D1349" t="s">
        <v>145</v>
      </c>
      <c r="E1349" t="s">
        <v>4</v>
      </c>
      <c r="F1349" t="s">
        <v>37</v>
      </c>
      <c r="G1349" t="s">
        <v>42</v>
      </c>
      <c r="H1349" t="s">
        <v>82</v>
      </c>
      <c r="I1349" t="s">
        <v>41</v>
      </c>
      <c r="J1349" t="s">
        <v>146</v>
      </c>
      <c r="K1349" t="s">
        <v>44</v>
      </c>
      <c r="L1349" t="s">
        <v>147</v>
      </c>
      <c r="M1349" t="s">
        <v>49</v>
      </c>
      <c r="N1349" t="s">
        <v>95</v>
      </c>
      <c r="P1349" t="s">
        <v>148</v>
      </c>
      <c r="Q1349">
        <v>13</v>
      </c>
      <c r="R1349">
        <v>1</v>
      </c>
      <c r="S1349">
        <v>17</v>
      </c>
      <c r="T1349">
        <v>11</v>
      </c>
      <c r="U1349">
        <v>8</v>
      </c>
      <c r="V1349">
        <v>6</v>
      </c>
      <c r="W1349">
        <v>82</v>
      </c>
      <c r="X1349">
        <v>1017</v>
      </c>
      <c r="Y1349">
        <v>19368</v>
      </c>
      <c r="Z1349">
        <v>6646</v>
      </c>
      <c r="AA1349">
        <v>3</v>
      </c>
      <c r="AB1349" s="29">
        <v>44773</v>
      </c>
      <c r="AC1349" s="29">
        <v>32171</v>
      </c>
      <c r="AD1349" s="29">
        <v>38635</v>
      </c>
      <c r="AE1349" s="29"/>
      <c r="AF1349">
        <v>17</v>
      </c>
      <c r="AG1349" t="s">
        <v>149</v>
      </c>
      <c r="AI1349">
        <v>18</v>
      </c>
      <c r="AJ1349">
        <v>1</v>
      </c>
      <c r="AK1349" t="s">
        <v>163</v>
      </c>
      <c r="AL1349" t="s">
        <v>78</v>
      </c>
      <c r="AM1349">
        <f t="shared" si="105"/>
        <v>4</v>
      </c>
      <c r="AN1349">
        <f t="shared" si="106"/>
        <v>10</v>
      </c>
      <c r="AO1349" t="str">
        <f t="shared" si="107"/>
        <v/>
      </c>
      <c r="AP1349" t="str">
        <f t="shared" si="108"/>
        <v/>
      </c>
      <c r="AQ1349">
        <f t="shared" si="109"/>
        <v>2005</v>
      </c>
    </row>
    <row r="1350" spans="1:43" x14ac:dyDescent="0.35">
      <c r="A1350">
        <v>391</v>
      </c>
      <c r="B1350">
        <v>37</v>
      </c>
      <c r="C1350" t="s">
        <v>148</v>
      </c>
      <c r="D1350" t="s">
        <v>145</v>
      </c>
      <c r="E1350" t="s">
        <v>4</v>
      </c>
      <c r="F1350" t="s">
        <v>38</v>
      </c>
      <c r="G1350" t="s">
        <v>44</v>
      </c>
      <c r="H1350" t="s">
        <v>81</v>
      </c>
      <c r="I1350" t="s">
        <v>43</v>
      </c>
      <c r="J1350" t="s">
        <v>146</v>
      </c>
      <c r="K1350" t="s">
        <v>44</v>
      </c>
      <c r="L1350" t="s">
        <v>147</v>
      </c>
      <c r="M1350" t="s">
        <v>49</v>
      </c>
      <c r="N1350" t="s">
        <v>95</v>
      </c>
      <c r="P1350" t="s">
        <v>148</v>
      </c>
      <c r="Q1350">
        <v>12</v>
      </c>
      <c r="R1350">
        <v>1</v>
      </c>
      <c r="S1350">
        <v>17</v>
      </c>
      <c r="T1350">
        <v>5</v>
      </c>
      <c r="U1350">
        <v>7</v>
      </c>
      <c r="V1350">
        <v>1</v>
      </c>
      <c r="W1350">
        <v>42</v>
      </c>
      <c r="X1350">
        <v>1372</v>
      </c>
      <c r="Y1350">
        <v>15881</v>
      </c>
      <c r="Z1350">
        <v>2115</v>
      </c>
      <c r="AA1350">
        <v>3</v>
      </c>
      <c r="AB1350" s="29">
        <v>44773</v>
      </c>
      <c r="AC1350" s="29">
        <v>31580</v>
      </c>
      <c r="AD1350" s="29">
        <v>38671</v>
      </c>
      <c r="AE1350" s="29"/>
      <c r="AF1350">
        <v>17</v>
      </c>
      <c r="AG1350" t="s">
        <v>149</v>
      </c>
      <c r="AI1350">
        <v>20</v>
      </c>
      <c r="AJ1350">
        <v>1</v>
      </c>
      <c r="AK1350" t="s">
        <v>163</v>
      </c>
      <c r="AL1350" t="s">
        <v>78</v>
      </c>
      <c r="AM1350">
        <f t="shared" si="105"/>
        <v>4</v>
      </c>
      <c r="AN1350">
        <f t="shared" si="106"/>
        <v>11</v>
      </c>
      <c r="AO1350" t="str">
        <f t="shared" si="107"/>
        <v/>
      </c>
      <c r="AP1350" t="str">
        <f t="shared" si="108"/>
        <v/>
      </c>
      <c r="AQ1350">
        <f t="shared" si="109"/>
        <v>2005</v>
      </c>
    </row>
    <row r="1351" spans="1:43" x14ac:dyDescent="0.35">
      <c r="A1351">
        <v>83</v>
      </c>
      <c r="B1351">
        <v>36</v>
      </c>
      <c r="C1351" t="s">
        <v>148</v>
      </c>
      <c r="D1351" t="s">
        <v>145</v>
      </c>
      <c r="E1351" t="s">
        <v>4</v>
      </c>
      <c r="F1351" t="s">
        <v>38</v>
      </c>
      <c r="G1351" t="s">
        <v>43</v>
      </c>
      <c r="H1351" t="s">
        <v>81</v>
      </c>
      <c r="I1351" t="s">
        <v>43</v>
      </c>
      <c r="J1351" t="s">
        <v>161</v>
      </c>
      <c r="K1351" t="s">
        <v>43</v>
      </c>
      <c r="L1351" t="s">
        <v>147</v>
      </c>
      <c r="M1351" t="s">
        <v>49</v>
      </c>
      <c r="N1351" t="s">
        <v>96</v>
      </c>
      <c r="O1351" t="s">
        <v>43</v>
      </c>
      <c r="P1351" t="s">
        <v>148</v>
      </c>
      <c r="Q1351">
        <v>13</v>
      </c>
      <c r="R1351">
        <v>1</v>
      </c>
      <c r="S1351">
        <v>17</v>
      </c>
      <c r="T1351">
        <v>12</v>
      </c>
      <c r="U1351">
        <v>8</v>
      </c>
      <c r="V1351">
        <v>8</v>
      </c>
      <c r="W1351">
        <v>59</v>
      </c>
      <c r="X1351">
        <v>1223</v>
      </c>
      <c r="Y1351">
        <v>8202</v>
      </c>
      <c r="Z1351">
        <v>10096</v>
      </c>
      <c r="AA1351">
        <v>2</v>
      </c>
      <c r="AB1351" s="29">
        <v>44773</v>
      </c>
      <c r="AC1351" s="29">
        <v>31842</v>
      </c>
      <c r="AD1351" s="29">
        <v>38794</v>
      </c>
      <c r="AE1351" s="29"/>
      <c r="AF1351">
        <v>16</v>
      </c>
      <c r="AG1351" t="s">
        <v>149</v>
      </c>
      <c r="AI1351">
        <v>20</v>
      </c>
      <c r="AJ1351">
        <v>1</v>
      </c>
      <c r="AK1351" t="s">
        <v>163</v>
      </c>
      <c r="AL1351" t="s">
        <v>77</v>
      </c>
      <c r="AM1351">
        <f t="shared" si="105"/>
        <v>1</v>
      </c>
      <c r="AN1351">
        <f t="shared" si="106"/>
        <v>3</v>
      </c>
      <c r="AO1351" t="str">
        <f t="shared" si="107"/>
        <v/>
      </c>
      <c r="AP1351" t="str">
        <f t="shared" si="108"/>
        <v/>
      </c>
      <c r="AQ1351">
        <f t="shared" si="109"/>
        <v>2006</v>
      </c>
    </row>
    <row r="1352" spans="1:43" x14ac:dyDescent="0.35">
      <c r="A1352">
        <v>1014</v>
      </c>
      <c r="B1352">
        <v>35</v>
      </c>
      <c r="C1352" t="s">
        <v>148</v>
      </c>
      <c r="D1352" t="s">
        <v>145</v>
      </c>
      <c r="E1352" t="s">
        <v>4</v>
      </c>
      <c r="F1352" t="s">
        <v>37</v>
      </c>
      <c r="G1352" t="s">
        <v>43</v>
      </c>
      <c r="H1352" t="s">
        <v>81</v>
      </c>
      <c r="I1352" t="s">
        <v>43</v>
      </c>
      <c r="J1352" t="s">
        <v>161</v>
      </c>
      <c r="K1352" t="s">
        <v>43</v>
      </c>
      <c r="L1352" t="s">
        <v>147</v>
      </c>
      <c r="M1352" t="s">
        <v>48</v>
      </c>
      <c r="N1352" t="s">
        <v>96</v>
      </c>
      <c r="O1352" t="s">
        <v>41</v>
      </c>
      <c r="P1352" t="s">
        <v>144</v>
      </c>
      <c r="Q1352">
        <v>11</v>
      </c>
      <c r="R1352">
        <v>1</v>
      </c>
      <c r="S1352">
        <v>16</v>
      </c>
      <c r="T1352">
        <v>10</v>
      </c>
      <c r="U1352">
        <v>1</v>
      </c>
      <c r="V1352">
        <v>25</v>
      </c>
      <c r="W1352">
        <v>57</v>
      </c>
      <c r="X1352">
        <v>583</v>
      </c>
      <c r="Y1352">
        <v>6975</v>
      </c>
      <c r="Z1352">
        <v>10388</v>
      </c>
      <c r="AA1352">
        <v>3</v>
      </c>
      <c r="AB1352" s="29">
        <v>44773</v>
      </c>
      <c r="AC1352" s="29">
        <v>32187</v>
      </c>
      <c r="AD1352" s="29">
        <v>39026</v>
      </c>
      <c r="AE1352" s="29"/>
      <c r="AF1352">
        <v>16</v>
      </c>
      <c r="AG1352" t="s">
        <v>149</v>
      </c>
      <c r="AI1352">
        <v>19</v>
      </c>
      <c r="AJ1352">
        <v>1</v>
      </c>
      <c r="AK1352" t="s">
        <v>163</v>
      </c>
      <c r="AL1352" t="s">
        <v>77</v>
      </c>
      <c r="AM1352">
        <f t="shared" si="105"/>
        <v>4</v>
      </c>
      <c r="AN1352">
        <f t="shared" si="106"/>
        <v>11</v>
      </c>
      <c r="AO1352" t="str">
        <f t="shared" si="107"/>
        <v/>
      </c>
      <c r="AP1352" t="str">
        <f t="shared" si="108"/>
        <v/>
      </c>
      <c r="AQ1352">
        <f t="shared" si="109"/>
        <v>2006</v>
      </c>
    </row>
    <row r="1353" spans="1:43" x14ac:dyDescent="0.35">
      <c r="A1353">
        <v>1294</v>
      </c>
      <c r="B1353">
        <v>36</v>
      </c>
      <c r="C1353" t="s">
        <v>148</v>
      </c>
      <c r="D1353" t="s">
        <v>145</v>
      </c>
      <c r="E1353" t="s">
        <v>4</v>
      </c>
      <c r="F1353" t="s">
        <v>37</v>
      </c>
      <c r="G1353" t="s">
        <v>43</v>
      </c>
      <c r="H1353" t="s">
        <v>81</v>
      </c>
      <c r="I1353" t="s">
        <v>43</v>
      </c>
      <c r="J1353" t="s">
        <v>165</v>
      </c>
      <c r="K1353" t="s">
        <v>42</v>
      </c>
      <c r="L1353" t="s">
        <v>147</v>
      </c>
      <c r="M1353" t="s">
        <v>49</v>
      </c>
      <c r="N1353" t="s">
        <v>95</v>
      </c>
      <c r="P1353" t="s">
        <v>144</v>
      </c>
      <c r="Q1353">
        <v>11</v>
      </c>
      <c r="R1353">
        <v>9</v>
      </c>
      <c r="S1353">
        <v>18</v>
      </c>
      <c r="T1353">
        <v>5</v>
      </c>
      <c r="U1353">
        <v>12</v>
      </c>
      <c r="V1353">
        <v>2</v>
      </c>
      <c r="W1353">
        <v>53</v>
      </c>
      <c r="X1353">
        <v>429</v>
      </c>
      <c r="Y1353">
        <v>2323</v>
      </c>
      <c r="Z1353">
        <v>5410</v>
      </c>
      <c r="AA1353">
        <v>2</v>
      </c>
      <c r="AB1353" s="29">
        <v>44773</v>
      </c>
      <c r="AC1353" s="29">
        <v>31653</v>
      </c>
      <c r="AD1353" s="29">
        <v>39132</v>
      </c>
      <c r="AE1353" s="29"/>
      <c r="AF1353">
        <v>15</v>
      </c>
      <c r="AG1353" t="s">
        <v>149</v>
      </c>
      <c r="AI1353">
        <v>21</v>
      </c>
      <c r="AJ1353">
        <v>1</v>
      </c>
      <c r="AK1353" t="s">
        <v>163</v>
      </c>
      <c r="AL1353" t="s">
        <v>77</v>
      </c>
      <c r="AM1353">
        <f t="shared" si="105"/>
        <v>1</v>
      </c>
      <c r="AN1353">
        <f t="shared" si="106"/>
        <v>2</v>
      </c>
      <c r="AO1353" t="str">
        <f t="shared" si="107"/>
        <v/>
      </c>
      <c r="AP1353" t="str">
        <f t="shared" si="108"/>
        <v/>
      </c>
      <c r="AQ1353">
        <f t="shared" si="109"/>
        <v>2007</v>
      </c>
    </row>
    <row r="1354" spans="1:43" x14ac:dyDescent="0.35">
      <c r="A1354">
        <v>138</v>
      </c>
      <c r="B1354">
        <v>34</v>
      </c>
      <c r="C1354" t="s">
        <v>148</v>
      </c>
      <c r="D1354" t="s">
        <v>145</v>
      </c>
      <c r="E1354" t="s">
        <v>4</v>
      </c>
      <c r="F1354" t="s">
        <v>37</v>
      </c>
      <c r="G1354" t="s">
        <v>41</v>
      </c>
      <c r="H1354" t="s">
        <v>81</v>
      </c>
      <c r="I1354" t="s">
        <v>43</v>
      </c>
      <c r="J1354" t="s">
        <v>146</v>
      </c>
      <c r="K1354" t="s">
        <v>43</v>
      </c>
      <c r="L1354" t="s">
        <v>147</v>
      </c>
      <c r="M1354" t="s">
        <v>49</v>
      </c>
      <c r="N1354" t="s">
        <v>95</v>
      </c>
      <c r="P1354" t="s">
        <v>148</v>
      </c>
      <c r="Q1354">
        <v>14</v>
      </c>
      <c r="R1354">
        <v>1</v>
      </c>
      <c r="S1354">
        <v>16</v>
      </c>
      <c r="T1354">
        <v>2</v>
      </c>
      <c r="U1354">
        <v>10</v>
      </c>
      <c r="V1354">
        <v>6</v>
      </c>
      <c r="W1354">
        <v>41</v>
      </c>
      <c r="X1354">
        <v>665</v>
      </c>
      <c r="Y1354">
        <v>12482</v>
      </c>
      <c r="Z1354">
        <v>4809</v>
      </c>
      <c r="AA1354">
        <v>3</v>
      </c>
      <c r="AB1354" s="29">
        <v>44773</v>
      </c>
      <c r="AC1354" s="29">
        <v>32418</v>
      </c>
      <c r="AD1354" s="29">
        <v>39189</v>
      </c>
      <c r="AE1354" s="29"/>
      <c r="AF1354">
        <v>15</v>
      </c>
      <c r="AG1354" t="s">
        <v>149</v>
      </c>
      <c r="AI1354">
        <v>19</v>
      </c>
      <c r="AJ1354">
        <v>1</v>
      </c>
      <c r="AK1354" t="s">
        <v>163</v>
      </c>
      <c r="AL1354" t="s">
        <v>77</v>
      </c>
      <c r="AM1354">
        <f t="shared" si="105"/>
        <v>2</v>
      </c>
      <c r="AN1354">
        <f t="shared" si="106"/>
        <v>4</v>
      </c>
      <c r="AO1354" t="str">
        <f t="shared" si="107"/>
        <v/>
      </c>
      <c r="AP1354" t="str">
        <f t="shared" si="108"/>
        <v/>
      </c>
      <c r="AQ1354">
        <f t="shared" si="109"/>
        <v>2007</v>
      </c>
    </row>
    <row r="1355" spans="1:43" x14ac:dyDescent="0.35">
      <c r="A1355">
        <v>924</v>
      </c>
      <c r="B1355">
        <v>36</v>
      </c>
      <c r="C1355" t="s">
        <v>148</v>
      </c>
      <c r="D1355" t="s">
        <v>145</v>
      </c>
      <c r="E1355" t="s">
        <v>4</v>
      </c>
      <c r="F1355" t="s">
        <v>35</v>
      </c>
      <c r="G1355" t="s">
        <v>43</v>
      </c>
      <c r="H1355" t="s">
        <v>82</v>
      </c>
      <c r="I1355" t="s">
        <v>43</v>
      </c>
      <c r="J1355" t="s">
        <v>161</v>
      </c>
      <c r="K1355" t="s">
        <v>44</v>
      </c>
      <c r="L1355" t="s">
        <v>147</v>
      </c>
      <c r="M1355" t="s">
        <v>48</v>
      </c>
      <c r="N1355" t="s">
        <v>160</v>
      </c>
      <c r="O1355" t="s">
        <v>41</v>
      </c>
      <c r="P1355" t="s">
        <v>144</v>
      </c>
      <c r="Q1355">
        <v>17</v>
      </c>
      <c r="R1355">
        <v>0</v>
      </c>
      <c r="S1355">
        <v>17</v>
      </c>
      <c r="T1355">
        <v>4</v>
      </c>
      <c r="U1355">
        <v>11</v>
      </c>
      <c r="V1355">
        <v>14</v>
      </c>
      <c r="W1355">
        <v>68</v>
      </c>
      <c r="X1355">
        <v>1425</v>
      </c>
      <c r="Y1355">
        <v>4821</v>
      </c>
      <c r="Z1355">
        <v>6586</v>
      </c>
      <c r="AA1355">
        <v>2</v>
      </c>
      <c r="AB1355" s="29">
        <v>44773</v>
      </c>
      <c r="AC1355" s="29">
        <v>31943</v>
      </c>
      <c r="AD1355" s="29">
        <v>39243</v>
      </c>
      <c r="AE1355" s="29"/>
      <c r="AF1355">
        <v>15</v>
      </c>
      <c r="AG1355" t="s">
        <v>149</v>
      </c>
      <c r="AI1355">
        <v>21</v>
      </c>
      <c r="AJ1355">
        <v>1</v>
      </c>
      <c r="AK1355" t="s">
        <v>163</v>
      </c>
      <c r="AL1355" t="s">
        <v>77</v>
      </c>
      <c r="AM1355">
        <f t="shared" si="105"/>
        <v>2</v>
      </c>
      <c r="AN1355">
        <f t="shared" si="106"/>
        <v>6</v>
      </c>
      <c r="AO1355" t="str">
        <f t="shared" si="107"/>
        <v/>
      </c>
      <c r="AP1355" t="str">
        <f t="shared" si="108"/>
        <v/>
      </c>
      <c r="AQ1355">
        <f t="shared" si="109"/>
        <v>2007</v>
      </c>
    </row>
    <row r="1356" spans="1:43" x14ac:dyDescent="0.35">
      <c r="A1356">
        <v>1024</v>
      </c>
      <c r="B1356">
        <v>48</v>
      </c>
      <c r="C1356" t="s">
        <v>148</v>
      </c>
      <c r="D1356" t="s">
        <v>145</v>
      </c>
      <c r="E1356" t="s">
        <v>4</v>
      </c>
      <c r="F1356" t="s">
        <v>37</v>
      </c>
      <c r="G1356" t="s">
        <v>43</v>
      </c>
      <c r="H1356" t="s">
        <v>82</v>
      </c>
      <c r="I1356" t="s">
        <v>42</v>
      </c>
      <c r="J1356" t="s">
        <v>161</v>
      </c>
      <c r="K1356" t="s">
        <v>43</v>
      </c>
      <c r="L1356" t="s">
        <v>147</v>
      </c>
      <c r="M1356" t="s">
        <v>49</v>
      </c>
      <c r="N1356" t="s">
        <v>95</v>
      </c>
      <c r="P1356" t="s">
        <v>148</v>
      </c>
      <c r="Q1356">
        <v>14</v>
      </c>
      <c r="R1356">
        <v>7</v>
      </c>
      <c r="S1356">
        <v>27</v>
      </c>
      <c r="T1356">
        <v>4</v>
      </c>
      <c r="U1356">
        <v>8</v>
      </c>
      <c r="V1356">
        <v>4</v>
      </c>
      <c r="W1356">
        <v>78</v>
      </c>
      <c r="X1356">
        <v>1355</v>
      </c>
      <c r="Y1356">
        <v>22245</v>
      </c>
      <c r="Z1356">
        <v>10999</v>
      </c>
      <c r="AA1356">
        <v>3</v>
      </c>
      <c r="AB1356" s="29">
        <v>44773</v>
      </c>
      <c r="AC1356" s="29">
        <v>27504</v>
      </c>
      <c r="AD1356" s="29">
        <v>39304</v>
      </c>
      <c r="AE1356" s="29"/>
      <c r="AF1356">
        <v>15</v>
      </c>
      <c r="AG1356" t="s">
        <v>153</v>
      </c>
      <c r="AI1356">
        <v>33</v>
      </c>
      <c r="AJ1356">
        <v>1</v>
      </c>
      <c r="AK1356" t="s">
        <v>163</v>
      </c>
      <c r="AL1356" t="s">
        <v>77</v>
      </c>
      <c r="AM1356">
        <f t="shared" si="105"/>
        <v>3</v>
      </c>
      <c r="AN1356">
        <f t="shared" si="106"/>
        <v>8</v>
      </c>
      <c r="AO1356" t="str">
        <f t="shared" si="107"/>
        <v/>
      </c>
      <c r="AP1356" t="str">
        <f t="shared" si="108"/>
        <v/>
      </c>
      <c r="AQ1356">
        <f t="shared" si="109"/>
        <v>2007</v>
      </c>
    </row>
    <row r="1357" spans="1:43" x14ac:dyDescent="0.35">
      <c r="A1357">
        <v>170</v>
      </c>
      <c r="B1357">
        <v>49</v>
      </c>
      <c r="C1357" t="s">
        <v>148</v>
      </c>
      <c r="D1357" t="s">
        <v>145</v>
      </c>
      <c r="E1357" t="s">
        <v>4</v>
      </c>
      <c r="F1357" t="s">
        <v>37</v>
      </c>
      <c r="G1357" t="s">
        <v>43</v>
      </c>
      <c r="H1357" t="s">
        <v>81</v>
      </c>
      <c r="I1357" t="s">
        <v>43</v>
      </c>
      <c r="J1357" t="s">
        <v>165</v>
      </c>
      <c r="K1357" t="s">
        <v>41</v>
      </c>
      <c r="L1357" t="s">
        <v>147</v>
      </c>
      <c r="M1357" t="s">
        <v>48</v>
      </c>
      <c r="N1357" t="s">
        <v>160</v>
      </c>
      <c r="P1357" t="s">
        <v>148</v>
      </c>
      <c r="Q1357">
        <v>14</v>
      </c>
      <c r="R1357">
        <v>1</v>
      </c>
      <c r="S1357">
        <v>16</v>
      </c>
      <c r="T1357">
        <v>5</v>
      </c>
      <c r="U1357">
        <v>11</v>
      </c>
      <c r="V1357">
        <v>20</v>
      </c>
      <c r="W1357">
        <v>96</v>
      </c>
      <c r="X1357">
        <v>470</v>
      </c>
      <c r="Y1357">
        <v>5549</v>
      </c>
      <c r="Z1357">
        <v>6567</v>
      </c>
      <c r="AA1357">
        <v>2</v>
      </c>
      <c r="AB1357" s="29">
        <v>44773</v>
      </c>
      <c r="AC1357" s="29">
        <v>26974</v>
      </c>
      <c r="AD1357" s="29">
        <v>39389</v>
      </c>
      <c r="AE1357" s="29"/>
      <c r="AF1357">
        <v>15</v>
      </c>
      <c r="AG1357" t="s">
        <v>153</v>
      </c>
      <c r="AI1357">
        <v>34</v>
      </c>
      <c r="AJ1357">
        <v>1</v>
      </c>
      <c r="AK1357" t="s">
        <v>163</v>
      </c>
      <c r="AL1357" t="s">
        <v>77</v>
      </c>
      <c r="AM1357">
        <f t="shared" si="105"/>
        <v>4</v>
      </c>
      <c r="AN1357">
        <f t="shared" si="106"/>
        <v>11</v>
      </c>
      <c r="AO1357" t="str">
        <f t="shared" si="107"/>
        <v/>
      </c>
      <c r="AP1357" t="str">
        <f t="shared" si="108"/>
        <v/>
      </c>
      <c r="AQ1357">
        <f t="shared" si="109"/>
        <v>2007</v>
      </c>
    </row>
    <row r="1358" spans="1:43" x14ac:dyDescent="0.35">
      <c r="A1358">
        <v>373</v>
      </c>
      <c r="B1358">
        <v>36</v>
      </c>
      <c r="C1358" t="s">
        <v>148</v>
      </c>
      <c r="D1358" t="s">
        <v>145</v>
      </c>
      <c r="E1358" t="s">
        <v>4</v>
      </c>
      <c r="F1358" t="s">
        <v>38</v>
      </c>
      <c r="G1358" t="s">
        <v>44</v>
      </c>
      <c r="H1358" t="s">
        <v>82</v>
      </c>
      <c r="I1358" t="s">
        <v>43</v>
      </c>
      <c r="J1358" t="s">
        <v>155</v>
      </c>
      <c r="K1358" t="s">
        <v>44</v>
      </c>
      <c r="L1358" t="s">
        <v>147</v>
      </c>
      <c r="M1358" t="s">
        <v>49</v>
      </c>
      <c r="N1358" t="s">
        <v>160</v>
      </c>
      <c r="O1358" t="s">
        <v>41</v>
      </c>
      <c r="P1358" t="s">
        <v>148</v>
      </c>
      <c r="Q1358">
        <v>11</v>
      </c>
      <c r="R1358">
        <v>0</v>
      </c>
      <c r="S1358">
        <v>16</v>
      </c>
      <c r="T1358">
        <v>10</v>
      </c>
      <c r="U1358">
        <v>11</v>
      </c>
      <c r="V1358">
        <v>6</v>
      </c>
      <c r="W1358">
        <v>47</v>
      </c>
      <c r="X1358">
        <v>1403</v>
      </c>
      <c r="Y1358">
        <v>20251</v>
      </c>
      <c r="Z1358">
        <v>3210</v>
      </c>
      <c r="AA1358">
        <v>4</v>
      </c>
      <c r="AB1358" s="29">
        <v>44773</v>
      </c>
      <c r="AC1358" s="29">
        <v>31963</v>
      </c>
      <c r="AD1358" s="29">
        <v>39390</v>
      </c>
      <c r="AE1358" s="29"/>
      <c r="AF1358">
        <v>15</v>
      </c>
      <c r="AG1358" t="s">
        <v>149</v>
      </c>
      <c r="AI1358">
        <v>21</v>
      </c>
      <c r="AJ1358">
        <v>1</v>
      </c>
      <c r="AK1358" t="s">
        <v>163</v>
      </c>
      <c r="AL1358" t="s">
        <v>77</v>
      </c>
      <c r="AM1358">
        <f t="shared" si="105"/>
        <v>4</v>
      </c>
      <c r="AN1358">
        <f t="shared" si="106"/>
        <v>11</v>
      </c>
      <c r="AO1358" t="str">
        <f t="shared" si="107"/>
        <v/>
      </c>
      <c r="AP1358" t="str">
        <f t="shared" si="108"/>
        <v/>
      </c>
      <c r="AQ1358">
        <f t="shared" si="109"/>
        <v>2007</v>
      </c>
    </row>
    <row r="1359" spans="1:43" x14ac:dyDescent="0.35">
      <c r="A1359">
        <v>950</v>
      </c>
      <c r="B1359">
        <v>38</v>
      </c>
      <c r="C1359" t="s">
        <v>148</v>
      </c>
      <c r="D1359" t="s">
        <v>145</v>
      </c>
      <c r="E1359" t="s">
        <v>4</v>
      </c>
      <c r="F1359" t="s">
        <v>38</v>
      </c>
      <c r="G1359" t="s">
        <v>44</v>
      </c>
      <c r="H1359" t="s">
        <v>81</v>
      </c>
      <c r="I1359" t="s">
        <v>43</v>
      </c>
      <c r="J1359" t="s">
        <v>173</v>
      </c>
      <c r="K1359" t="s">
        <v>41</v>
      </c>
      <c r="L1359" t="s">
        <v>147</v>
      </c>
      <c r="M1359" t="s">
        <v>49</v>
      </c>
      <c r="N1359" t="s">
        <v>160</v>
      </c>
      <c r="O1359" t="s">
        <v>41</v>
      </c>
      <c r="P1359" t="s">
        <v>148</v>
      </c>
      <c r="Q1359">
        <v>13</v>
      </c>
      <c r="R1359">
        <v>1</v>
      </c>
      <c r="S1359">
        <v>15</v>
      </c>
      <c r="T1359">
        <v>5</v>
      </c>
      <c r="U1359">
        <v>11</v>
      </c>
      <c r="V1359">
        <v>1</v>
      </c>
      <c r="W1359">
        <v>80</v>
      </c>
      <c r="X1359">
        <v>1333</v>
      </c>
      <c r="Y1359">
        <v>16292</v>
      </c>
      <c r="Z1359">
        <v>13582</v>
      </c>
      <c r="AA1359">
        <v>3</v>
      </c>
      <c r="AB1359" s="29">
        <v>44773</v>
      </c>
      <c r="AC1359" s="29">
        <v>31105</v>
      </c>
      <c r="AD1359" s="29">
        <v>39394</v>
      </c>
      <c r="AE1359" s="29"/>
      <c r="AF1359">
        <v>15</v>
      </c>
      <c r="AG1359" t="s">
        <v>149</v>
      </c>
      <c r="AI1359">
        <v>23</v>
      </c>
      <c r="AJ1359">
        <v>1</v>
      </c>
      <c r="AK1359" t="s">
        <v>163</v>
      </c>
      <c r="AL1359" t="s">
        <v>77</v>
      </c>
      <c r="AM1359">
        <f t="shared" si="105"/>
        <v>4</v>
      </c>
      <c r="AN1359">
        <f t="shared" si="106"/>
        <v>11</v>
      </c>
      <c r="AO1359" t="str">
        <f t="shared" si="107"/>
        <v/>
      </c>
      <c r="AP1359" t="str">
        <f t="shared" si="108"/>
        <v/>
      </c>
      <c r="AQ1359">
        <f t="shared" si="109"/>
        <v>2007</v>
      </c>
    </row>
    <row r="1360" spans="1:43" x14ac:dyDescent="0.35">
      <c r="A1360">
        <v>1661</v>
      </c>
      <c r="B1360">
        <v>49</v>
      </c>
      <c r="C1360" t="s">
        <v>148</v>
      </c>
      <c r="D1360" t="s">
        <v>145</v>
      </c>
      <c r="E1360" t="s">
        <v>4</v>
      </c>
      <c r="F1360" t="s">
        <v>35</v>
      </c>
      <c r="G1360" t="s">
        <v>43</v>
      </c>
      <c r="H1360" t="s">
        <v>81</v>
      </c>
      <c r="I1360" t="s">
        <v>42</v>
      </c>
      <c r="J1360" t="s">
        <v>161</v>
      </c>
      <c r="K1360" t="s">
        <v>43</v>
      </c>
      <c r="L1360" t="s">
        <v>147</v>
      </c>
      <c r="M1360" t="s">
        <v>49</v>
      </c>
      <c r="N1360" t="s">
        <v>160</v>
      </c>
      <c r="O1360" t="s">
        <v>41</v>
      </c>
      <c r="P1360" t="s">
        <v>144</v>
      </c>
      <c r="Q1360">
        <v>19</v>
      </c>
      <c r="R1360">
        <v>2</v>
      </c>
      <c r="S1360">
        <v>30</v>
      </c>
      <c r="T1360">
        <v>2</v>
      </c>
      <c r="U1360">
        <v>12</v>
      </c>
      <c r="V1360">
        <v>6</v>
      </c>
      <c r="W1360">
        <v>41</v>
      </c>
      <c r="X1360">
        <v>465</v>
      </c>
      <c r="Y1360">
        <v>11652</v>
      </c>
      <c r="Z1360">
        <v>13966</v>
      </c>
      <c r="AA1360">
        <v>3</v>
      </c>
      <c r="AB1360" s="29">
        <v>44773</v>
      </c>
      <c r="AC1360" s="29">
        <v>26919</v>
      </c>
      <c r="AD1360" s="29">
        <v>39403</v>
      </c>
      <c r="AE1360" s="29"/>
      <c r="AF1360">
        <v>15</v>
      </c>
      <c r="AG1360" t="s">
        <v>153</v>
      </c>
      <c r="AI1360">
        <v>34</v>
      </c>
      <c r="AJ1360">
        <v>1</v>
      </c>
      <c r="AK1360" t="s">
        <v>163</v>
      </c>
      <c r="AL1360" t="s">
        <v>77</v>
      </c>
      <c r="AM1360">
        <f t="shared" si="105"/>
        <v>4</v>
      </c>
      <c r="AN1360">
        <f t="shared" si="106"/>
        <v>11</v>
      </c>
      <c r="AO1360" t="str">
        <f t="shared" si="107"/>
        <v/>
      </c>
      <c r="AP1360" t="str">
        <f t="shared" si="108"/>
        <v/>
      </c>
      <c r="AQ1360">
        <f t="shared" si="109"/>
        <v>2007</v>
      </c>
    </row>
    <row r="1361" spans="1:43" x14ac:dyDescent="0.35">
      <c r="A1361">
        <v>1696</v>
      </c>
      <c r="B1361">
        <v>34</v>
      </c>
      <c r="C1361" t="s">
        <v>148</v>
      </c>
      <c r="D1361" t="s">
        <v>145</v>
      </c>
      <c r="E1361" t="s">
        <v>4</v>
      </c>
      <c r="F1361" t="s">
        <v>36</v>
      </c>
      <c r="G1361" t="s">
        <v>42</v>
      </c>
      <c r="H1361" t="s">
        <v>82</v>
      </c>
      <c r="I1361" t="s">
        <v>42</v>
      </c>
      <c r="J1361" t="s">
        <v>155</v>
      </c>
      <c r="K1361" t="s">
        <v>44</v>
      </c>
      <c r="L1361" t="s">
        <v>147</v>
      </c>
      <c r="M1361" t="s">
        <v>50</v>
      </c>
      <c r="N1361" t="s">
        <v>160</v>
      </c>
      <c r="O1361" t="s">
        <v>41</v>
      </c>
      <c r="P1361" t="s">
        <v>148</v>
      </c>
      <c r="Q1361">
        <v>14</v>
      </c>
      <c r="R1361">
        <v>1</v>
      </c>
      <c r="S1361">
        <v>15</v>
      </c>
      <c r="T1361">
        <v>4</v>
      </c>
      <c r="U1361">
        <v>13</v>
      </c>
      <c r="V1361">
        <v>5</v>
      </c>
      <c r="W1361">
        <v>57</v>
      </c>
      <c r="X1361">
        <v>1157</v>
      </c>
      <c r="Y1361">
        <v>11912</v>
      </c>
      <c r="Z1361">
        <v>3986</v>
      </c>
      <c r="AA1361">
        <v>3</v>
      </c>
      <c r="AB1361" s="29">
        <v>44773</v>
      </c>
      <c r="AC1361" s="29">
        <v>32502</v>
      </c>
      <c r="AD1361" s="29">
        <v>39502</v>
      </c>
      <c r="AE1361" s="29"/>
      <c r="AF1361">
        <v>14</v>
      </c>
      <c r="AG1361" t="s">
        <v>149</v>
      </c>
      <c r="AI1361">
        <v>20</v>
      </c>
      <c r="AJ1361">
        <v>1</v>
      </c>
      <c r="AK1361" t="s">
        <v>154</v>
      </c>
      <c r="AL1361" t="s">
        <v>77</v>
      </c>
      <c r="AM1361">
        <f t="shared" si="105"/>
        <v>1</v>
      </c>
      <c r="AN1361">
        <f t="shared" si="106"/>
        <v>2</v>
      </c>
      <c r="AO1361" t="str">
        <f t="shared" si="107"/>
        <v/>
      </c>
      <c r="AP1361" t="str">
        <f t="shared" si="108"/>
        <v/>
      </c>
      <c r="AQ1361">
        <f t="shared" si="109"/>
        <v>2008</v>
      </c>
    </row>
    <row r="1362" spans="1:43" x14ac:dyDescent="0.35">
      <c r="A1362">
        <v>1549</v>
      </c>
      <c r="B1362">
        <v>33</v>
      </c>
      <c r="C1362" t="s">
        <v>148</v>
      </c>
      <c r="D1362" t="s">
        <v>145</v>
      </c>
      <c r="E1362" t="s">
        <v>4</v>
      </c>
      <c r="F1362" t="s">
        <v>37</v>
      </c>
      <c r="G1362" t="s">
        <v>42</v>
      </c>
      <c r="H1362" t="s">
        <v>82</v>
      </c>
      <c r="I1362" t="s">
        <v>43</v>
      </c>
      <c r="J1362" t="s">
        <v>155</v>
      </c>
      <c r="K1362" t="s">
        <v>43</v>
      </c>
      <c r="L1362" t="s">
        <v>147</v>
      </c>
      <c r="M1362" t="s">
        <v>49</v>
      </c>
      <c r="N1362" t="s">
        <v>160</v>
      </c>
      <c r="O1362" t="s">
        <v>41</v>
      </c>
      <c r="P1362" t="s">
        <v>144</v>
      </c>
      <c r="Q1362">
        <v>12</v>
      </c>
      <c r="R1362">
        <v>1</v>
      </c>
      <c r="S1362">
        <v>15</v>
      </c>
      <c r="T1362">
        <v>5</v>
      </c>
      <c r="U1362">
        <v>7</v>
      </c>
      <c r="V1362">
        <v>28</v>
      </c>
      <c r="W1362">
        <v>79</v>
      </c>
      <c r="X1362">
        <v>589</v>
      </c>
      <c r="Y1362">
        <v>22949</v>
      </c>
      <c r="Z1362">
        <v>5207</v>
      </c>
      <c r="AA1362">
        <v>3</v>
      </c>
      <c r="AB1362" s="29">
        <v>44773</v>
      </c>
      <c r="AC1362" s="29">
        <v>32813</v>
      </c>
      <c r="AD1362" s="29">
        <v>39623</v>
      </c>
      <c r="AE1362" s="29"/>
      <c r="AF1362">
        <v>14</v>
      </c>
      <c r="AG1362" t="s">
        <v>149</v>
      </c>
      <c r="AI1362">
        <v>19</v>
      </c>
      <c r="AJ1362">
        <v>1</v>
      </c>
      <c r="AK1362" t="s">
        <v>154</v>
      </c>
      <c r="AL1362" t="s">
        <v>78</v>
      </c>
      <c r="AM1362">
        <f t="shared" si="105"/>
        <v>2</v>
      </c>
      <c r="AN1362">
        <f t="shared" si="106"/>
        <v>6</v>
      </c>
      <c r="AO1362" t="str">
        <f t="shared" si="107"/>
        <v/>
      </c>
      <c r="AP1362" t="str">
        <f t="shared" si="108"/>
        <v/>
      </c>
      <c r="AQ1362">
        <f t="shared" si="109"/>
        <v>2008</v>
      </c>
    </row>
    <row r="1363" spans="1:43" x14ac:dyDescent="0.35">
      <c r="A1363">
        <v>1196</v>
      </c>
      <c r="B1363">
        <v>37</v>
      </c>
      <c r="C1363" t="s">
        <v>148</v>
      </c>
      <c r="D1363" t="s">
        <v>145</v>
      </c>
      <c r="E1363" t="s">
        <v>4</v>
      </c>
      <c r="F1363" t="s">
        <v>38</v>
      </c>
      <c r="G1363" t="s">
        <v>44</v>
      </c>
      <c r="H1363" t="s">
        <v>81</v>
      </c>
      <c r="I1363" t="s">
        <v>42</v>
      </c>
      <c r="J1363" t="s">
        <v>165</v>
      </c>
      <c r="K1363" t="s">
        <v>44</v>
      </c>
      <c r="L1363" t="s">
        <v>147</v>
      </c>
      <c r="M1363" t="s">
        <v>48</v>
      </c>
      <c r="N1363" t="s">
        <v>160</v>
      </c>
      <c r="O1363" t="s">
        <v>41</v>
      </c>
      <c r="P1363" t="s">
        <v>148</v>
      </c>
      <c r="Q1363">
        <v>13</v>
      </c>
      <c r="R1363">
        <v>1</v>
      </c>
      <c r="S1363">
        <v>14</v>
      </c>
      <c r="T1363">
        <v>3</v>
      </c>
      <c r="U1363">
        <v>11</v>
      </c>
      <c r="V1363">
        <v>1</v>
      </c>
      <c r="W1363">
        <v>56</v>
      </c>
      <c r="X1363">
        <v>977</v>
      </c>
      <c r="Y1363">
        <v>9961</v>
      </c>
      <c r="Z1363">
        <v>6474</v>
      </c>
      <c r="AA1363">
        <v>2</v>
      </c>
      <c r="AB1363" s="29">
        <v>44773</v>
      </c>
      <c r="AC1363" s="29">
        <v>31362</v>
      </c>
      <c r="AD1363" s="29">
        <v>39706</v>
      </c>
      <c r="AE1363" s="29"/>
      <c r="AF1363">
        <v>14</v>
      </c>
      <c r="AG1363" t="s">
        <v>149</v>
      </c>
      <c r="AI1363">
        <v>23</v>
      </c>
      <c r="AJ1363">
        <v>1</v>
      </c>
      <c r="AK1363" t="s">
        <v>154</v>
      </c>
      <c r="AL1363" t="s">
        <v>77</v>
      </c>
      <c r="AM1363">
        <f t="shared" si="105"/>
        <v>3</v>
      </c>
      <c r="AN1363">
        <f t="shared" si="106"/>
        <v>9</v>
      </c>
      <c r="AO1363" t="str">
        <f t="shared" si="107"/>
        <v/>
      </c>
      <c r="AP1363" t="str">
        <f t="shared" si="108"/>
        <v/>
      </c>
      <c r="AQ1363">
        <f t="shared" si="109"/>
        <v>2008</v>
      </c>
    </row>
    <row r="1364" spans="1:43" x14ac:dyDescent="0.35">
      <c r="A1364">
        <v>32</v>
      </c>
      <c r="B1364">
        <v>53</v>
      </c>
      <c r="C1364" t="s">
        <v>148</v>
      </c>
      <c r="D1364" t="s">
        <v>145</v>
      </c>
      <c r="E1364" t="s">
        <v>4</v>
      </c>
      <c r="F1364" t="s">
        <v>38</v>
      </c>
      <c r="G1364" t="s">
        <v>43</v>
      </c>
      <c r="H1364" t="s">
        <v>81</v>
      </c>
      <c r="I1364" t="s">
        <v>43</v>
      </c>
      <c r="J1364" t="s">
        <v>169</v>
      </c>
      <c r="K1364" t="s">
        <v>43</v>
      </c>
      <c r="L1364" t="s">
        <v>147</v>
      </c>
      <c r="M1364" t="s">
        <v>48</v>
      </c>
      <c r="N1364" t="s">
        <v>96</v>
      </c>
      <c r="O1364" t="s">
        <v>41</v>
      </c>
      <c r="P1364" t="s">
        <v>148</v>
      </c>
      <c r="Q1364">
        <v>11</v>
      </c>
      <c r="R1364">
        <v>4</v>
      </c>
      <c r="S1364">
        <v>26</v>
      </c>
      <c r="T1364">
        <v>4</v>
      </c>
      <c r="U1364">
        <v>8</v>
      </c>
      <c r="V1364">
        <v>5</v>
      </c>
      <c r="W1364">
        <v>58</v>
      </c>
      <c r="X1364">
        <v>1282</v>
      </c>
      <c r="Y1364">
        <v>10735</v>
      </c>
      <c r="Z1364">
        <v>19094</v>
      </c>
      <c r="AA1364">
        <v>3</v>
      </c>
      <c r="AB1364" s="29">
        <v>44773</v>
      </c>
      <c r="AC1364" s="29">
        <v>25678</v>
      </c>
      <c r="AD1364" s="29">
        <v>39749</v>
      </c>
      <c r="AE1364" s="29"/>
      <c r="AF1364">
        <v>14</v>
      </c>
      <c r="AG1364" t="s">
        <v>167</v>
      </c>
      <c r="AI1364">
        <v>39</v>
      </c>
      <c r="AJ1364">
        <v>1</v>
      </c>
      <c r="AK1364" t="s">
        <v>154</v>
      </c>
      <c r="AL1364" t="s">
        <v>77</v>
      </c>
      <c r="AM1364">
        <f t="shared" si="105"/>
        <v>4</v>
      </c>
      <c r="AN1364">
        <f t="shared" si="106"/>
        <v>10</v>
      </c>
      <c r="AO1364" t="str">
        <f t="shared" si="107"/>
        <v/>
      </c>
      <c r="AP1364" t="str">
        <f t="shared" si="108"/>
        <v/>
      </c>
      <c r="AQ1364">
        <f t="shared" si="109"/>
        <v>2008</v>
      </c>
    </row>
    <row r="1365" spans="1:43" x14ac:dyDescent="0.35">
      <c r="A1365">
        <v>830</v>
      </c>
      <c r="B1365">
        <v>32</v>
      </c>
      <c r="C1365" t="s">
        <v>148</v>
      </c>
      <c r="D1365" t="s">
        <v>145</v>
      </c>
      <c r="E1365" t="s">
        <v>4</v>
      </c>
      <c r="F1365" t="s">
        <v>38</v>
      </c>
      <c r="G1365" t="s">
        <v>43</v>
      </c>
      <c r="H1365" t="s">
        <v>81</v>
      </c>
      <c r="I1365" t="s">
        <v>42</v>
      </c>
      <c r="J1365" t="s">
        <v>165</v>
      </c>
      <c r="K1365" t="s">
        <v>43</v>
      </c>
      <c r="L1365" t="s">
        <v>147</v>
      </c>
      <c r="M1365" t="s">
        <v>49</v>
      </c>
      <c r="N1365" t="s">
        <v>160</v>
      </c>
      <c r="O1365" t="s">
        <v>41</v>
      </c>
      <c r="P1365" t="s">
        <v>148</v>
      </c>
      <c r="Q1365">
        <v>12</v>
      </c>
      <c r="R1365">
        <v>1</v>
      </c>
      <c r="S1365">
        <v>14</v>
      </c>
      <c r="T1365">
        <v>6</v>
      </c>
      <c r="U1365">
        <v>8</v>
      </c>
      <c r="V1365">
        <v>4</v>
      </c>
      <c r="W1365">
        <v>98</v>
      </c>
      <c r="X1365">
        <v>859</v>
      </c>
      <c r="Y1365">
        <v>19124</v>
      </c>
      <c r="Z1365">
        <v>6162</v>
      </c>
      <c r="AA1365">
        <v>3</v>
      </c>
      <c r="AB1365" s="29">
        <v>44773</v>
      </c>
      <c r="AC1365" s="29">
        <v>33376</v>
      </c>
      <c r="AD1365" s="29">
        <v>39753</v>
      </c>
      <c r="AE1365" s="29"/>
      <c r="AF1365">
        <v>14</v>
      </c>
      <c r="AG1365" t="s">
        <v>149</v>
      </c>
      <c r="AI1365">
        <v>18</v>
      </c>
      <c r="AJ1365">
        <v>1</v>
      </c>
      <c r="AK1365" t="s">
        <v>154</v>
      </c>
      <c r="AL1365" t="s">
        <v>77</v>
      </c>
      <c r="AM1365">
        <f t="shared" si="105"/>
        <v>4</v>
      </c>
      <c r="AN1365">
        <f t="shared" si="106"/>
        <v>11</v>
      </c>
      <c r="AO1365" t="str">
        <f t="shared" si="107"/>
        <v/>
      </c>
      <c r="AP1365" t="str">
        <f t="shared" si="108"/>
        <v/>
      </c>
      <c r="AQ1365">
        <f t="shared" si="109"/>
        <v>2008</v>
      </c>
    </row>
    <row r="1366" spans="1:43" x14ac:dyDescent="0.35">
      <c r="A1366">
        <v>1383</v>
      </c>
      <c r="B1366">
        <v>34</v>
      </c>
      <c r="C1366" t="s">
        <v>148</v>
      </c>
      <c r="D1366" t="s">
        <v>145</v>
      </c>
      <c r="E1366" t="s">
        <v>4</v>
      </c>
      <c r="F1366" t="s">
        <v>37</v>
      </c>
      <c r="G1366" t="s">
        <v>43</v>
      </c>
      <c r="H1366" t="s">
        <v>81</v>
      </c>
      <c r="I1366" t="s">
        <v>43</v>
      </c>
      <c r="J1366" t="s">
        <v>161</v>
      </c>
      <c r="K1366" t="s">
        <v>44</v>
      </c>
      <c r="L1366" t="s">
        <v>147</v>
      </c>
      <c r="M1366" t="s">
        <v>50</v>
      </c>
      <c r="N1366" t="s">
        <v>95</v>
      </c>
      <c r="P1366" t="s">
        <v>148</v>
      </c>
      <c r="Q1366">
        <v>11</v>
      </c>
      <c r="R1366">
        <v>1</v>
      </c>
      <c r="S1366">
        <v>14</v>
      </c>
      <c r="T1366">
        <v>4</v>
      </c>
      <c r="U1366">
        <v>11</v>
      </c>
      <c r="V1366">
        <v>2</v>
      </c>
      <c r="W1366">
        <v>98</v>
      </c>
      <c r="X1366">
        <v>404</v>
      </c>
      <c r="Y1366">
        <v>6163</v>
      </c>
      <c r="Z1366">
        <v>6687</v>
      </c>
      <c r="AA1366">
        <v>2</v>
      </c>
      <c r="AB1366" s="29">
        <v>44773</v>
      </c>
      <c r="AC1366" s="29">
        <v>32446</v>
      </c>
      <c r="AD1366" s="29">
        <v>39828</v>
      </c>
      <c r="AE1366" s="29"/>
      <c r="AF1366">
        <v>14</v>
      </c>
      <c r="AG1366" t="s">
        <v>149</v>
      </c>
      <c r="AI1366">
        <v>20</v>
      </c>
      <c r="AJ1366">
        <v>1</v>
      </c>
      <c r="AK1366" t="s">
        <v>154</v>
      </c>
      <c r="AL1366" t="s">
        <v>78</v>
      </c>
      <c r="AM1366">
        <f t="shared" si="105"/>
        <v>1</v>
      </c>
      <c r="AN1366">
        <f t="shared" si="106"/>
        <v>1</v>
      </c>
      <c r="AO1366" t="str">
        <f t="shared" si="107"/>
        <v/>
      </c>
      <c r="AP1366" t="str">
        <f t="shared" si="108"/>
        <v/>
      </c>
      <c r="AQ1366">
        <f t="shared" si="109"/>
        <v>2009</v>
      </c>
    </row>
    <row r="1367" spans="1:43" x14ac:dyDescent="0.35">
      <c r="A1367">
        <v>1238</v>
      </c>
      <c r="B1367">
        <v>33</v>
      </c>
      <c r="C1367" t="s">
        <v>148</v>
      </c>
      <c r="D1367" t="s">
        <v>145</v>
      </c>
      <c r="E1367" t="s">
        <v>4</v>
      </c>
      <c r="F1367" t="s">
        <v>38</v>
      </c>
      <c r="G1367" t="s">
        <v>41</v>
      </c>
      <c r="H1367" t="s">
        <v>82</v>
      </c>
      <c r="I1367" t="s">
        <v>43</v>
      </c>
      <c r="J1367" t="s">
        <v>146</v>
      </c>
      <c r="K1367" t="s">
        <v>44</v>
      </c>
      <c r="L1367" t="s">
        <v>147</v>
      </c>
      <c r="M1367" t="s">
        <v>49</v>
      </c>
      <c r="N1367" t="s">
        <v>160</v>
      </c>
      <c r="O1367" t="s">
        <v>41</v>
      </c>
      <c r="P1367" t="s">
        <v>148</v>
      </c>
      <c r="Q1367">
        <v>13</v>
      </c>
      <c r="R1367">
        <v>0</v>
      </c>
      <c r="S1367">
        <v>15</v>
      </c>
      <c r="T1367">
        <v>4</v>
      </c>
      <c r="U1367">
        <v>10</v>
      </c>
      <c r="V1367">
        <v>9</v>
      </c>
      <c r="W1367">
        <v>60</v>
      </c>
      <c r="X1367">
        <v>117</v>
      </c>
      <c r="Y1367">
        <v>6311</v>
      </c>
      <c r="Z1367">
        <v>2781</v>
      </c>
      <c r="AA1367">
        <v>5</v>
      </c>
      <c r="AB1367" s="29">
        <v>44773</v>
      </c>
      <c r="AC1367" s="29">
        <v>32954</v>
      </c>
      <c r="AD1367" s="29">
        <v>39913</v>
      </c>
      <c r="AE1367" s="29"/>
      <c r="AF1367">
        <v>13</v>
      </c>
      <c r="AG1367" t="s">
        <v>149</v>
      </c>
      <c r="AI1367">
        <v>20</v>
      </c>
      <c r="AJ1367">
        <v>1</v>
      </c>
      <c r="AK1367" t="s">
        <v>154</v>
      </c>
      <c r="AL1367" t="s">
        <v>77</v>
      </c>
      <c r="AM1367">
        <f t="shared" si="105"/>
        <v>2</v>
      </c>
      <c r="AN1367">
        <f t="shared" si="106"/>
        <v>4</v>
      </c>
      <c r="AO1367" t="str">
        <f t="shared" si="107"/>
        <v/>
      </c>
      <c r="AP1367" t="str">
        <f t="shared" si="108"/>
        <v/>
      </c>
      <c r="AQ1367">
        <f t="shared" si="109"/>
        <v>2009</v>
      </c>
    </row>
    <row r="1368" spans="1:43" x14ac:dyDescent="0.35">
      <c r="A1368">
        <v>1698</v>
      </c>
      <c r="B1368">
        <v>33</v>
      </c>
      <c r="C1368" t="s">
        <v>148</v>
      </c>
      <c r="D1368" t="s">
        <v>145</v>
      </c>
      <c r="E1368" t="s">
        <v>4</v>
      </c>
      <c r="F1368" t="s">
        <v>38</v>
      </c>
      <c r="G1368" t="s">
        <v>42</v>
      </c>
      <c r="H1368" t="s">
        <v>82</v>
      </c>
      <c r="I1368" t="s">
        <v>44</v>
      </c>
      <c r="J1368" t="s">
        <v>155</v>
      </c>
      <c r="K1368" t="s">
        <v>42</v>
      </c>
      <c r="L1368" t="s">
        <v>147</v>
      </c>
      <c r="M1368" t="s">
        <v>49</v>
      </c>
      <c r="N1368" t="s">
        <v>160</v>
      </c>
      <c r="O1368" t="s">
        <v>43</v>
      </c>
      <c r="P1368" t="s">
        <v>148</v>
      </c>
      <c r="Q1368">
        <v>18</v>
      </c>
      <c r="R1368">
        <v>1</v>
      </c>
      <c r="S1368">
        <v>14</v>
      </c>
      <c r="T1368">
        <v>2</v>
      </c>
      <c r="U1368">
        <v>13</v>
      </c>
      <c r="V1368">
        <v>21</v>
      </c>
      <c r="W1368">
        <v>79</v>
      </c>
      <c r="X1368">
        <v>267</v>
      </c>
      <c r="Y1368">
        <v>13637</v>
      </c>
      <c r="Z1368">
        <v>2028</v>
      </c>
      <c r="AA1368">
        <v>6</v>
      </c>
      <c r="AB1368" s="29">
        <v>44773</v>
      </c>
      <c r="AC1368" s="29">
        <v>32852</v>
      </c>
      <c r="AD1368" s="29">
        <v>39958</v>
      </c>
      <c r="AE1368" s="29"/>
      <c r="AF1368">
        <v>13</v>
      </c>
      <c r="AG1368" t="s">
        <v>149</v>
      </c>
      <c r="AI1368">
        <v>20</v>
      </c>
      <c r="AJ1368">
        <v>1</v>
      </c>
      <c r="AK1368" t="s">
        <v>154</v>
      </c>
      <c r="AL1368" t="s">
        <v>77</v>
      </c>
      <c r="AM1368">
        <f t="shared" si="105"/>
        <v>2</v>
      </c>
      <c r="AN1368">
        <f t="shared" si="106"/>
        <v>5</v>
      </c>
      <c r="AO1368" t="str">
        <f t="shared" si="107"/>
        <v/>
      </c>
      <c r="AP1368" t="str">
        <f t="shared" si="108"/>
        <v/>
      </c>
      <c r="AQ1368">
        <f t="shared" si="109"/>
        <v>2009</v>
      </c>
    </row>
    <row r="1369" spans="1:43" x14ac:dyDescent="0.35">
      <c r="A1369">
        <v>524</v>
      </c>
      <c r="B1369">
        <v>31</v>
      </c>
      <c r="C1369" t="s">
        <v>148</v>
      </c>
      <c r="D1369" t="s">
        <v>145</v>
      </c>
      <c r="E1369" t="s">
        <v>4</v>
      </c>
      <c r="F1369" t="s">
        <v>36</v>
      </c>
      <c r="G1369" t="s">
        <v>42</v>
      </c>
      <c r="H1369" t="s">
        <v>81</v>
      </c>
      <c r="I1369" t="s">
        <v>43</v>
      </c>
      <c r="J1369" t="s">
        <v>165</v>
      </c>
      <c r="K1369" t="s">
        <v>41</v>
      </c>
      <c r="L1369" t="s">
        <v>147</v>
      </c>
      <c r="M1369" t="s">
        <v>47</v>
      </c>
      <c r="N1369" t="s">
        <v>160</v>
      </c>
      <c r="O1369" t="s">
        <v>41</v>
      </c>
      <c r="P1369" t="s">
        <v>148</v>
      </c>
      <c r="Q1369">
        <v>12</v>
      </c>
      <c r="R1369">
        <v>1</v>
      </c>
      <c r="S1369">
        <v>13</v>
      </c>
      <c r="T1369">
        <v>3</v>
      </c>
      <c r="U1369">
        <v>12</v>
      </c>
      <c r="V1369">
        <v>7</v>
      </c>
      <c r="W1369">
        <v>31</v>
      </c>
      <c r="X1369">
        <v>480</v>
      </c>
      <c r="Y1369">
        <v>4156</v>
      </c>
      <c r="Z1369">
        <v>4306</v>
      </c>
      <c r="AA1369">
        <v>5</v>
      </c>
      <c r="AB1369" s="29">
        <v>44773</v>
      </c>
      <c r="AC1369" s="29">
        <v>33546</v>
      </c>
      <c r="AD1369" s="29">
        <v>40029</v>
      </c>
      <c r="AE1369" s="29"/>
      <c r="AF1369">
        <v>13</v>
      </c>
      <c r="AG1369" t="s">
        <v>149</v>
      </c>
      <c r="AI1369">
        <v>18</v>
      </c>
      <c r="AJ1369">
        <v>1</v>
      </c>
      <c r="AK1369" t="s">
        <v>154</v>
      </c>
      <c r="AL1369" t="s">
        <v>77</v>
      </c>
      <c r="AM1369">
        <f t="shared" si="105"/>
        <v>3</v>
      </c>
      <c r="AN1369">
        <f t="shared" si="106"/>
        <v>8</v>
      </c>
      <c r="AO1369" t="str">
        <f t="shared" si="107"/>
        <v/>
      </c>
      <c r="AP1369" t="str">
        <f t="shared" si="108"/>
        <v/>
      </c>
      <c r="AQ1369">
        <f t="shared" si="109"/>
        <v>2009</v>
      </c>
    </row>
    <row r="1370" spans="1:43" x14ac:dyDescent="0.35">
      <c r="A1370">
        <v>1911</v>
      </c>
      <c r="B1370">
        <v>42</v>
      </c>
      <c r="C1370" t="s">
        <v>148</v>
      </c>
      <c r="D1370" t="s">
        <v>145</v>
      </c>
      <c r="E1370" t="s">
        <v>4</v>
      </c>
      <c r="F1370" t="s">
        <v>38</v>
      </c>
      <c r="G1370" t="s">
        <v>43</v>
      </c>
      <c r="H1370" t="s">
        <v>82</v>
      </c>
      <c r="I1370" t="s">
        <v>43</v>
      </c>
      <c r="J1370" t="s">
        <v>173</v>
      </c>
      <c r="K1370" t="s">
        <v>41</v>
      </c>
      <c r="L1370" t="s">
        <v>147</v>
      </c>
      <c r="M1370" t="s">
        <v>50</v>
      </c>
      <c r="N1370" t="s">
        <v>160</v>
      </c>
      <c r="O1370" t="s">
        <v>41</v>
      </c>
      <c r="P1370" t="s">
        <v>148</v>
      </c>
      <c r="Q1370">
        <v>13</v>
      </c>
      <c r="R1370">
        <v>9</v>
      </c>
      <c r="S1370">
        <v>18</v>
      </c>
      <c r="T1370">
        <v>5</v>
      </c>
      <c r="U1370">
        <v>7</v>
      </c>
      <c r="V1370">
        <v>6</v>
      </c>
      <c r="W1370">
        <v>83</v>
      </c>
      <c r="X1370">
        <v>1396</v>
      </c>
      <c r="Y1370">
        <v>14842</v>
      </c>
      <c r="Z1370">
        <v>13348</v>
      </c>
      <c r="AA1370">
        <v>3</v>
      </c>
      <c r="AB1370" s="29">
        <v>44773</v>
      </c>
      <c r="AC1370" s="29">
        <v>29591</v>
      </c>
      <c r="AD1370" s="29">
        <v>40133</v>
      </c>
      <c r="AE1370" s="29"/>
      <c r="AF1370">
        <v>13</v>
      </c>
      <c r="AG1370" t="s">
        <v>153</v>
      </c>
      <c r="AI1370">
        <v>29</v>
      </c>
      <c r="AJ1370">
        <v>1</v>
      </c>
      <c r="AK1370" t="s">
        <v>154</v>
      </c>
      <c r="AL1370" t="s">
        <v>77</v>
      </c>
      <c r="AM1370">
        <f t="shared" si="105"/>
        <v>4</v>
      </c>
      <c r="AN1370">
        <f t="shared" si="106"/>
        <v>11</v>
      </c>
      <c r="AO1370" t="str">
        <f t="shared" si="107"/>
        <v/>
      </c>
      <c r="AP1370" t="str">
        <f t="shared" si="108"/>
        <v/>
      </c>
      <c r="AQ1370">
        <f t="shared" si="109"/>
        <v>2009</v>
      </c>
    </row>
    <row r="1371" spans="1:43" x14ac:dyDescent="0.35">
      <c r="A1371">
        <v>304</v>
      </c>
      <c r="B1371">
        <v>36</v>
      </c>
      <c r="C1371" t="s">
        <v>148</v>
      </c>
      <c r="D1371" t="s">
        <v>145</v>
      </c>
      <c r="E1371" t="s">
        <v>4</v>
      </c>
      <c r="F1371" t="s">
        <v>36</v>
      </c>
      <c r="G1371" t="s">
        <v>44</v>
      </c>
      <c r="H1371" t="s">
        <v>82</v>
      </c>
      <c r="I1371" t="s">
        <v>43</v>
      </c>
      <c r="J1371" t="s">
        <v>155</v>
      </c>
      <c r="K1371" t="s">
        <v>42</v>
      </c>
      <c r="L1371" t="s">
        <v>147</v>
      </c>
      <c r="M1371" t="s">
        <v>50</v>
      </c>
      <c r="N1371" t="s">
        <v>95</v>
      </c>
      <c r="P1371" t="s">
        <v>148</v>
      </c>
      <c r="Q1371">
        <v>16</v>
      </c>
      <c r="R1371">
        <v>8</v>
      </c>
      <c r="S1371">
        <v>16</v>
      </c>
      <c r="T1371">
        <v>3</v>
      </c>
      <c r="U1371">
        <v>7</v>
      </c>
      <c r="V1371">
        <v>5</v>
      </c>
      <c r="W1371">
        <v>62</v>
      </c>
      <c r="X1371">
        <v>1396</v>
      </c>
      <c r="Y1371">
        <v>9945</v>
      </c>
      <c r="Z1371">
        <v>5914</v>
      </c>
      <c r="AA1371">
        <v>3</v>
      </c>
      <c r="AB1371" s="29">
        <v>44773</v>
      </c>
      <c r="AC1371" s="29">
        <v>31893</v>
      </c>
      <c r="AD1371" s="29">
        <v>40189</v>
      </c>
      <c r="AE1371" s="29"/>
      <c r="AF1371">
        <v>13</v>
      </c>
      <c r="AG1371" t="s">
        <v>149</v>
      </c>
      <c r="AI1371">
        <v>23</v>
      </c>
      <c r="AJ1371">
        <v>1</v>
      </c>
      <c r="AK1371" t="s">
        <v>154</v>
      </c>
      <c r="AL1371" t="s">
        <v>78</v>
      </c>
      <c r="AM1371">
        <f t="shared" si="105"/>
        <v>1</v>
      </c>
      <c r="AN1371">
        <f t="shared" si="106"/>
        <v>1</v>
      </c>
      <c r="AO1371" t="str">
        <f t="shared" si="107"/>
        <v/>
      </c>
      <c r="AP1371" t="str">
        <f t="shared" si="108"/>
        <v/>
      </c>
      <c r="AQ1371">
        <f t="shared" si="109"/>
        <v>2010</v>
      </c>
    </row>
    <row r="1372" spans="1:43" x14ac:dyDescent="0.35">
      <c r="A1372">
        <v>817</v>
      </c>
      <c r="B1372">
        <v>33</v>
      </c>
      <c r="C1372" t="s">
        <v>148</v>
      </c>
      <c r="D1372" t="s">
        <v>145</v>
      </c>
      <c r="E1372" t="s">
        <v>4</v>
      </c>
      <c r="F1372" t="s">
        <v>38</v>
      </c>
      <c r="G1372" t="s">
        <v>43</v>
      </c>
      <c r="H1372" t="s">
        <v>82</v>
      </c>
      <c r="I1372" t="s">
        <v>43</v>
      </c>
      <c r="J1372" t="s">
        <v>173</v>
      </c>
      <c r="K1372" t="s">
        <v>43</v>
      </c>
      <c r="L1372" t="s">
        <v>147</v>
      </c>
      <c r="M1372" t="s">
        <v>50</v>
      </c>
      <c r="N1372" t="s">
        <v>160</v>
      </c>
      <c r="P1372" t="s">
        <v>148</v>
      </c>
      <c r="Q1372">
        <v>11</v>
      </c>
      <c r="R1372">
        <v>0</v>
      </c>
      <c r="S1372">
        <v>14</v>
      </c>
      <c r="T1372">
        <v>3</v>
      </c>
      <c r="U1372">
        <v>7</v>
      </c>
      <c r="V1372">
        <v>7</v>
      </c>
      <c r="W1372">
        <v>49</v>
      </c>
      <c r="X1372">
        <v>213</v>
      </c>
      <c r="Y1372">
        <v>25995</v>
      </c>
      <c r="Z1372">
        <v>11691</v>
      </c>
      <c r="AA1372">
        <v>3</v>
      </c>
      <c r="AB1372" s="29">
        <v>44773</v>
      </c>
      <c r="AC1372" s="29">
        <v>32821</v>
      </c>
      <c r="AD1372" s="29">
        <v>40239</v>
      </c>
      <c r="AE1372" s="29"/>
      <c r="AF1372">
        <v>12</v>
      </c>
      <c r="AG1372" t="s">
        <v>149</v>
      </c>
      <c r="AI1372">
        <v>21</v>
      </c>
      <c r="AJ1372">
        <v>1</v>
      </c>
      <c r="AK1372" t="s">
        <v>154</v>
      </c>
      <c r="AL1372" t="s">
        <v>77</v>
      </c>
      <c r="AM1372">
        <f t="shared" si="105"/>
        <v>1</v>
      </c>
      <c r="AN1372">
        <f t="shared" si="106"/>
        <v>3</v>
      </c>
      <c r="AO1372" t="str">
        <f t="shared" si="107"/>
        <v/>
      </c>
      <c r="AP1372" t="str">
        <f t="shared" si="108"/>
        <v/>
      </c>
      <c r="AQ1372">
        <f t="shared" si="109"/>
        <v>2010</v>
      </c>
    </row>
    <row r="1373" spans="1:43" x14ac:dyDescent="0.35">
      <c r="A1373">
        <v>1790</v>
      </c>
      <c r="B1373">
        <v>36</v>
      </c>
      <c r="C1373" t="s">
        <v>148</v>
      </c>
      <c r="D1373" t="s">
        <v>145</v>
      </c>
      <c r="E1373" t="s">
        <v>4</v>
      </c>
      <c r="F1373" t="s">
        <v>38</v>
      </c>
      <c r="G1373" t="s">
        <v>44</v>
      </c>
      <c r="H1373" t="s">
        <v>82</v>
      </c>
      <c r="I1373" t="s">
        <v>43</v>
      </c>
      <c r="J1373" t="s">
        <v>161</v>
      </c>
      <c r="K1373" t="s">
        <v>41</v>
      </c>
      <c r="L1373" t="s">
        <v>147</v>
      </c>
      <c r="M1373" t="s">
        <v>49</v>
      </c>
      <c r="N1373" t="s">
        <v>160</v>
      </c>
      <c r="O1373" t="s">
        <v>41</v>
      </c>
      <c r="P1373" t="s">
        <v>144</v>
      </c>
      <c r="Q1373">
        <v>13</v>
      </c>
      <c r="R1373">
        <v>7</v>
      </c>
      <c r="S1373">
        <v>15</v>
      </c>
      <c r="T1373">
        <v>5</v>
      </c>
      <c r="U1373">
        <v>7</v>
      </c>
      <c r="V1373">
        <v>10</v>
      </c>
      <c r="W1373">
        <v>90</v>
      </c>
      <c r="X1373">
        <v>1383</v>
      </c>
      <c r="Y1373">
        <v>25949</v>
      </c>
      <c r="Z1373">
        <v>8321</v>
      </c>
      <c r="AA1373">
        <v>1</v>
      </c>
      <c r="AB1373" s="29">
        <v>44773</v>
      </c>
      <c r="AC1373" s="29">
        <v>31674</v>
      </c>
      <c r="AD1373" s="29">
        <v>40469</v>
      </c>
      <c r="AE1373" s="29"/>
      <c r="AF1373">
        <v>12</v>
      </c>
      <c r="AG1373" t="s">
        <v>149</v>
      </c>
      <c r="AI1373">
        <v>24</v>
      </c>
      <c r="AJ1373">
        <v>1</v>
      </c>
      <c r="AK1373" t="s">
        <v>154</v>
      </c>
      <c r="AL1373" t="s">
        <v>77</v>
      </c>
      <c r="AM1373">
        <f t="shared" si="105"/>
        <v>4</v>
      </c>
      <c r="AN1373">
        <f t="shared" si="106"/>
        <v>10</v>
      </c>
      <c r="AO1373" t="str">
        <f t="shared" si="107"/>
        <v/>
      </c>
      <c r="AP1373" t="str">
        <f t="shared" si="108"/>
        <v/>
      </c>
      <c r="AQ1373">
        <f t="shared" si="109"/>
        <v>2010</v>
      </c>
    </row>
    <row r="1374" spans="1:43" x14ac:dyDescent="0.35">
      <c r="A1374">
        <v>28</v>
      </c>
      <c r="B1374">
        <v>34</v>
      </c>
      <c r="C1374" t="s">
        <v>148</v>
      </c>
      <c r="D1374" t="s">
        <v>145</v>
      </c>
      <c r="E1374" t="s">
        <v>4</v>
      </c>
      <c r="F1374" t="s">
        <v>37</v>
      </c>
      <c r="G1374" t="s">
        <v>41</v>
      </c>
      <c r="H1374" t="s">
        <v>81</v>
      </c>
      <c r="I1374" t="s">
        <v>43</v>
      </c>
      <c r="J1374" t="s">
        <v>173</v>
      </c>
      <c r="K1374" t="s">
        <v>42</v>
      </c>
      <c r="L1374" t="s">
        <v>147</v>
      </c>
      <c r="M1374" t="s">
        <v>49</v>
      </c>
      <c r="N1374" t="s">
        <v>95</v>
      </c>
      <c r="P1374" t="s">
        <v>148</v>
      </c>
      <c r="Q1374">
        <v>11</v>
      </c>
      <c r="R1374">
        <v>0</v>
      </c>
      <c r="S1374">
        <v>13</v>
      </c>
      <c r="T1374">
        <v>2</v>
      </c>
      <c r="U1374">
        <v>11</v>
      </c>
      <c r="V1374">
        <v>7</v>
      </c>
      <c r="W1374">
        <v>53</v>
      </c>
      <c r="X1374">
        <v>419</v>
      </c>
      <c r="Y1374">
        <v>21293</v>
      </c>
      <c r="Z1374">
        <v>11994</v>
      </c>
      <c r="AA1374">
        <v>4</v>
      </c>
      <c r="AB1374" s="29">
        <v>44773</v>
      </c>
      <c r="AC1374" s="29">
        <v>32592</v>
      </c>
      <c r="AD1374" s="29">
        <v>40702</v>
      </c>
      <c r="AE1374" s="29"/>
      <c r="AF1374">
        <v>11</v>
      </c>
      <c r="AG1374" t="s">
        <v>149</v>
      </c>
      <c r="AI1374">
        <v>23</v>
      </c>
      <c r="AJ1374">
        <v>1</v>
      </c>
      <c r="AK1374" t="s">
        <v>154</v>
      </c>
      <c r="AL1374" t="s">
        <v>77</v>
      </c>
      <c r="AM1374">
        <f t="shared" si="105"/>
        <v>2</v>
      </c>
      <c r="AN1374">
        <f t="shared" si="106"/>
        <v>6</v>
      </c>
      <c r="AO1374" t="str">
        <f t="shared" si="107"/>
        <v/>
      </c>
      <c r="AP1374" t="str">
        <f t="shared" si="108"/>
        <v/>
      </c>
      <c r="AQ1374">
        <f t="shared" si="109"/>
        <v>2011</v>
      </c>
    </row>
    <row r="1375" spans="1:43" x14ac:dyDescent="0.35">
      <c r="A1375">
        <v>901</v>
      </c>
      <c r="B1375">
        <v>53</v>
      </c>
      <c r="C1375" t="s">
        <v>148</v>
      </c>
      <c r="D1375" t="s">
        <v>145</v>
      </c>
      <c r="E1375" t="s">
        <v>4</v>
      </c>
      <c r="F1375" t="s">
        <v>37</v>
      </c>
      <c r="G1375" t="s">
        <v>44</v>
      </c>
      <c r="H1375" t="s">
        <v>81</v>
      </c>
      <c r="I1375" t="s">
        <v>43</v>
      </c>
      <c r="J1375" t="s">
        <v>173</v>
      </c>
      <c r="K1375" t="s">
        <v>44</v>
      </c>
      <c r="L1375" t="s">
        <v>147</v>
      </c>
      <c r="M1375" t="s">
        <v>49</v>
      </c>
      <c r="N1375" t="s">
        <v>95</v>
      </c>
      <c r="P1375" t="s">
        <v>148</v>
      </c>
      <c r="Q1375">
        <v>18</v>
      </c>
      <c r="R1375">
        <v>6</v>
      </c>
      <c r="S1375">
        <v>33</v>
      </c>
      <c r="T1375">
        <v>3</v>
      </c>
      <c r="U1375">
        <v>8</v>
      </c>
      <c r="V1375">
        <v>23</v>
      </c>
      <c r="W1375">
        <v>72</v>
      </c>
      <c r="X1375">
        <v>102</v>
      </c>
      <c r="Y1375">
        <v>20206</v>
      </c>
      <c r="Z1375">
        <v>14275</v>
      </c>
      <c r="AA1375">
        <v>0</v>
      </c>
      <c r="AB1375" s="29">
        <v>44773</v>
      </c>
      <c r="AC1375" s="29">
        <v>25571</v>
      </c>
      <c r="AD1375" s="29">
        <v>40731</v>
      </c>
      <c r="AE1375" s="29"/>
      <c r="AF1375">
        <v>11</v>
      </c>
      <c r="AG1375" t="s">
        <v>167</v>
      </c>
      <c r="AI1375">
        <v>42</v>
      </c>
      <c r="AJ1375">
        <v>1</v>
      </c>
      <c r="AK1375" t="s">
        <v>154</v>
      </c>
      <c r="AL1375" t="s">
        <v>78</v>
      </c>
      <c r="AM1375">
        <f t="shared" si="105"/>
        <v>3</v>
      </c>
      <c r="AN1375">
        <f t="shared" si="106"/>
        <v>7</v>
      </c>
      <c r="AO1375" t="str">
        <f t="shared" si="107"/>
        <v/>
      </c>
      <c r="AP1375" t="str">
        <f t="shared" si="108"/>
        <v/>
      </c>
      <c r="AQ1375">
        <f t="shared" si="109"/>
        <v>2011</v>
      </c>
    </row>
    <row r="1376" spans="1:43" x14ac:dyDescent="0.35">
      <c r="A1376">
        <v>461</v>
      </c>
      <c r="B1376">
        <v>38</v>
      </c>
      <c r="C1376" t="s">
        <v>148</v>
      </c>
      <c r="D1376" t="s">
        <v>145</v>
      </c>
      <c r="E1376" t="s">
        <v>4</v>
      </c>
      <c r="F1376" t="s">
        <v>36</v>
      </c>
      <c r="G1376" t="s">
        <v>43</v>
      </c>
      <c r="H1376" t="s">
        <v>82</v>
      </c>
      <c r="I1376" t="s">
        <v>42</v>
      </c>
      <c r="J1376" t="s">
        <v>173</v>
      </c>
      <c r="K1376" t="s">
        <v>44</v>
      </c>
      <c r="L1376" t="s">
        <v>147</v>
      </c>
      <c r="M1376" t="s">
        <v>49</v>
      </c>
      <c r="N1376" t="s">
        <v>96</v>
      </c>
      <c r="O1376" t="s">
        <v>41</v>
      </c>
      <c r="P1376" t="s">
        <v>144</v>
      </c>
      <c r="Q1376">
        <v>14</v>
      </c>
      <c r="R1376">
        <v>0</v>
      </c>
      <c r="S1376">
        <v>12</v>
      </c>
      <c r="T1376">
        <v>2</v>
      </c>
      <c r="U1376">
        <v>9</v>
      </c>
      <c r="V1376">
        <v>15</v>
      </c>
      <c r="W1376">
        <v>92</v>
      </c>
      <c r="X1376">
        <v>343</v>
      </c>
      <c r="Y1376">
        <v>15682</v>
      </c>
      <c r="Z1376">
        <v>11510</v>
      </c>
      <c r="AA1376">
        <v>3</v>
      </c>
      <c r="AB1376" s="29">
        <v>44773</v>
      </c>
      <c r="AC1376" s="29">
        <v>31112</v>
      </c>
      <c r="AD1376" s="29">
        <v>40757</v>
      </c>
      <c r="AE1376" s="29"/>
      <c r="AF1376">
        <v>11</v>
      </c>
      <c r="AG1376" t="s">
        <v>149</v>
      </c>
      <c r="AI1376">
        <v>27</v>
      </c>
      <c r="AJ1376">
        <v>1</v>
      </c>
      <c r="AK1376" t="s">
        <v>154</v>
      </c>
      <c r="AL1376" t="s">
        <v>78</v>
      </c>
      <c r="AM1376">
        <f t="shared" si="105"/>
        <v>3</v>
      </c>
      <c r="AN1376">
        <f t="shared" si="106"/>
        <v>8</v>
      </c>
      <c r="AO1376" t="str">
        <f t="shared" si="107"/>
        <v/>
      </c>
      <c r="AP1376" t="str">
        <f t="shared" si="108"/>
        <v/>
      </c>
      <c r="AQ1376">
        <f t="shared" si="109"/>
        <v>2011</v>
      </c>
    </row>
    <row r="1377" spans="1:43" x14ac:dyDescent="0.35">
      <c r="A1377">
        <v>462</v>
      </c>
      <c r="B1377">
        <v>31</v>
      </c>
      <c r="C1377" t="s">
        <v>148</v>
      </c>
      <c r="D1377" t="s">
        <v>145</v>
      </c>
      <c r="E1377" t="s">
        <v>4</v>
      </c>
      <c r="F1377" t="s">
        <v>37</v>
      </c>
      <c r="G1377" t="s">
        <v>43</v>
      </c>
      <c r="H1377" t="s">
        <v>81</v>
      </c>
      <c r="I1377" t="s">
        <v>43</v>
      </c>
      <c r="J1377" t="s">
        <v>165</v>
      </c>
      <c r="K1377" t="s">
        <v>44</v>
      </c>
      <c r="L1377" t="s">
        <v>147</v>
      </c>
      <c r="M1377" t="s">
        <v>48</v>
      </c>
      <c r="N1377" t="s">
        <v>95</v>
      </c>
      <c r="P1377" t="s">
        <v>144</v>
      </c>
      <c r="Q1377">
        <v>14</v>
      </c>
      <c r="R1377">
        <v>1</v>
      </c>
      <c r="S1377">
        <v>11</v>
      </c>
      <c r="T1377">
        <v>4</v>
      </c>
      <c r="U1377">
        <v>10</v>
      </c>
      <c r="V1377">
        <v>7</v>
      </c>
      <c r="W1377">
        <v>39</v>
      </c>
      <c r="X1377">
        <v>1232</v>
      </c>
      <c r="Y1377">
        <v>25713</v>
      </c>
      <c r="Z1377">
        <v>7143</v>
      </c>
      <c r="AA1377">
        <v>2</v>
      </c>
      <c r="AB1377" s="29">
        <v>44773</v>
      </c>
      <c r="AC1377" s="29">
        <v>33451</v>
      </c>
      <c r="AD1377" s="29">
        <v>40855</v>
      </c>
      <c r="AE1377" s="29"/>
      <c r="AF1377">
        <v>11</v>
      </c>
      <c r="AG1377" t="s">
        <v>149</v>
      </c>
      <c r="AI1377">
        <v>20</v>
      </c>
      <c r="AJ1377">
        <v>1</v>
      </c>
      <c r="AK1377" t="s">
        <v>154</v>
      </c>
      <c r="AL1377" t="s">
        <v>77</v>
      </c>
      <c r="AM1377">
        <f t="shared" si="105"/>
        <v>4</v>
      </c>
      <c r="AN1377">
        <f t="shared" si="106"/>
        <v>11</v>
      </c>
      <c r="AO1377" t="str">
        <f t="shared" si="107"/>
        <v/>
      </c>
      <c r="AP1377" t="str">
        <f t="shared" si="108"/>
        <v/>
      </c>
      <c r="AQ1377">
        <f t="shared" si="109"/>
        <v>2011</v>
      </c>
    </row>
    <row r="1378" spans="1:43" x14ac:dyDescent="0.35">
      <c r="A1378">
        <v>1529</v>
      </c>
      <c r="B1378">
        <v>35</v>
      </c>
      <c r="C1378" t="s">
        <v>148</v>
      </c>
      <c r="D1378" t="s">
        <v>145</v>
      </c>
      <c r="E1378" t="s">
        <v>4</v>
      </c>
      <c r="F1378" t="s">
        <v>38</v>
      </c>
      <c r="G1378" t="s">
        <v>44</v>
      </c>
      <c r="H1378" t="s">
        <v>81</v>
      </c>
      <c r="I1378" t="s">
        <v>42</v>
      </c>
      <c r="J1378" t="s">
        <v>161</v>
      </c>
      <c r="K1378" t="s">
        <v>42</v>
      </c>
      <c r="L1378" t="s">
        <v>147</v>
      </c>
      <c r="M1378" t="s">
        <v>47</v>
      </c>
      <c r="N1378" t="s">
        <v>95</v>
      </c>
      <c r="P1378" t="s">
        <v>148</v>
      </c>
      <c r="Q1378">
        <v>19</v>
      </c>
      <c r="R1378">
        <v>1</v>
      </c>
      <c r="S1378">
        <v>11</v>
      </c>
      <c r="T1378">
        <v>3</v>
      </c>
      <c r="U1378">
        <v>3</v>
      </c>
      <c r="V1378">
        <v>16</v>
      </c>
      <c r="W1378">
        <v>91</v>
      </c>
      <c r="X1378">
        <v>1029</v>
      </c>
      <c r="Y1378">
        <v>21195</v>
      </c>
      <c r="Z1378">
        <v>8606</v>
      </c>
      <c r="AA1378">
        <v>3</v>
      </c>
      <c r="AB1378" s="29">
        <v>44773</v>
      </c>
      <c r="AC1378" s="29">
        <v>32349</v>
      </c>
      <c r="AD1378" s="29">
        <v>40901</v>
      </c>
      <c r="AE1378" s="29"/>
      <c r="AF1378">
        <v>11</v>
      </c>
      <c r="AG1378" t="s">
        <v>149</v>
      </c>
      <c r="AI1378">
        <v>24</v>
      </c>
      <c r="AJ1378">
        <v>1</v>
      </c>
      <c r="AK1378" t="s">
        <v>154</v>
      </c>
      <c r="AL1378" t="s">
        <v>77</v>
      </c>
      <c r="AM1378">
        <f t="shared" si="105"/>
        <v>4</v>
      </c>
      <c r="AN1378">
        <f t="shared" si="106"/>
        <v>12</v>
      </c>
      <c r="AO1378" t="str">
        <f t="shared" si="107"/>
        <v/>
      </c>
      <c r="AP1378" t="str">
        <f t="shared" si="108"/>
        <v/>
      </c>
      <c r="AQ1378">
        <f t="shared" si="109"/>
        <v>2011</v>
      </c>
    </row>
    <row r="1379" spans="1:43" x14ac:dyDescent="0.35">
      <c r="A1379">
        <v>153</v>
      </c>
      <c r="B1379">
        <v>34</v>
      </c>
      <c r="C1379" t="s">
        <v>148</v>
      </c>
      <c r="D1379" t="s">
        <v>145</v>
      </c>
      <c r="E1379" t="s">
        <v>4</v>
      </c>
      <c r="F1379" t="s">
        <v>38</v>
      </c>
      <c r="G1379" t="s">
        <v>43</v>
      </c>
      <c r="H1379" t="s">
        <v>81</v>
      </c>
      <c r="I1379" t="s">
        <v>42</v>
      </c>
      <c r="J1379" t="s">
        <v>169</v>
      </c>
      <c r="K1379" t="s">
        <v>41</v>
      </c>
      <c r="L1379" t="s">
        <v>147</v>
      </c>
      <c r="M1379" t="s">
        <v>49</v>
      </c>
      <c r="N1379" t="s">
        <v>95</v>
      </c>
      <c r="P1379" t="s">
        <v>148</v>
      </c>
      <c r="Q1379">
        <v>12</v>
      </c>
      <c r="R1379">
        <v>2</v>
      </c>
      <c r="S1379">
        <v>14</v>
      </c>
      <c r="T1379">
        <v>5</v>
      </c>
      <c r="U1379">
        <v>8</v>
      </c>
      <c r="V1379">
        <v>5</v>
      </c>
      <c r="W1379">
        <v>45</v>
      </c>
      <c r="X1379">
        <v>1354</v>
      </c>
      <c r="Y1379">
        <v>5615</v>
      </c>
      <c r="Z1379">
        <v>11631</v>
      </c>
      <c r="AA1379">
        <v>6</v>
      </c>
      <c r="AB1379" s="29">
        <v>44773</v>
      </c>
      <c r="AC1379" s="29">
        <v>32668</v>
      </c>
      <c r="AD1379" s="29">
        <v>40980</v>
      </c>
      <c r="AE1379" s="29"/>
      <c r="AF1379">
        <v>10</v>
      </c>
      <c r="AG1379" t="s">
        <v>149</v>
      </c>
      <c r="AI1379">
        <v>24</v>
      </c>
      <c r="AJ1379">
        <v>1</v>
      </c>
      <c r="AK1379" t="s">
        <v>154</v>
      </c>
      <c r="AL1379" t="s">
        <v>77</v>
      </c>
      <c r="AM1379">
        <f t="shared" si="105"/>
        <v>1</v>
      </c>
      <c r="AN1379">
        <f t="shared" si="106"/>
        <v>3</v>
      </c>
      <c r="AO1379" t="str">
        <f t="shared" si="107"/>
        <v/>
      </c>
      <c r="AP1379" t="str">
        <f t="shared" si="108"/>
        <v/>
      </c>
      <c r="AQ1379">
        <f t="shared" si="109"/>
        <v>2012</v>
      </c>
    </row>
    <row r="1380" spans="1:43" x14ac:dyDescent="0.35">
      <c r="A1380">
        <v>117</v>
      </c>
      <c r="B1380">
        <v>30</v>
      </c>
      <c r="C1380" t="s">
        <v>148</v>
      </c>
      <c r="D1380" t="s">
        <v>145</v>
      </c>
      <c r="E1380" t="s">
        <v>4</v>
      </c>
      <c r="F1380" t="s">
        <v>38</v>
      </c>
      <c r="G1380" t="s">
        <v>43</v>
      </c>
      <c r="H1380" t="s">
        <v>82</v>
      </c>
      <c r="I1380" t="s">
        <v>42</v>
      </c>
      <c r="J1380" t="s">
        <v>161</v>
      </c>
      <c r="K1380" t="s">
        <v>44</v>
      </c>
      <c r="L1380" t="s">
        <v>147</v>
      </c>
      <c r="M1380" t="s">
        <v>49</v>
      </c>
      <c r="N1380" t="s">
        <v>160</v>
      </c>
      <c r="O1380" t="s">
        <v>43</v>
      </c>
      <c r="P1380" t="s">
        <v>148</v>
      </c>
      <c r="Q1380">
        <v>19</v>
      </c>
      <c r="R1380">
        <v>1</v>
      </c>
      <c r="S1380">
        <v>11</v>
      </c>
      <c r="T1380">
        <v>10</v>
      </c>
      <c r="U1380">
        <v>8</v>
      </c>
      <c r="V1380">
        <v>2</v>
      </c>
      <c r="W1380">
        <v>99</v>
      </c>
      <c r="X1380">
        <v>288</v>
      </c>
      <c r="Y1380">
        <v>15830</v>
      </c>
      <c r="Z1380">
        <v>4152</v>
      </c>
      <c r="AA1380">
        <v>3</v>
      </c>
      <c r="AB1380" s="29">
        <v>44773</v>
      </c>
      <c r="AC1380" s="29">
        <v>34105</v>
      </c>
      <c r="AD1380" s="29">
        <v>41043</v>
      </c>
      <c r="AE1380" s="29"/>
      <c r="AF1380">
        <v>10</v>
      </c>
      <c r="AG1380" t="s">
        <v>149</v>
      </c>
      <c r="AI1380">
        <v>20</v>
      </c>
      <c r="AJ1380">
        <v>1</v>
      </c>
      <c r="AK1380" t="s">
        <v>154</v>
      </c>
      <c r="AL1380" t="s">
        <v>77</v>
      </c>
      <c r="AM1380">
        <f t="shared" si="105"/>
        <v>2</v>
      </c>
      <c r="AN1380">
        <f t="shared" si="106"/>
        <v>5</v>
      </c>
      <c r="AO1380" t="str">
        <f t="shared" si="107"/>
        <v/>
      </c>
      <c r="AP1380" t="str">
        <f t="shared" si="108"/>
        <v/>
      </c>
      <c r="AQ1380">
        <f t="shared" si="109"/>
        <v>2012</v>
      </c>
    </row>
    <row r="1381" spans="1:43" x14ac:dyDescent="0.35">
      <c r="A1381">
        <v>339</v>
      </c>
      <c r="B1381">
        <v>34</v>
      </c>
      <c r="C1381" t="s">
        <v>148</v>
      </c>
      <c r="D1381" t="s">
        <v>145</v>
      </c>
      <c r="E1381" t="s">
        <v>4</v>
      </c>
      <c r="F1381" t="s">
        <v>37</v>
      </c>
      <c r="G1381" t="s">
        <v>44</v>
      </c>
      <c r="H1381" t="s">
        <v>82</v>
      </c>
      <c r="I1381" t="s">
        <v>42</v>
      </c>
      <c r="J1381" t="s">
        <v>165</v>
      </c>
      <c r="K1381" t="s">
        <v>41</v>
      </c>
      <c r="L1381" t="s">
        <v>147</v>
      </c>
      <c r="M1381" t="s">
        <v>49</v>
      </c>
      <c r="N1381" t="s">
        <v>160</v>
      </c>
      <c r="O1381" t="s">
        <v>41</v>
      </c>
      <c r="P1381" t="s">
        <v>148</v>
      </c>
      <c r="Q1381">
        <v>13</v>
      </c>
      <c r="R1381">
        <v>6</v>
      </c>
      <c r="S1381">
        <v>13</v>
      </c>
      <c r="T1381">
        <v>5</v>
      </c>
      <c r="U1381">
        <v>9</v>
      </c>
      <c r="V1381">
        <v>2</v>
      </c>
      <c r="W1381">
        <v>84</v>
      </c>
      <c r="X1381">
        <v>470</v>
      </c>
      <c r="Y1381">
        <v>23687</v>
      </c>
      <c r="Z1381">
        <v>5957</v>
      </c>
      <c r="AA1381">
        <v>3</v>
      </c>
      <c r="AB1381" s="29">
        <v>44773</v>
      </c>
      <c r="AC1381" s="29">
        <v>32398</v>
      </c>
      <c r="AD1381" s="29">
        <v>41045</v>
      </c>
      <c r="AE1381" s="29"/>
      <c r="AF1381">
        <v>10</v>
      </c>
      <c r="AG1381" t="s">
        <v>149</v>
      </c>
      <c r="AI1381">
        <v>24</v>
      </c>
      <c r="AJ1381">
        <v>1</v>
      </c>
      <c r="AK1381" t="s">
        <v>154</v>
      </c>
      <c r="AL1381" t="s">
        <v>77</v>
      </c>
      <c r="AM1381">
        <f t="shared" si="105"/>
        <v>2</v>
      </c>
      <c r="AN1381">
        <f t="shared" si="106"/>
        <v>5</v>
      </c>
      <c r="AO1381" t="str">
        <f t="shared" si="107"/>
        <v/>
      </c>
      <c r="AP1381" t="str">
        <f t="shared" si="108"/>
        <v/>
      </c>
      <c r="AQ1381">
        <f t="shared" si="109"/>
        <v>2012</v>
      </c>
    </row>
    <row r="1382" spans="1:43" x14ac:dyDescent="0.35">
      <c r="A1382">
        <v>1658</v>
      </c>
      <c r="B1382">
        <v>34</v>
      </c>
      <c r="C1382" t="s">
        <v>148</v>
      </c>
      <c r="D1382" t="s">
        <v>145</v>
      </c>
      <c r="E1382" t="s">
        <v>4</v>
      </c>
      <c r="F1382" t="s">
        <v>38</v>
      </c>
      <c r="G1382" t="s">
        <v>44</v>
      </c>
      <c r="H1382" t="s">
        <v>81</v>
      </c>
      <c r="I1382" t="s">
        <v>43</v>
      </c>
      <c r="J1382" t="s">
        <v>146</v>
      </c>
      <c r="K1382" t="s">
        <v>42</v>
      </c>
      <c r="L1382" t="s">
        <v>147</v>
      </c>
      <c r="M1382" t="s">
        <v>49</v>
      </c>
      <c r="N1382" t="s">
        <v>96</v>
      </c>
      <c r="O1382" t="s">
        <v>41</v>
      </c>
      <c r="P1382" t="s">
        <v>148</v>
      </c>
      <c r="Q1382">
        <v>12</v>
      </c>
      <c r="R1382">
        <v>1</v>
      </c>
      <c r="S1382">
        <v>11</v>
      </c>
      <c r="T1382">
        <v>7</v>
      </c>
      <c r="U1382">
        <v>9</v>
      </c>
      <c r="V1382">
        <v>3</v>
      </c>
      <c r="W1382">
        <v>66</v>
      </c>
      <c r="X1382">
        <v>1130</v>
      </c>
      <c r="Y1382">
        <v>19332</v>
      </c>
      <c r="Z1382">
        <v>5433</v>
      </c>
      <c r="AA1382">
        <v>2</v>
      </c>
      <c r="AB1382" s="29">
        <v>44773</v>
      </c>
      <c r="AC1382" s="29">
        <v>32595</v>
      </c>
      <c r="AD1382" s="29">
        <v>41075</v>
      </c>
      <c r="AE1382" s="29"/>
      <c r="AF1382">
        <v>10</v>
      </c>
      <c r="AG1382" t="s">
        <v>149</v>
      </c>
      <c r="AI1382">
        <v>24</v>
      </c>
      <c r="AJ1382">
        <v>1</v>
      </c>
      <c r="AK1382" t="s">
        <v>154</v>
      </c>
      <c r="AL1382" t="s">
        <v>77</v>
      </c>
      <c r="AM1382">
        <f t="shared" si="105"/>
        <v>2</v>
      </c>
      <c r="AN1382">
        <f t="shared" si="106"/>
        <v>6</v>
      </c>
      <c r="AO1382" t="str">
        <f t="shared" si="107"/>
        <v/>
      </c>
      <c r="AP1382" t="str">
        <f t="shared" si="108"/>
        <v/>
      </c>
      <c r="AQ1382">
        <f t="shared" si="109"/>
        <v>2012</v>
      </c>
    </row>
    <row r="1383" spans="1:43" x14ac:dyDescent="0.35">
      <c r="A1383">
        <v>1543</v>
      </c>
      <c r="B1383">
        <v>37</v>
      </c>
      <c r="C1383" t="s">
        <v>148</v>
      </c>
      <c r="D1383" t="s">
        <v>145</v>
      </c>
      <c r="E1383" t="s">
        <v>4</v>
      </c>
      <c r="F1383" t="s">
        <v>38</v>
      </c>
      <c r="G1383" t="s">
        <v>41</v>
      </c>
      <c r="H1383" t="s">
        <v>82</v>
      </c>
      <c r="I1383" t="s">
        <v>43</v>
      </c>
      <c r="J1383" t="s">
        <v>146</v>
      </c>
      <c r="K1383" t="s">
        <v>44</v>
      </c>
      <c r="L1383" t="s">
        <v>147</v>
      </c>
      <c r="M1383" t="s">
        <v>49</v>
      </c>
      <c r="N1383" t="s">
        <v>160</v>
      </c>
      <c r="P1383" t="s">
        <v>148</v>
      </c>
      <c r="Q1383">
        <v>17</v>
      </c>
      <c r="R1383">
        <v>1</v>
      </c>
      <c r="S1383">
        <v>10</v>
      </c>
      <c r="T1383">
        <v>3</v>
      </c>
      <c r="U1383">
        <v>7</v>
      </c>
      <c r="V1383">
        <v>13</v>
      </c>
      <c r="W1383">
        <v>47</v>
      </c>
      <c r="X1383">
        <v>674</v>
      </c>
      <c r="Y1383">
        <v>3031</v>
      </c>
      <c r="Z1383">
        <v>4285</v>
      </c>
      <c r="AA1383">
        <v>2</v>
      </c>
      <c r="AB1383" s="29">
        <v>44773</v>
      </c>
      <c r="AC1383" s="29">
        <v>31404</v>
      </c>
      <c r="AD1383" s="29">
        <v>41158</v>
      </c>
      <c r="AE1383" s="29"/>
      <c r="AF1383">
        <v>10</v>
      </c>
      <c r="AG1383" t="s">
        <v>149</v>
      </c>
      <c r="AI1383">
        <v>27</v>
      </c>
      <c r="AJ1383">
        <v>1</v>
      </c>
      <c r="AK1383" t="s">
        <v>154</v>
      </c>
      <c r="AL1383" t="s">
        <v>78</v>
      </c>
      <c r="AM1383">
        <f t="shared" si="105"/>
        <v>3</v>
      </c>
      <c r="AN1383">
        <f t="shared" si="106"/>
        <v>9</v>
      </c>
      <c r="AO1383" t="str">
        <f t="shared" si="107"/>
        <v/>
      </c>
      <c r="AP1383" t="str">
        <f t="shared" si="108"/>
        <v/>
      </c>
      <c r="AQ1383">
        <f t="shared" si="109"/>
        <v>2012</v>
      </c>
    </row>
    <row r="1384" spans="1:43" x14ac:dyDescent="0.35">
      <c r="A1384">
        <v>689</v>
      </c>
      <c r="B1384">
        <v>37</v>
      </c>
      <c r="C1384" t="s">
        <v>148</v>
      </c>
      <c r="D1384" t="s">
        <v>145</v>
      </c>
      <c r="E1384" t="s">
        <v>4</v>
      </c>
      <c r="F1384" t="s">
        <v>38</v>
      </c>
      <c r="G1384" t="s">
        <v>43</v>
      </c>
      <c r="H1384" t="s">
        <v>82</v>
      </c>
      <c r="I1384" t="s">
        <v>43</v>
      </c>
      <c r="J1384" t="s">
        <v>165</v>
      </c>
      <c r="K1384" t="s">
        <v>43</v>
      </c>
      <c r="L1384" t="s">
        <v>147</v>
      </c>
      <c r="M1384" t="s">
        <v>49</v>
      </c>
      <c r="N1384" t="s">
        <v>160</v>
      </c>
      <c r="O1384" t="s">
        <v>41</v>
      </c>
      <c r="P1384" t="s">
        <v>148</v>
      </c>
      <c r="Q1384">
        <v>15</v>
      </c>
      <c r="R1384">
        <v>1</v>
      </c>
      <c r="S1384">
        <v>10</v>
      </c>
      <c r="T1384">
        <v>7</v>
      </c>
      <c r="U1384">
        <v>8</v>
      </c>
      <c r="V1384">
        <v>3</v>
      </c>
      <c r="W1384">
        <v>36</v>
      </c>
      <c r="X1384">
        <v>482</v>
      </c>
      <c r="Y1384">
        <v>9606</v>
      </c>
      <c r="Z1384">
        <v>9434</v>
      </c>
      <c r="AA1384">
        <v>2</v>
      </c>
      <c r="AB1384" s="29">
        <v>44773</v>
      </c>
      <c r="AC1384" s="29">
        <v>31270</v>
      </c>
      <c r="AD1384" s="29">
        <v>41169</v>
      </c>
      <c r="AE1384" s="29"/>
      <c r="AF1384">
        <v>10</v>
      </c>
      <c r="AG1384" t="s">
        <v>149</v>
      </c>
      <c r="AI1384">
        <v>27</v>
      </c>
      <c r="AJ1384">
        <v>1</v>
      </c>
      <c r="AK1384" t="s">
        <v>154</v>
      </c>
      <c r="AL1384" t="s">
        <v>77</v>
      </c>
      <c r="AM1384">
        <f t="shared" si="105"/>
        <v>3</v>
      </c>
      <c r="AN1384">
        <f t="shared" si="106"/>
        <v>9</v>
      </c>
      <c r="AO1384" t="str">
        <f t="shared" si="107"/>
        <v/>
      </c>
      <c r="AP1384" t="str">
        <f t="shared" si="108"/>
        <v/>
      </c>
      <c r="AQ1384">
        <f t="shared" si="109"/>
        <v>2012</v>
      </c>
    </row>
    <row r="1385" spans="1:43" x14ac:dyDescent="0.35">
      <c r="A1385">
        <v>1635</v>
      </c>
      <c r="B1385">
        <v>45</v>
      </c>
      <c r="C1385" t="s">
        <v>148</v>
      </c>
      <c r="D1385" t="s">
        <v>145</v>
      </c>
      <c r="E1385" t="s">
        <v>4</v>
      </c>
      <c r="F1385" t="s">
        <v>36</v>
      </c>
      <c r="G1385" t="s">
        <v>44</v>
      </c>
      <c r="H1385" t="s">
        <v>81</v>
      </c>
      <c r="I1385" t="s">
        <v>42</v>
      </c>
      <c r="J1385" t="s">
        <v>165</v>
      </c>
      <c r="K1385" t="s">
        <v>44</v>
      </c>
      <c r="L1385" t="s">
        <v>147</v>
      </c>
      <c r="M1385" t="s">
        <v>49</v>
      </c>
      <c r="N1385" t="s">
        <v>96</v>
      </c>
      <c r="O1385" t="s">
        <v>156</v>
      </c>
      <c r="P1385" t="s">
        <v>148</v>
      </c>
      <c r="Q1385">
        <v>19</v>
      </c>
      <c r="R1385">
        <v>1</v>
      </c>
      <c r="S1385">
        <v>10</v>
      </c>
      <c r="T1385">
        <v>3</v>
      </c>
      <c r="U1385">
        <v>9</v>
      </c>
      <c r="V1385">
        <v>2</v>
      </c>
      <c r="W1385">
        <v>59</v>
      </c>
      <c r="X1385">
        <v>1329</v>
      </c>
      <c r="Y1385">
        <v>5388</v>
      </c>
      <c r="Z1385">
        <v>5770</v>
      </c>
      <c r="AA1385">
        <v>3</v>
      </c>
      <c r="AB1385" s="29">
        <v>44773</v>
      </c>
      <c r="AC1385" s="29">
        <v>28464</v>
      </c>
      <c r="AD1385" s="29">
        <v>41201</v>
      </c>
      <c r="AE1385" s="29"/>
      <c r="AF1385">
        <v>10</v>
      </c>
      <c r="AG1385" t="s">
        <v>153</v>
      </c>
      <c r="AI1385">
        <v>35</v>
      </c>
      <c r="AJ1385">
        <v>1</v>
      </c>
      <c r="AK1385" t="s">
        <v>154</v>
      </c>
      <c r="AL1385" t="s">
        <v>77</v>
      </c>
      <c r="AM1385">
        <f t="shared" si="105"/>
        <v>4</v>
      </c>
      <c r="AN1385">
        <f t="shared" si="106"/>
        <v>10</v>
      </c>
      <c r="AO1385" t="str">
        <f t="shared" si="107"/>
        <v/>
      </c>
      <c r="AP1385" t="str">
        <f t="shared" si="108"/>
        <v/>
      </c>
      <c r="AQ1385">
        <f t="shared" si="109"/>
        <v>2012</v>
      </c>
    </row>
    <row r="1386" spans="1:43" x14ac:dyDescent="0.35">
      <c r="A1386">
        <v>20</v>
      </c>
      <c r="B1386">
        <v>29</v>
      </c>
      <c r="C1386" t="s">
        <v>148</v>
      </c>
      <c r="D1386" t="s">
        <v>145</v>
      </c>
      <c r="E1386" t="s">
        <v>4</v>
      </c>
      <c r="F1386" t="s">
        <v>37</v>
      </c>
      <c r="G1386" t="s">
        <v>42</v>
      </c>
      <c r="H1386" t="s">
        <v>81</v>
      </c>
      <c r="I1386" t="s">
        <v>44</v>
      </c>
      <c r="J1386" t="s">
        <v>165</v>
      </c>
      <c r="K1386" t="s">
        <v>41</v>
      </c>
      <c r="L1386" t="s">
        <v>147</v>
      </c>
      <c r="M1386" t="s">
        <v>49</v>
      </c>
      <c r="N1386" t="s">
        <v>96</v>
      </c>
      <c r="O1386" t="s">
        <v>41</v>
      </c>
      <c r="P1386" t="s">
        <v>148</v>
      </c>
      <c r="Q1386">
        <v>11</v>
      </c>
      <c r="R1386">
        <v>1</v>
      </c>
      <c r="S1386">
        <v>10</v>
      </c>
      <c r="T1386">
        <v>8</v>
      </c>
      <c r="U1386">
        <v>8</v>
      </c>
      <c r="V1386">
        <v>21</v>
      </c>
      <c r="W1386">
        <v>51</v>
      </c>
      <c r="X1386">
        <v>1389</v>
      </c>
      <c r="Y1386">
        <v>10195</v>
      </c>
      <c r="Z1386">
        <v>9980</v>
      </c>
      <c r="AA1386">
        <v>1</v>
      </c>
      <c r="AB1386" s="29">
        <v>44773</v>
      </c>
      <c r="AC1386" s="29">
        <v>34369</v>
      </c>
      <c r="AD1386" s="29">
        <v>41209</v>
      </c>
      <c r="AE1386" s="29"/>
      <c r="AF1386">
        <v>10</v>
      </c>
      <c r="AG1386" t="s">
        <v>157</v>
      </c>
      <c r="AI1386">
        <v>19</v>
      </c>
      <c r="AJ1386">
        <v>1</v>
      </c>
      <c r="AK1386" t="s">
        <v>154</v>
      </c>
      <c r="AL1386" t="s">
        <v>78</v>
      </c>
      <c r="AM1386">
        <f t="shared" si="105"/>
        <v>4</v>
      </c>
      <c r="AN1386">
        <f t="shared" si="106"/>
        <v>10</v>
      </c>
      <c r="AO1386" t="str">
        <f t="shared" si="107"/>
        <v/>
      </c>
      <c r="AP1386" t="str">
        <f t="shared" si="108"/>
        <v/>
      </c>
      <c r="AQ1386">
        <f t="shared" si="109"/>
        <v>2012</v>
      </c>
    </row>
    <row r="1387" spans="1:43" x14ac:dyDescent="0.35">
      <c r="A1387">
        <v>1553</v>
      </c>
      <c r="B1387">
        <v>45</v>
      </c>
      <c r="C1387" t="s">
        <v>148</v>
      </c>
      <c r="D1387" t="s">
        <v>145</v>
      </c>
      <c r="E1387" t="s">
        <v>4</v>
      </c>
      <c r="F1387" t="s">
        <v>37</v>
      </c>
      <c r="G1387" t="s">
        <v>41</v>
      </c>
      <c r="H1387" t="s">
        <v>82</v>
      </c>
      <c r="I1387" t="s">
        <v>43</v>
      </c>
      <c r="J1387" t="s">
        <v>161</v>
      </c>
      <c r="K1387" t="s">
        <v>42</v>
      </c>
      <c r="L1387" t="s">
        <v>147</v>
      </c>
      <c r="M1387" t="s">
        <v>49</v>
      </c>
      <c r="N1387" t="s">
        <v>96</v>
      </c>
      <c r="O1387" t="s">
        <v>43</v>
      </c>
      <c r="P1387" t="s">
        <v>148</v>
      </c>
      <c r="Q1387">
        <v>12</v>
      </c>
      <c r="R1387">
        <v>1</v>
      </c>
      <c r="S1387">
        <v>10</v>
      </c>
      <c r="T1387">
        <v>7</v>
      </c>
      <c r="U1387">
        <v>7</v>
      </c>
      <c r="V1387">
        <v>1</v>
      </c>
      <c r="W1387">
        <v>66</v>
      </c>
      <c r="X1387">
        <v>538</v>
      </c>
      <c r="Y1387">
        <v>20933</v>
      </c>
      <c r="Z1387">
        <v>7441</v>
      </c>
      <c r="AA1387">
        <v>4</v>
      </c>
      <c r="AB1387" s="29">
        <v>44773</v>
      </c>
      <c r="AC1387" s="29">
        <v>28628</v>
      </c>
      <c r="AD1387" s="29">
        <v>41230</v>
      </c>
      <c r="AE1387" s="29"/>
      <c r="AF1387">
        <v>10</v>
      </c>
      <c r="AG1387" t="s">
        <v>153</v>
      </c>
      <c r="AI1387">
        <v>35</v>
      </c>
      <c r="AJ1387">
        <v>1</v>
      </c>
      <c r="AK1387" t="s">
        <v>154</v>
      </c>
      <c r="AL1387" t="s">
        <v>77</v>
      </c>
      <c r="AM1387">
        <f t="shared" si="105"/>
        <v>4</v>
      </c>
      <c r="AN1387">
        <f t="shared" si="106"/>
        <v>11</v>
      </c>
      <c r="AO1387" t="str">
        <f t="shared" si="107"/>
        <v/>
      </c>
      <c r="AP1387" t="str">
        <f t="shared" si="108"/>
        <v/>
      </c>
      <c r="AQ1387">
        <f t="shared" si="109"/>
        <v>2012</v>
      </c>
    </row>
    <row r="1388" spans="1:43" x14ac:dyDescent="0.35">
      <c r="A1388">
        <v>1224</v>
      </c>
      <c r="B1388">
        <v>30</v>
      </c>
      <c r="C1388" t="s">
        <v>148</v>
      </c>
      <c r="D1388" t="s">
        <v>145</v>
      </c>
      <c r="E1388" t="s">
        <v>4</v>
      </c>
      <c r="F1388" t="s">
        <v>37</v>
      </c>
      <c r="G1388" t="s">
        <v>43</v>
      </c>
      <c r="H1388" t="s">
        <v>82</v>
      </c>
      <c r="I1388" t="s">
        <v>43</v>
      </c>
      <c r="J1388" t="s">
        <v>155</v>
      </c>
      <c r="K1388" t="s">
        <v>43</v>
      </c>
      <c r="L1388" t="s">
        <v>147</v>
      </c>
      <c r="M1388" t="s">
        <v>48</v>
      </c>
      <c r="N1388" t="s">
        <v>96</v>
      </c>
      <c r="O1388" t="s">
        <v>43</v>
      </c>
      <c r="P1388" t="s">
        <v>148</v>
      </c>
      <c r="Q1388">
        <v>13</v>
      </c>
      <c r="R1388">
        <v>1</v>
      </c>
      <c r="S1388">
        <v>10</v>
      </c>
      <c r="T1388">
        <v>8</v>
      </c>
      <c r="U1388">
        <v>9</v>
      </c>
      <c r="V1388">
        <v>7</v>
      </c>
      <c r="W1388">
        <v>49</v>
      </c>
      <c r="X1388">
        <v>853</v>
      </c>
      <c r="Y1388">
        <v>11309</v>
      </c>
      <c r="Z1388">
        <v>3491</v>
      </c>
      <c r="AA1388">
        <v>4</v>
      </c>
      <c r="AB1388" s="29">
        <v>44773</v>
      </c>
      <c r="AC1388" s="29">
        <v>33890</v>
      </c>
      <c r="AD1388" s="29">
        <v>41235</v>
      </c>
      <c r="AE1388" s="29"/>
      <c r="AF1388">
        <v>10</v>
      </c>
      <c r="AG1388" t="s">
        <v>149</v>
      </c>
      <c r="AI1388">
        <v>20</v>
      </c>
      <c r="AJ1388">
        <v>1</v>
      </c>
      <c r="AK1388" t="s">
        <v>154</v>
      </c>
      <c r="AL1388" t="s">
        <v>78</v>
      </c>
      <c r="AM1388">
        <f t="shared" si="105"/>
        <v>4</v>
      </c>
      <c r="AN1388">
        <f t="shared" si="106"/>
        <v>11</v>
      </c>
      <c r="AO1388" t="str">
        <f t="shared" si="107"/>
        <v/>
      </c>
      <c r="AP1388" t="str">
        <f t="shared" si="108"/>
        <v/>
      </c>
      <c r="AQ1388">
        <f t="shared" si="109"/>
        <v>2012</v>
      </c>
    </row>
    <row r="1389" spans="1:43" x14ac:dyDescent="0.35">
      <c r="A1389">
        <v>683</v>
      </c>
      <c r="B1389">
        <v>34</v>
      </c>
      <c r="C1389" t="s">
        <v>148</v>
      </c>
      <c r="D1389" t="s">
        <v>145</v>
      </c>
      <c r="E1389" t="s">
        <v>4</v>
      </c>
      <c r="F1389" t="s">
        <v>34</v>
      </c>
      <c r="G1389" t="s">
        <v>42</v>
      </c>
      <c r="H1389" t="s">
        <v>82</v>
      </c>
      <c r="I1389" t="s">
        <v>43</v>
      </c>
      <c r="J1389" t="s">
        <v>146</v>
      </c>
      <c r="K1389" t="s">
        <v>44</v>
      </c>
      <c r="L1389" t="s">
        <v>147</v>
      </c>
      <c r="M1389" t="s">
        <v>48</v>
      </c>
      <c r="N1389" t="s">
        <v>160</v>
      </c>
      <c r="O1389" t="s">
        <v>41</v>
      </c>
      <c r="P1389" t="s">
        <v>148</v>
      </c>
      <c r="Q1389">
        <v>12</v>
      </c>
      <c r="R1389">
        <v>1</v>
      </c>
      <c r="S1389">
        <v>10</v>
      </c>
      <c r="T1389">
        <v>8</v>
      </c>
      <c r="U1389">
        <v>8</v>
      </c>
      <c r="V1389">
        <v>1</v>
      </c>
      <c r="W1389">
        <v>42</v>
      </c>
      <c r="X1389">
        <v>1397</v>
      </c>
      <c r="Y1389">
        <v>7660</v>
      </c>
      <c r="Z1389">
        <v>2691</v>
      </c>
      <c r="AA1389">
        <v>4</v>
      </c>
      <c r="AB1389" s="29">
        <v>44773</v>
      </c>
      <c r="AC1389" s="29">
        <v>32617</v>
      </c>
      <c r="AD1389" s="29">
        <v>41242</v>
      </c>
      <c r="AE1389" s="29"/>
      <c r="AF1389">
        <v>10</v>
      </c>
      <c r="AG1389" t="s">
        <v>149</v>
      </c>
      <c r="AI1389">
        <v>24</v>
      </c>
      <c r="AJ1389">
        <v>1</v>
      </c>
      <c r="AK1389" t="s">
        <v>154</v>
      </c>
      <c r="AL1389" t="s">
        <v>77</v>
      </c>
      <c r="AM1389">
        <f t="shared" si="105"/>
        <v>4</v>
      </c>
      <c r="AN1389">
        <f t="shared" si="106"/>
        <v>11</v>
      </c>
      <c r="AO1389" t="str">
        <f t="shared" si="107"/>
        <v/>
      </c>
      <c r="AP1389" t="str">
        <f t="shared" si="108"/>
        <v/>
      </c>
      <c r="AQ1389">
        <f t="shared" si="109"/>
        <v>2012</v>
      </c>
    </row>
    <row r="1390" spans="1:43" x14ac:dyDescent="0.35">
      <c r="A1390">
        <v>104</v>
      </c>
      <c r="B1390">
        <v>30</v>
      </c>
      <c r="C1390" t="s">
        <v>148</v>
      </c>
      <c r="D1390" t="s">
        <v>145</v>
      </c>
      <c r="E1390" t="s">
        <v>4</v>
      </c>
      <c r="F1390" t="s">
        <v>35</v>
      </c>
      <c r="G1390" t="s">
        <v>44</v>
      </c>
      <c r="H1390" t="s">
        <v>82</v>
      </c>
      <c r="I1390" t="s">
        <v>42</v>
      </c>
      <c r="J1390" t="s">
        <v>155</v>
      </c>
      <c r="K1390" t="s">
        <v>44</v>
      </c>
      <c r="L1390" t="s">
        <v>147</v>
      </c>
      <c r="M1390" t="s">
        <v>48</v>
      </c>
      <c r="N1390" t="s">
        <v>160</v>
      </c>
      <c r="O1390" t="s">
        <v>156</v>
      </c>
      <c r="P1390" t="s">
        <v>144</v>
      </c>
      <c r="Q1390">
        <v>12</v>
      </c>
      <c r="R1390">
        <v>1</v>
      </c>
      <c r="S1390">
        <v>10</v>
      </c>
      <c r="T1390">
        <v>3</v>
      </c>
      <c r="U1390">
        <v>0</v>
      </c>
      <c r="V1390">
        <v>1</v>
      </c>
      <c r="W1390">
        <v>55</v>
      </c>
      <c r="X1390">
        <v>852</v>
      </c>
      <c r="Y1390">
        <v>15998</v>
      </c>
      <c r="Z1390">
        <v>5126</v>
      </c>
      <c r="AA1390">
        <v>1</v>
      </c>
      <c r="AB1390" s="29">
        <v>44773</v>
      </c>
      <c r="AC1390" s="29">
        <v>33915</v>
      </c>
      <c r="AD1390" s="29">
        <v>41253</v>
      </c>
      <c r="AE1390" s="29"/>
      <c r="AF1390">
        <v>10</v>
      </c>
      <c r="AG1390" t="s">
        <v>149</v>
      </c>
      <c r="AI1390">
        <v>20</v>
      </c>
      <c r="AJ1390">
        <v>1</v>
      </c>
      <c r="AK1390" t="s">
        <v>154</v>
      </c>
      <c r="AL1390" t="s">
        <v>77</v>
      </c>
      <c r="AM1390">
        <f t="shared" si="105"/>
        <v>4</v>
      </c>
      <c r="AN1390">
        <f t="shared" si="106"/>
        <v>12</v>
      </c>
      <c r="AO1390" t="str">
        <f t="shared" si="107"/>
        <v/>
      </c>
      <c r="AP1390" t="str">
        <f t="shared" si="108"/>
        <v/>
      </c>
      <c r="AQ1390">
        <f t="shared" si="109"/>
        <v>2012</v>
      </c>
    </row>
    <row r="1391" spans="1:43" x14ac:dyDescent="0.35">
      <c r="A1391">
        <v>1798</v>
      </c>
      <c r="B1391">
        <v>33</v>
      </c>
      <c r="C1391" t="s">
        <v>148</v>
      </c>
      <c r="D1391" t="s">
        <v>145</v>
      </c>
      <c r="E1391" t="s">
        <v>4</v>
      </c>
      <c r="F1391" t="s">
        <v>37</v>
      </c>
      <c r="G1391" t="s">
        <v>44</v>
      </c>
      <c r="H1391" t="s">
        <v>82</v>
      </c>
      <c r="I1391" t="s">
        <v>44</v>
      </c>
      <c r="J1391" t="s">
        <v>146</v>
      </c>
      <c r="K1391" t="s">
        <v>41</v>
      </c>
      <c r="L1391" t="s">
        <v>147</v>
      </c>
      <c r="M1391" t="s">
        <v>49</v>
      </c>
      <c r="N1391" t="s">
        <v>160</v>
      </c>
      <c r="O1391" t="s">
        <v>41</v>
      </c>
      <c r="P1391" t="s">
        <v>148</v>
      </c>
      <c r="Q1391">
        <v>19</v>
      </c>
      <c r="R1391">
        <v>6</v>
      </c>
      <c r="S1391">
        <v>14</v>
      </c>
      <c r="T1391">
        <v>7</v>
      </c>
      <c r="U1391">
        <v>6</v>
      </c>
      <c r="V1391">
        <v>8</v>
      </c>
      <c r="W1391">
        <v>90</v>
      </c>
      <c r="X1391">
        <v>867</v>
      </c>
      <c r="Y1391">
        <v>6076</v>
      </c>
      <c r="Z1391">
        <v>3143</v>
      </c>
      <c r="AA1391">
        <v>1</v>
      </c>
      <c r="AB1391" s="29">
        <v>44773</v>
      </c>
      <c r="AC1391" s="29">
        <v>32732</v>
      </c>
      <c r="AD1391" s="29">
        <v>41280</v>
      </c>
      <c r="AE1391" s="29"/>
      <c r="AF1391">
        <v>10</v>
      </c>
      <c r="AG1391" t="s">
        <v>149</v>
      </c>
      <c r="AI1391">
        <v>23</v>
      </c>
      <c r="AJ1391">
        <v>1</v>
      </c>
      <c r="AK1391" t="s">
        <v>154</v>
      </c>
      <c r="AL1391" t="s">
        <v>78</v>
      </c>
      <c r="AM1391">
        <f t="shared" si="105"/>
        <v>1</v>
      </c>
      <c r="AN1391">
        <f t="shared" si="106"/>
        <v>1</v>
      </c>
      <c r="AO1391" t="str">
        <f t="shared" si="107"/>
        <v/>
      </c>
      <c r="AP1391" t="str">
        <f t="shared" si="108"/>
        <v/>
      </c>
      <c r="AQ1391">
        <f t="shared" si="109"/>
        <v>2013</v>
      </c>
    </row>
    <row r="1392" spans="1:43" x14ac:dyDescent="0.35">
      <c r="A1392">
        <v>452</v>
      </c>
      <c r="B1392">
        <v>45</v>
      </c>
      <c r="C1392" t="s">
        <v>148</v>
      </c>
      <c r="D1392" t="s">
        <v>145</v>
      </c>
      <c r="E1392" t="s">
        <v>4</v>
      </c>
      <c r="F1392" t="s">
        <v>37</v>
      </c>
      <c r="G1392" t="s">
        <v>44</v>
      </c>
      <c r="H1392" t="s">
        <v>82</v>
      </c>
      <c r="I1392" t="s">
        <v>43</v>
      </c>
      <c r="J1392" t="s">
        <v>146</v>
      </c>
      <c r="K1392" t="s">
        <v>44</v>
      </c>
      <c r="L1392" t="s">
        <v>147</v>
      </c>
      <c r="M1392" t="s">
        <v>49</v>
      </c>
      <c r="N1392" t="s">
        <v>160</v>
      </c>
      <c r="O1392" t="s">
        <v>156</v>
      </c>
      <c r="P1392" t="s">
        <v>148</v>
      </c>
      <c r="Q1392">
        <v>14</v>
      </c>
      <c r="R1392">
        <v>9</v>
      </c>
      <c r="S1392">
        <v>12</v>
      </c>
      <c r="T1392">
        <v>9</v>
      </c>
      <c r="U1392">
        <v>8</v>
      </c>
      <c r="V1392">
        <v>8</v>
      </c>
      <c r="W1392">
        <v>75</v>
      </c>
      <c r="X1392">
        <v>549</v>
      </c>
      <c r="Y1392">
        <v>9278</v>
      </c>
      <c r="Z1392">
        <v>3697</v>
      </c>
      <c r="AA1392">
        <v>3</v>
      </c>
      <c r="AB1392" s="29">
        <v>44773</v>
      </c>
      <c r="AC1392" s="29">
        <v>28580</v>
      </c>
      <c r="AD1392" s="29">
        <v>41356</v>
      </c>
      <c r="AE1392" s="29"/>
      <c r="AF1392">
        <v>9</v>
      </c>
      <c r="AG1392" t="s">
        <v>153</v>
      </c>
      <c r="AI1392">
        <v>36</v>
      </c>
      <c r="AJ1392">
        <v>1</v>
      </c>
      <c r="AK1392" t="s">
        <v>150</v>
      </c>
      <c r="AL1392" t="s">
        <v>77</v>
      </c>
      <c r="AM1392">
        <f t="shared" si="105"/>
        <v>1</v>
      </c>
      <c r="AN1392">
        <f t="shared" si="106"/>
        <v>3</v>
      </c>
      <c r="AO1392" t="str">
        <f t="shared" si="107"/>
        <v/>
      </c>
      <c r="AP1392" t="str">
        <f t="shared" si="108"/>
        <v/>
      </c>
      <c r="AQ1392">
        <f t="shared" si="109"/>
        <v>2013</v>
      </c>
    </row>
    <row r="1393" spans="1:43" x14ac:dyDescent="0.35">
      <c r="A1393">
        <v>1246</v>
      </c>
      <c r="B1393">
        <v>44</v>
      </c>
      <c r="C1393" t="s">
        <v>148</v>
      </c>
      <c r="D1393" t="s">
        <v>145</v>
      </c>
      <c r="E1393" t="s">
        <v>4</v>
      </c>
      <c r="F1393" t="s">
        <v>35</v>
      </c>
      <c r="G1393" t="s">
        <v>41</v>
      </c>
      <c r="H1393" t="s">
        <v>81</v>
      </c>
      <c r="I1393" t="s">
        <v>44</v>
      </c>
      <c r="J1393" t="s">
        <v>146</v>
      </c>
      <c r="K1393" t="s">
        <v>44</v>
      </c>
      <c r="L1393" t="s">
        <v>147</v>
      </c>
      <c r="M1393" t="s">
        <v>49</v>
      </c>
      <c r="N1393" t="s">
        <v>160</v>
      </c>
      <c r="O1393" t="s">
        <v>41</v>
      </c>
      <c r="P1393" t="s">
        <v>148</v>
      </c>
      <c r="Q1393">
        <v>13</v>
      </c>
      <c r="R1393">
        <v>1</v>
      </c>
      <c r="S1393">
        <v>10</v>
      </c>
      <c r="T1393">
        <v>7</v>
      </c>
      <c r="U1393">
        <v>7</v>
      </c>
      <c r="V1393">
        <v>2</v>
      </c>
      <c r="W1393">
        <v>72</v>
      </c>
      <c r="X1393">
        <v>1117</v>
      </c>
      <c r="Y1393">
        <v>19982</v>
      </c>
      <c r="Z1393">
        <v>2011</v>
      </c>
      <c r="AA1393">
        <v>5</v>
      </c>
      <c r="AB1393" s="29">
        <v>44773</v>
      </c>
      <c r="AC1393" s="29">
        <v>28821</v>
      </c>
      <c r="AD1393" s="29">
        <v>41371</v>
      </c>
      <c r="AE1393" s="29"/>
      <c r="AF1393">
        <v>9</v>
      </c>
      <c r="AG1393" t="s">
        <v>153</v>
      </c>
      <c r="AI1393">
        <v>35</v>
      </c>
      <c r="AJ1393">
        <v>1</v>
      </c>
      <c r="AK1393" t="s">
        <v>150</v>
      </c>
      <c r="AL1393" t="s">
        <v>77</v>
      </c>
      <c r="AM1393">
        <f t="shared" si="105"/>
        <v>2</v>
      </c>
      <c r="AN1393">
        <f t="shared" si="106"/>
        <v>4</v>
      </c>
      <c r="AO1393" t="str">
        <f t="shared" si="107"/>
        <v/>
      </c>
      <c r="AP1393" t="str">
        <f t="shared" si="108"/>
        <v/>
      </c>
      <c r="AQ1393">
        <f t="shared" si="109"/>
        <v>2013</v>
      </c>
    </row>
    <row r="1394" spans="1:43" x14ac:dyDescent="0.35">
      <c r="A1394">
        <v>659</v>
      </c>
      <c r="B1394">
        <v>42</v>
      </c>
      <c r="C1394" t="s">
        <v>148</v>
      </c>
      <c r="D1394" t="s">
        <v>145</v>
      </c>
      <c r="E1394" t="s">
        <v>4</v>
      </c>
      <c r="F1394" t="s">
        <v>37</v>
      </c>
      <c r="G1394" t="s">
        <v>43</v>
      </c>
      <c r="H1394" t="s">
        <v>81</v>
      </c>
      <c r="I1394" t="s">
        <v>43</v>
      </c>
      <c r="J1394" t="s">
        <v>161</v>
      </c>
      <c r="K1394" t="s">
        <v>44</v>
      </c>
      <c r="L1394" t="s">
        <v>147</v>
      </c>
      <c r="M1394" t="s">
        <v>49</v>
      </c>
      <c r="N1394" t="s">
        <v>160</v>
      </c>
      <c r="O1394" t="s">
        <v>156</v>
      </c>
      <c r="P1394" t="s">
        <v>148</v>
      </c>
      <c r="Q1394">
        <v>13</v>
      </c>
      <c r="R1394">
        <v>1</v>
      </c>
      <c r="S1394">
        <v>10</v>
      </c>
      <c r="T1394">
        <v>2</v>
      </c>
      <c r="U1394">
        <v>2</v>
      </c>
      <c r="V1394">
        <v>2</v>
      </c>
      <c r="W1394">
        <v>81</v>
      </c>
      <c r="X1394">
        <v>622</v>
      </c>
      <c r="Y1394">
        <v>5718</v>
      </c>
      <c r="Z1394">
        <v>4089</v>
      </c>
      <c r="AA1394">
        <v>4</v>
      </c>
      <c r="AB1394" s="29">
        <v>44773</v>
      </c>
      <c r="AC1394" s="29">
        <v>29715</v>
      </c>
      <c r="AD1394" s="29">
        <v>41380</v>
      </c>
      <c r="AE1394" s="29"/>
      <c r="AF1394">
        <v>9</v>
      </c>
      <c r="AG1394" t="s">
        <v>153</v>
      </c>
      <c r="AI1394">
        <v>33</v>
      </c>
      <c r="AJ1394">
        <v>1</v>
      </c>
      <c r="AK1394" t="s">
        <v>150</v>
      </c>
      <c r="AL1394" t="s">
        <v>77</v>
      </c>
      <c r="AM1394">
        <f t="shared" si="105"/>
        <v>2</v>
      </c>
      <c r="AN1394">
        <f t="shared" si="106"/>
        <v>4</v>
      </c>
      <c r="AO1394" t="str">
        <f t="shared" si="107"/>
        <v/>
      </c>
      <c r="AP1394" t="str">
        <f t="shared" si="108"/>
        <v/>
      </c>
      <c r="AQ1394">
        <f t="shared" si="109"/>
        <v>2013</v>
      </c>
    </row>
    <row r="1395" spans="1:43" x14ac:dyDescent="0.35">
      <c r="A1395">
        <v>1701</v>
      </c>
      <c r="B1395">
        <v>34</v>
      </c>
      <c r="C1395" t="s">
        <v>148</v>
      </c>
      <c r="D1395" t="s">
        <v>145</v>
      </c>
      <c r="E1395" t="s">
        <v>4</v>
      </c>
      <c r="F1395" t="s">
        <v>38</v>
      </c>
      <c r="G1395" t="s">
        <v>42</v>
      </c>
      <c r="H1395" t="s">
        <v>81</v>
      </c>
      <c r="I1395" t="s">
        <v>42</v>
      </c>
      <c r="J1395" t="s">
        <v>146</v>
      </c>
      <c r="K1395" t="s">
        <v>44</v>
      </c>
      <c r="L1395" t="s">
        <v>147</v>
      </c>
      <c r="M1395" t="s">
        <v>49</v>
      </c>
      <c r="N1395" t="s">
        <v>160</v>
      </c>
      <c r="P1395" t="s">
        <v>148</v>
      </c>
      <c r="Q1395">
        <v>12</v>
      </c>
      <c r="R1395">
        <v>1</v>
      </c>
      <c r="S1395">
        <v>10</v>
      </c>
      <c r="T1395">
        <v>8</v>
      </c>
      <c r="U1395">
        <v>7</v>
      </c>
      <c r="V1395">
        <v>19</v>
      </c>
      <c r="W1395">
        <v>35</v>
      </c>
      <c r="X1395">
        <v>678</v>
      </c>
      <c r="Y1395">
        <v>20338</v>
      </c>
      <c r="Z1395">
        <v>2929</v>
      </c>
      <c r="AA1395">
        <v>3</v>
      </c>
      <c r="AB1395" s="29">
        <v>44773</v>
      </c>
      <c r="AC1395" s="29">
        <v>32578</v>
      </c>
      <c r="AD1395" s="29">
        <v>41380</v>
      </c>
      <c r="AE1395" s="29"/>
      <c r="AF1395">
        <v>9</v>
      </c>
      <c r="AG1395" t="s">
        <v>149</v>
      </c>
      <c r="AI1395">
        <v>25</v>
      </c>
      <c r="AJ1395">
        <v>2</v>
      </c>
      <c r="AK1395" t="s">
        <v>150</v>
      </c>
      <c r="AL1395" t="s">
        <v>77</v>
      </c>
      <c r="AM1395">
        <f t="shared" si="105"/>
        <v>2</v>
      </c>
      <c r="AN1395">
        <f t="shared" si="106"/>
        <v>4</v>
      </c>
      <c r="AO1395" t="str">
        <f t="shared" si="107"/>
        <v/>
      </c>
      <c r="AP1395" t="str">
        <f t="shared" si="108"/>
        <v/>
      </c>
      <c r="AQ1395">
        <f t="shared" si="109"/>
        <v>2013</v>
      </c>
    </row>
    <row r="1396" spans="1:43" x14ac:dyDescent="0.35">
      <c r="A1396">
        <v>630</v>
      </c>
      <c r="B1396">
        <v>52</v>
      </c>
      <c r="C1396" t="s">
        <v>148</v>
      </c>
      <c r="D1396" t="s">
        <v>145</v>
      </c>
      <c r="E1396" t="s">
        <v>4</v>
      </c>
      <c r="F1396" t="s">
        <v>36</v>
      </c>
      <c r="G1396" t="s">
        <v>44</v>
      </c>
      <c r="H1396" t="s">
        <v>82</v>
      </c>
      <c r="I1396" t="s">
        <v>43</v>
      </c>
      <c r="J1396" t="s">
        <v>146</v>
      </c>
      <c r="K1396" t="s">
        <v>41</v>
      </c>
      <c r="L1396" t="s">
        <v>147</v>
      </c>
      <c r="M1396" t="s">
        <v>49</v>
      </c>
      <c r="N1396" t="s">
        <v>96</v>
      </c>
      <c r="O1396" t="s">
        <v>156</v>
      </c>
      <c r="P1396" t="s">
        <v>144</v>
      </c>
      <c r="Q1396">
        <v>12</v>
      </c>
      <c r="R1396">
        <v>3</v>
      </c>
      <c r="S1396">
        <v>18</v>
      </c>
      <c r="T1396">
        <v>6</v>
      </c>
      <c r="U1396">
        <v>9</v>
      </c>
      <c r="V1396">
        <v>6</v>
      </c>
      <c r="W1396">
        <v>78</v>
      </c>
      <c r="X1396">
        <v>956</v>
      </c>
      <c r="Y1396">
        <v>22087</v>
      </c>
      <c r="Z1396">
        <v>5577</v>
      </c>
      <c r="AA1396">
        <v>3</v>
      </c>
      <c r="AB1396" s="29">
        <v>44773</v>
      </c>
      <c r="AC1396" s="29">
        <v>25860</v>
      </c>
      <c r="AD1396" s="29">
        <v>41409</v>
      </c>
      <c r="AE1396" s="29"/>
      <c r="AF1396">
        <v>9</v>
      </c>
      <c r="AG1396" t="s">
        <v>167</v>
      </c>
      <c r="AI1396">
        <v>43</v>
      </c>
      <c r="AJ1396">
        <v>2</v>
      </c>
      <c r="AK1396" t="s">
        <v>150</v>
      </c>
      <c r="AL1396" t="s">
        <v>77</v>
      </c>
      <c r="AM1396">
        <f t="shared" si="105"/>
        <v>2</v>
      </c>
      <c r="AN1396">
        <f t="shared" si="106"/>
        <v>5</v>
      </c>
      <c r="AO1396" t="str">
        <f t="shared" si="107"/>
        <v/>
      </c>
      <c r="AP1396" t="str">
        <f t="shared" si="108"/>
        <v/>
      </c>
      <c r="AQ1396">
        <f t="shared" si="109"/>
        <v>2013</v>
      </c>
    </row>
    <row r="1397" spans="1:43" x14ac:dyDescent="0.35">
      <c r="A1397">
        <v>296</v>
      </c>
      <c r="B1397">
        <v>51</v>
      </c>
      <c r="C1397" t="s">
        <v>148</v>
      </c>
      <c r="D1397" t="s">
        <v>145</v>
      </c>
      <c r="E1397" t="s">
        <v>4</v>
      </c>
      <c r="F1397" t="s">
        <v>37</v>
      </c>
      <c r="G1397" t="s">
        <v>42</v>
      </c>
      <c r="H1397" t="s">
        <v>82</v>
      </c>
      <c r="I1397" t="s">
        <v>42</v>
      </c>
      <c r="J1397" t="s">
        <v>173</v>
      </c>
      <c r="K1397" t="s">
        <v>42</v>
      </c>
      <c r="L1397" t="s">
        <v>147</v>
      </c>
      <c r="M1397" t="s">
        <v>47</v>
      </c>
      <c r="N1397" t="s">
        <v>160</v>
      </c>
      <c r="O1397" t="s">
        <v>156</v>
      </c>
      <c r="P1397" t="s">
        <v>148</v>
      </c>
      <c r="Q1397">
        <v>16</v>
      </c>
      <c r="R1397">
        <v>5</v>
      </c>
      <c r="S1397">
        <v>16</v>
      </c>
      <c r="T1397">
        <v>4</v>
      </c>
      <c r="U1397">
        <v>7</v>
      </c>
      <c r="V1397">
        <v>8</v>
      </c>
      <c r="W1397">
        <v>81</v>
      </c>
      <c r="X1397">
        <v>1469</v>
      </c>
      <c r="Y1397">
        <v>15736</v>
      </c>
      <c r="Z1397">
        <v>12490</v>
      </c>
      <c r="AA1397">
        <v>5</v>
      </c>
      <c r="AB1397" s="29">
        <v>44773</v>
      </c>
      <c r="AC1397" s="29">
        <v>26190</v>
      </c>
      <c r="AD1397" s="29">
        <v>41412</v>
      </c>
      <c r="AE1397" s="29"/>
      <c r="AF1397">
        <v>9</v>
      </c>
      <c r="AG1397" t="s">
        <v>167</v>
      </c>
      <c r="AI1397">
        <v>42</v>
      </c>
      <c r="AJ1397">
        <v>1</v>
      </c>
      <c r="AK1397" t="s">
        <v>150</v>
      </c>
      <c r="AL1397" t="s">
        <v>77</v>
      </c>
      <c r="AM1397">
        <f t="shared" si="105"/>
        <v>2</v>
      </c>
      <c r="AN1397">
        <f t="shared" si="106"/>
        <v>5</v>
      </c>
      <c r="AO1397" t="str">
        <f t="shared" si="107"/>
        <v/>
      </c>
      <c r="AP1397" t="str">
        <f t="shared" si="108"/>
        <v/>
      </c>
      <c r="AQ1397">
        <f t="shared" si="109"/>
        <v>2013</v>
      </c>
    </row>
    <row r="1398" spans="1:43" x14ac:dyDescent="0.35">
      <c r="A1398">
        <v>1346</v>
      </c>
      <c r="B1398">
        <v>40</v>
      </c>
      <c r="C1398" t="s">
        <v>148</v>
      </c>
      <c r="D1398" t="s">
        <v>145</v>
      </c>
      <c r="E1398" t="s">
        <v>4</v>
      </c>
      <c r="F1398" t="s">
        <v>38</v>
      </c>
      <c r="G1398" t="s">
        <v>43</v>
      </c>
      <c r="H1398" t="s">
        <v>82</v>
      </c>
      <c r="I1398" t="s">
        <v>43</v>
      </c>
      <c r="J1398" t="s">
        <v>146</v>
      </c>
      <c r="K1398" t="s">
        <v>44</v>
      </c>
      <c r="L1398" t="s">
        <v>147</v>
      </c>
      <c r="M1398" t="s">
        <v>49</v>
      </c>
      <c r="N1398" t="s">
        <v>95</v>
      </c>
      <c r="P1398" t="s">
        <v>148</v>
      </c>
      <c r="Q1398">
        <v>13</v>
      </c>
      <c r="R1398">
        <v>1</v>
      </c>
      <c r="S1398">
        <v>11</v>
      </c>
      <c r="T1398">
        <v>8</v>
      </c>
      <c r="U1398">
        <v>8</v>
      </c>
      <c r="V1398">
        <v>2</v>
      </c>
      <c r="W1398">
        <v>98</v>
      </c>
      <c r="X1398">
        <v>523</v>
      </c>
      <c r="Y1398">
        <v>22455</v>
      </c>
      <c r="Z1398">
        <v>4661</v>
      </c>
      <c r="AA1398">
        <v>4</v>
      </c>
      <c r="AB1398" s="29">
        <v>44773</v>
      </c>
      <c r="AC1398" s="29">
        <v>30381</v>
      </c>
      <c r="AD1398" s="29">
        <v>41482</v>
      </c>
      <c r="AE1398" s="29"/>
      <c r="AF1398">
        <v>9</v>
      </c>
      <c r="AG1398" t="s">
        <v>153</v>
      </c>
      <c r="AI1398">
        <v>31</v>
      </c>
      <c r="AJ1398">
        <v>1</v>
      </c>
      <c r="AK1398" t="s">
        <v>150</v>
      </c>
      <c r="AL1398" t="s">
        <v>77</v>
      </c>
      <c r="AM1398">
        <f t="shared" si="105"/>
        <v>3</v>
      </c>
      <c r="AN1398">
        <f t="shared" si="106"/>
        <v>7</v>
      </c>
      <c r="AO1398" t="str">
        <f t="shared" si="107"/>
        <v/>
      </c>
      <c r="AP1398" t="str">
        <f t="shared" si="108"/>
        <v/>
      </c>
      <c r="AQ1398">
        <f t="shared" si="109"/>
        <v>2013</v>
      </c>
    </row>
    <row r="1399" spans="1:43" x14ac:dyDescent="0.35">
      <c r="A1399">
        <v>1244</v>
      </c>
      <c r="B1399">
        <v>27</v>
      </c>
      <c r="C1399" t="s">
        <v>148</v>
      </c>
      <c r="D1399" t="s">
        <v>145</v>
      </c>
      <c r="E1399" t="s">
        <v>4</v>
      </c>
      <c r="F1399" t="s">
        <v>38</v>
      </c>
      <c r="G1399" t="s">
        <v>41</v>
      </c>
      <c r="H1399" t="s">
        <v>82</v>
      </c>
      <c r="I1399" t="s">
        <v>43</v>
      </c>
      <c r="J1399" t="s">
        <v>146</v>
      </c>
      <c r="K1399" t="s">
        <v>41</v>
      </c>
      <c r="L1399" t="s">
        <v>147</v>
      </c>
      <c r="M1399" t="s">
        <v>48</v>
      </c>
      <c r="N1399" t="s">
        <v>160</v>
      </c>
      <c r="O1399" t="s">
        <v>156</v>
      </c>
      <c r="P1399" t="s">
        <v>144</v>
      </c>
      <c r="Q1399">
        <v>14</v>
      </c>
      <c r="R1399">
        <v>1</v>
      </c>
      <c r="S1399">
        <v>9</v>
      </c>
      <c r="T1399">
        <v>6</v>
      </c>
      <c r="U1399">
        <v>8</v>
      </c>
      <c r="V1399">
        <v>14</v>
      </c>
      <c r="W1399">
        <v>42</v>
      </c>
      <c r="X1399">
        <v>1103</v>
      </c>
      <c r="Y1399">
        <v>14377</v>
      </c>
      <c r="Z1399">
        <v>2235</v>
      </c>
      <c r="AA1399">
        <v>3</v>
      </c>
      <c r="AB1399" s="29">
        <v>44773</v>
      </c>
      <c r="AC1399" s="29">
        <v>34931</v>
      </c>
      <c r="AD1399" s="29">
        <v>41523</v>
      </c>
      <c r="AE1399" s="29"/>
      <c r="AF1399">
        <v>9</v>
      </c>
      <c r="AG1399" t="s">
        <v>157</v>
      </c>
      <c r="AI1399">
        <v>18</v>
      </c>
      <c r="AJ1399">
        <v>1</v>
      </c>
      <c r="AK1399" t="s">
        <v>150</v>
      </c>
      <c r="AL1399" t="s">
        <v>78</v>
      </c>
      <c r="AM1399">
        <f t="shared" si="105"/>
        <v>3</v>
      </c>
      <c r="AN1399">
        <f t="shared" si="106"/>
        <v>9</v>
      </c>
      <c r="AO1399" t="str">
        <f t="shared" si="107"/>
        <v/>
      </c>
      <c r="AP1399" t="str">
        <f t="shared" si="108"/>
        <v/>
      </c>
      <c r="AQ1399">
        <f t="shared" si="109"/>
        <v>2013</v>
      </c>
    </row>
    <row r="1400" spans="1:43" x14ac:dyDescent="0.35">
      <c r="A1400">
        <v>836</v>
      </c>
      <c r="B1400">
        <v>42</v>
      </c>
      <c r="C1400" t="s">
        <v>148</v>
      </c>
      <c r="D1400" t="s">
        <v>145</v>
      </c>
      <c r="E1400" t="s">
        <v>4</v>
      </c>
      <c r="F1400" t="s">
        <v>38</v>
      </c>
      <c r="G1400" t="s">
        <v>42</v>
      </c>
      <c r="H1400" t="s">
        <v>82</v>
      </c>
      <c r="I1400" t="s">
        <v>43</v>
      </c>
      <c r="J1400" t="s">
        <v>165</v>
      </c>
      <c r="K1400" t="s">
        <v>42</v>
      </c>
      <c r="L1400" t="s">
        <v>147</v>
      </c>
      <c r="M1400" t="s">
        <v>48</v>
      </c>
      <c r="N1400" t="s">
        <v>160</v>
      </c>
      <c r="O1400" t="s">
        <v>41</v>
      </c>
      <c r="P1400" t="s">
        <v>148</v>
      </c>
      <c r="Q1400">
        <v>13</v>
      </c>
      <c r="R1400">
        <v>1</v>
      </c>
      <c r="S1400">
        <v>10</v>
      </c>
      <c r="T1400">
        <v>7</v>
      </c>
      <c r="U1400">
        <v>8</v>
      </c>
      <c r="V1400">
        <v>29</v>
      </c>
      <c r="W1400">
        <v>98</v>
      </c>
      <c r="X1400">
        <v>933</v>
      </c>
      <c r="Y1400">
        <v>11806</v>
      </c>
      <c r="Z1400">
        <v>4434</v>
      </c>
      <c r="AA1400">
        <v>3</v>
      </c>
      <c r="AB1400" s="29">
        <v>44773</v>
      </c>
      <c r="AC1400" s="29">
        <v>29527</v>
      </c>
      <c r="AD1400" s="29">
        <v>41564</v>
      </c>
      <c r="AE1400" s="29"/>
      <c r="AF1400">
        <v>9</v>
      </c>
      <c r="AG1400" t="s">
        <v>153</v>
      </c>
      <c r="AI1400">
        <v>33</v>
      </c>
      <c r="AJ1400">
        <v>1</v>
      </c>
      <c r="AK1400" t="s">
        <v>150</v>
      </c>
      <c r="AL1400" t="s">
        <v>77</v>
      </c>
      <c r="AM1400">
        <f t="shared" si="105"/>
        <v>4</v>
      </c>
      <c r="AN1400">
        <f t="shared" si="106"/>
        <v>10</v>
      </c>
      <c r="AO1400" t="str">
        <f t="shared" si="107"/>
        <v/>
      </c>
      <c r="AP1400" t="str">
        <f t="shared" si="108"/>
        <v/>
      </c>
      <c r="AQ1400">
        <f t="shared" si="109"/>
        <v>2013</v>
      </c>
    </row>
    <row r="1401" spans="1:43" x14ac:dyDescent="0.35">
      <c r="A1401">
        <v>961</v>
      </c>
      <c r="B1401">
        <v>31</v>
      </c>
      <c r="C1401" t="s">
        <v>148</v>
      </c>
      <c r="D1401" t="s">
        <v>145</v>
      </c>
      <c r="E1401" t="s">
        <v>4</v>
      </c>
      <c r="F1401" t="s">
        <v>38</v>
      </c>
      <c r="G1401" t="s">
        <v>44</v>
      </c>
      <c r="H1401" t="s">
        <v>81</v>
      </c>
      <c r="I1401" t="s">
        <v>43</v>
      </c>
      <c r="J1401" t="s">
        <v>161</v>
      </c>
      <c r="K1401" t="s">
        <v>44</v>
      </c>
      <c r="L1401" t="s">
        <v>147</v>
      </c>
      <c r="M1401" t="s">
        <v>47</v>
      </c>
      <c r="N1401" t="s">
        <v>160</v>
      </c>
      <c r="O1401" t="s">
        <v>156</v>
      </c>
      <c r="P1401" t="s">
        <v>144</v>
      </c>
      <c r="Q1401">
        <v>11</v>
      </c>
      <c r="R1401">
        <v>0</v>
      </c>
      <c r="S1401">
        <v>10</v>
      </c>
      <c r="T1401">
        <v>8</v>
      </c>
      <c r="U1401">
        <v>5</v>
      </c>
      <c r="V1401">
        <v>12</v>
      </c>
      <c r="W1401">
        <v>41</v>
      </c>
      <c r="X1401">
        <v>616</v>
      </c>
      <c r="Y1401">
        <v>17369</v>
      </c>
      <c r="Z1401">
        <v>5855</v>
      </c>
      <c r="AA1401">
        <v>2</v>
      </c>
      <c r="AB1401" s="29">
        <v>44773</v>
      </c>
      <c r="AC1401" s="29">
        <v>33690</v>
      </c>
      <c r="AD1401" s="29">
        <v>41601</v>
      </c>
      <c r="AE1401" s="29"/>
      <c r="AF1401">
        <v>9</v>
      </c>
      <c r="AG1401" t="s">
        <v>149</v>
      </c>
      <c r="AI1401">
        <v>22</v>
      </c>
      <c r="AJ1401">
        <v>1</v>
      </c>
      <c r="AK1401" t="s">
        <v>150</v>
      </c>
      <c r="AL1401" t="s">
        <v>78</v>
      </c>
      <c r="AM1401">
        <f t="shared" si="105"/>
        <v>4</v>
      </c>
      <c r="AN1401">
        <f t="shared" si="106"/>
        <v>11</v>
      </c>
      <c r="AO1401" t="str">
        <f t="shared" si="107"/>
        <v/>
      </c>
      <c r="AP1401" t="str">
        <f t="shared" si="108"/>
        <v/>
      </c>
      <c r="AQ1401">
        <f t="shared" si="109"/>
        <v>2013</v>
      </c>
    </row>
    <row r="1402" spans="1:43" x14ac:dyDescent="0.35">
      <c r="A1402">
        <v>1311</v>
      </c>
      <c r="B1402">
        <v>30</v>
      </c>
      <c r="C1402" t="s">
        <v>148</v>
      </c>
      <c r="D1402" t="s">
        <v>145</v>
      </c>
      <c r="E1402" t="s">
        <v>4</v>
      </c>
      <c r="F1402" t="s">
        <v>38</v>
      </c>
      <c r="G1402" t="s">
        <v>41</v>
      </c>
      <c r="H1402" t="s">
        <v>81</v>
      </c>
      <c r="I1402" t="s">
        <v>42</v>
      </c>
      <c r="J1402" t="s">
        <v>155</v>
      </c>
      <c r="K1402" t="s">
        <v>44</v>
      </c>
      <c r="L1402" t="s">
        <v>147</v>
      </c>
      <c r="M1402" t="s">
        <v>49</v>
      </c>
      <c r="N1402" t="s">
        <v>160</v>
      </c>
      <c r="O1402" t="s">
        <v>41</v>
      </c>
      <c r="P1402" t="s">
        <v>148</v>
      </c>
      <c r="Q1402">
        <v>12</v>
      </c>
      <c r="R1402">
        <v>0</v>
      </c>
      <c r="S1402">
        <v>10</v>
      </c>
      <c r="T1402">
        <v>6</v>
      </c>
      <c r="U1402">
        <v>7</v>
      </c>
      <c r="V1402">
        <v>6</v>
      </c>
      <c r="W1402">
        <v>48</v>
      </c>
      <c r="X1402">
        <v>1138</v>
      </c>
      <c r="Y1402">
        <v>23631</v>
      </c>
      <c r="Z1402">
        <v>4627</v>
      </c>
      <c r="AA1402">
        <v>6</v>
      </c>
      <c r="AB1402" s="29">
        <v>44773</v>
      </c>
      <c r="AC1402" s="29">
        <v>33857</v>
      </c>
      <c r="AD1402" s="29">
        <v>41604</v>
      </c>
      <c r="AE1402" s="29"/>
      <c r="AF1402">
        <v>9</v>
      </c>
      <c r="AG1402" t="s">
        <v>149</v>
      </c>
      <c r="AI1402">
        <v>21</v>
      </c>
      <c r="AJ1402">
        <v>1</v>
      </c>
      <c r="AK1402" t="s">
        <v>150</v>
      </c>
      <c r="AL1402" t="s">
        <v>77</v>
      </c>
      <c r="AM1402">
        <f t="shared" si="105"/>
        <v>4</v>
      </c>
      <c r="AN1402">
        <f t="shared" si="106"/>
        <v>11</v>
      </c>
      <c r="AO1402" t="str">
        <f t="shared" si="107"/>
        <v/>
      </c>
      <c r="AP1402" t="str">
        <f t="shared" si="108"/>
        <v/>
      </c>
      <c r="AQ1402">
        <f t="shared" si="109"/>
        <v>2013</v>
      </c>
    </row>
    <row r="1403" spans="1:43" x14ac:dyDescent="0.35">
      <c r="A1403">
        <v>1283</v>
      </c>
      <c r="B1403">
        <v>59</v>
      </c>
      <c r="C1403" t="s">
        <v>148</v>
      </c>
      <c r="D1403" t="s">
        <v>145</v>
      </c>
      <c r="E1403" t="s">
        <v>4</v>
      </c>
      <c r="F1403" t="s">
        <v>37</v>
      </c>
      <c r="G1403" t="s">
        <v>44</v>
      </c>
      <c r="H1403" t="s">
        <v>82</v>
      </c>
      <c r="I1403" t="s">
        <v>43</v>
      </c>
      <c r="J1403" t="s">
        <v>165</v>
      </c>
      <c r="K1403" t="s">
        <v>44</v>
      </c>
      <c r="L1403" t="s">
        <v>147</v>
      </c>
      <c r="M1403" t="s">
        <v>48</v>
      </c>
      <c r="N1403" t="s">
        <v>95</v>
      </c>
      <c r="P1403" t="s">
        <v>148</v>
      </c>
      <c r="Q1403">
        <v>12</v>
      </c>
      <c r="R1403">
        <v>6</v>
      </c>
      <c r="S1403">
        <v>25</v>
      </c>
      <c r="T1403">
        <v>5</v>
      </c>
      <c r="U1403">
        <v>4</v>
      </c>
      <c r="V1403">
        <v>18</v>
      </c>
      <c r="W1403">
        <v>67</v>
      </c>
      <c r="X1403">
        <v>1429</v>
      </c>
      <c r="Y1403">
        <v>20002</v>
      </c>
      <c r="Z1403">
        <v>10512</v>
      </c>
      <c r="AA1403">
        <v>6</v>
      </c>
      <c r="AB1403" s="29">
        <v>44773</v>
      </c>
      <c r="AC1403" s="29">
        <v>23491</v>
      </c>
      <c r="AD1403" s="29">
        <v>41670</v>
      </c>
      <c r="AE1403" s="29"/>
      <c r="AF1403">
        <v>9</v>
      </c>
      <c r="AG1403" t="s">
        <v>167</v>
      </c>
      <c r="AI1403">
        <v>50</v>
      </c>
      <c r="AJ1403">
        <v>1</v>
      </c>
      <c r="AK1403" t="s">
        <v>150</v>
      </c>
      <c r="AL1403" t="s">
        <v>77</v>
      </c>
      <c r="AM1403">
        <f t="shared" si="105"/>
        <v>1</v>
      </c>
      <c r="AN1403">
        <f t="shared" si="106"/>
        <v>1</v>
      </c>
      <c r="AO1403" t="str">
        <f t="shared" si="107"/>
        <v/>
      </c>
      <c r="AP1403" t="str">
        <f t="shared" si="108"/>
        <v/>
      </c>
      <c r="AQ1403">
        <f t="shared" si="109"/>
        <v>2014</v>
      </c>
    </row>
    <row r="1404" spans="1:43" x14ac:dyDescent="0.35">
      <c r="A1404">
        <v>2009</v>
      </c>
      <c r="B1404">
        <v>33</v>
      </c>
      <c r="C1404" t="s">
        <v>148</v>
      </c>
      <c r="D1404" t="s">
        <v>145</v>
      </c>
      <c r="E1404" t="s">
        <v>4</v>
      </c>
      <c r="F1404" t="s">
        <v>36</v>
      </c>
      <c r="G1404" t="s">
        <v>42</v>
      </c>
      <c r="H1404" t="s">
        <v>81</v>
      </c>
      <c r="I1404" t="s">
        <v>43</v>
      </c>
      <c r="J1404" t="s">
        <v>161</v>
      </c>
      <c r="K1404" t="s">
        <v>44</v>
      </c>
      <c r="L1404" t="s">
        <v>147</v>
      </c>
      <c r="M1404" t="s">
        <v>49</v>
      </c>
      <c r="N1404" t="s">
        <v>160</v>
      </c>
      <c r="O1404" t="s">
        <v>41</v>
      </c>
      <c r="P1404" t="s">
        <v>144</v>
      </c>
      <c r="Q1404">
        <v>13</v>
      </c>
      <c r="R1404">
        <v>0</v>
      </c>
      <c r="S1404">
        <v>10</v>
      </c>
      <c r="T1404">
        <v>8</v>
      </c>
      <c r="U1404">
        <v>1</v>
      </c>
      <c r="V1404">
        <v>15</v>
      </c>
      <c r="W1404">
        <v>95</v>
      </c>
      <c r="X1404">
        <v>501</v>
      </c>
      <c r="Y1404">
        <v>21653</v>
      </c>
      <c r="Z1404">
        <v>4878</v>
      </c>
      <c r="AA1404">
        <v>6</v>
      </c>
      <c r="AB1404" s="29">
        <v>44773</v>
      </c>
      <c r="AC1404" s="29">
        <v>32745</v>
      </c>
      <c r="AD1404" s="29">
        <v>41680</v>
      </c>
      <c r="AE1404" s="29"/>
      <c r="AF1404">
        <v>8</v>
      </c>
      <c r="AG1404" t="s">
        <v>149</v>
      </c>
      <c r="AI1404">
        <v>25</v>
      </c>
      <c r="AJ1404">
        <v>1</v>
      </c>
      <c r="AK1404" t="s">
        <v>150</v>
      </c>
      <c r="AL1404" t="s">
        <v>77</v>
      </c>
      <c r="AM1404">
        <f t="shared" si="105"/>
        <v>1</v>
      </c>
      <c r="AN1404">
        <f t="shared" si="106"/>
        <v>2</v>
      </c>
      <c r="AO1404" t="str">
        <f t="shared" si="107"/>
        <v/>
      </c>
      <c r="AP1404" t="str">
        <f t="shared" si="108"/>
        <v/>
      </c>
      <c r="AQ1404">
        <f t="shared" si="109"/>
        <v>2014</v>
      </c>
    </row>
    <row r="1405" spans="1:43" x14ac:dyDescent="0.35">
      <c r="A1405">
        <v>1857</v>
      </c>
      <c r="B1405">
        <v>46</v>
      </c>
      <c r="C1405" t="s">
        <v>148</v>
      </c>
      <c r="D1405" t="s">
        <v>145</v>
      </c>
      <c r="E1405" t="s">
        <v>4</v>
      </c>
      <c r="F1405" t="s">
        <v>36</v>
      </c>
      <c r="G1405" t="s">
        <v>44</v>
      </c>
      <c r="H1405" t="s">
        <v>82</v>
      </c>
      <c r="I1405" t="s">
        <v>43</v>
      </c>
      <c r="J1405" t="s">
        <v>165</v>
      </c>
      <c r="K1405" t="s">
        <v>44</v>
      </c>
      <c r="L1405" t="s">
        <v>147</v>
      </c>
      <c r="M1405" t="s">
        <v>48</v>
      </c>
      <c r="N1405" t="s">
        <v>96</v>
      </c>
      <c r="O1405" t="s">
        <v>41</v>
      </c>
      <c r="P1405" t="s">
        <v>148</v>
      </c>
      <c r="Q1405">
        <v>14</v>
      </c>
      <c r="R1405">
        <v>3</v>
      </c>
      <c r="S1405">
        <v>12</v>
      </c>
      <c r="T1405">
        <v>4</v>
      </c>
      <c r="U1405">
        <v>7</v>
      </c>
      <c r="V1405">
        <v>2</v>
      </c>
      <c r="W1405">
        <v>82</v>
      </c>
      <c r="X1405">
        <v>706</v>
      </c>
      <c r="Y1405">
        <v>19989</v>
      </c>
      <c r="Z1405">
        <v>8578</v>
      </c>
      <c r="AA1405">
        <v>4</v>
      </c>
      <c r="AB1405" s="29">
        <v>44773</v>
      </c>
      <c r="AC1405" s="29">
        <v>27992</v>
      </c>
      <c r="AD1405" s="29">
        <v>41715</v>
      </c>
      <c r="AE1405" s="29"/>
      <c r="AF1405">
        <v>8</v>
      </c>
      <c r="AG1405" t="s">
        <v>153</v>
      </c>
      <c r="AI1405">
        <v>38</v>
      </c>
      <c r="AJ1405">
        <v>1</v>
      </c>
      <c r="AK1405" t="s">
        <v>150</v>
      </c>
      <c r="AL1405" t="s">
        <v>77</v>
      </c>
      <c r="AM1405">
        <f t="shared" si="105"/>
        <v>1</v>
      </c>
      <c r="AN1405">
        <f t="shared" si="106"/>
        <v>3</v>
      </c>
      <c r="AO1405" t="str">
        <f t="shared" si="107"/>
        <v/>
      </c>
      <c r="AP1405" t="str">
        <f t="shared" si="108"/>
        <v/>
      </c>
      <c r="AQ1405">
        <f t="shared" si="109"/>
        <v>2014</v>
      </c>
    </row>
    <row r="1406" spans="1:43" x14ac:dyDescent="0.35">
      <c r="A1406">
        <v>351</v>
      </c>
      <c r="B1406">
        <v>42</v>
      </c>
      <c r="C1406" t="s">
        <v>148</v>
      </c>
      <c r="D1406" t="s">
        <v>145</v>
      </c>
      <c r="E1406" t="s">
        <v>4</v>
      </c>
      <c r="F1406" t="s">
        <v>38</v>
      </c>
      <c r="G1406" t="s">
        <v>44</v>
      </c>
      <c r="H1406" t="s">
        <v>81</v>
      </c>
      <c r="I1406" t="s">
        <v>42</v>
      </c>
      <c r="J1406" t="s">
        <v>155</v>
      </c>
      <c r="K1406" t="s">
        <v>41</v>
      </c>
      <c r="L1406" t="s">
        <v>147</v>
      </c>
      <c r="M1406" t="s">
        <v>49</v>
      </c>
      <c r="N1406" t="s">
        <v>96</v>
      </c>
      <c r="O1406" t="s">
        <v>41</v>
      </c>
      <c r="P1406" t="s">
        <v>144</v>
      </c>
      <c r="Q1406">
        <v>11</v>
      </c>
      <c r="R1406">
        <v>0</v>
      </c>
      <c r="S1406">
        <v>10</v>
      </c>
      <c r="T1406">
        <v>7</v>
      </c>
      <c r="U1406">
        <v>8</v>
      </c>
      <c r="V1406">
        <v>2</v>
      </c>
      <c r="W1406">
        <v>56</v>
      </c>
      <c r="X1406">
        <v>269</v>
      </c>
      <c r="Y1406">
        <v>8007</v>
      </c>
      <c r="Z1406">
        <v>2593</v>
      </c>
      <c r="AA1406">
        <v>4</v>
      </c>
      <c r="AB1406" s="29">
        <v>44773</v>
      </c>
      <c r="AC1406" s="29">
        <v>29619</v>
      </c>
      <c r="AD1406" s="29">
        <v>41736</v>
      </c>
      <c r="AE1406" s="29"/>
      <c r="AF1406">
        <v>8</v>
      </c>
      <c r="AG1406" t="s">
        <v>153</v>
      </c>
      <c r="AI1406">
        <v>34</v>
      </c>
      <c r="AJ1406">
        <v>1</v>
      </c>
      <c r="AK1406" t="s">
        <v>150</v>
      </c>
      <c r="AL1406" t="s">
        <v>77</v>
      </c>
      <c r="AM1406">
        <f t="shared" si="105"/>
        <v>2</v>
      </c>
      <c r="AN1406">
        <f t="shared" si="106"/>
        <v>4</v>
      </c>
      <c r="AO1406" t="str">
        <f t="shared" si="107"/>
        <v/>
      </c>
      <c r="AP1406" t="str">
        <f t="shared" si="108"/>
        <v/>
      </c>
      <c r="AQ1406">
        <f t="shared" si="109"/>
        <v>2014</v>
      </c>
    </row>
    <row r="1407" spans="1:43" x14ac:dyDescent="0.35">
      <c r="A1407">
        <v>976</v>
      </c>
      <c r="B1407">
        <v>52</v>
      </c>
      <c r="C1407" t="s">
        <v>148</v>
      </c>
      <c r="D1407" t="s">
        <v>145</v>
      </c>
      <c r="E1407" t="s">
        <v>4</v>
      </c>
      <c r="F1407" t="s">
        <v>36</v>
      </c>
      <c r="G1407" t="s">
        <v>44</v>
      </c>
      <c r="H1407" t="s">
        <v>82</v>
      </c>
      <c r="I1407" t="s">
        <v>43</v>
      </c>
      <c r="J1407" t="s">
        <v>169</v>
      </c>
      <c r="K1407" t="s">
        <v>44</v>
      </c>
      <c r="L1407" t="s">
        <v>147</v>
      </c>
      <c r="M1407" t="s">
        <v>48</v>
      </c>
      <c r="N1407" t="s">
        <v>160</v>
      </c>
      <c r="O1407" t="s">
        <v>41</v>
      </c>
      <c r="P1407" t="s">
        <v>148</v>
      </c>
      <c r="Q1407">
        <v>15</v>
      </c>
      <c r="R1407">
        <v>2</v>
      </c>
      <c r="S1407">
        <v>26</v>
      </c>
      <c r="T1407">
        <v>7</v>
      </c>
      <c r="U1407">
        <v>8</v>
      </c>
      <c r="V1407">
        <v>1</v>
      </c>
      <c r="W1407">
        <v>70</v>
      </c>
      <c r="X1407">
        <v>1053</v>
      </c>
      <c r="Y1407">
        <v>13829</v>
      </c>
      <c r="Z1407">
        <v>17099</v>
      </c>
      <c r="AA1407">
        <v>2</v>
      </c>
      <c r="AB1407" s="29">
        <v>44773</v>
      </c>
      <c r="AC1407" s="29">
        <v>25988</v>
      </c>
      <c r="AD1407" s="29">
        <v>41765</v>
      </c>
      <c r="AE1407" s="29"/>
      <c r="AF1407">
        <v>8</v>
      </c>
      <c r="AG1407" t="s">
        <v>167</v>
      </c>
      <c r="AI1407">
        <v>44</v>
      </c>
      <c r="AJ1407">
        <v>1</v>
      </c>
      <c r="AK1407" t="s">
        <v>150</v>
      </c>
      <c r="AL1407" t="s">
        <v>77</v>
      </c>
      <c r="AM1407">
        <f t="shared" si="105"/>
        <v>2</v>
      </c>
      <c r="AN1407">
        <f t="shared" si="106"/>
        <v>5</v>
      </c>
      <c r="AO1407" t="str">
        <f t="shared" si="107"/>
        <v/>
      </c>
      <c r="AP1407" t="str">
        <f t="shared" si="108"/>
        <v/>
      </c>
      <c r="AQ1407">
        <f t="shared" si="109"/>
        <v>2014</v>
      </c>
    </row>
    <row r="1408" spans="1:43" x14ac:dyDescent="0.35">
      <c r="A1408">
        <v>335</v>
      </c>
      <c r="B1408">
        <v>40</v>
      </c>
      <c r="C1408" t="s">
        <v>148</v>
      </c>
      <c r="D1408" t="s">
        <v>145</v>
      </c>
      <c r="E1408" t="s">
        <v>4</v>
      </c>
      <c r="F1408" t="s">
        <v>36</v>
      </c>
      <c r="G1408" t="s">
        <v>41</v>
      </c>
      <c r="H1408" t="s">
        <v>82</v>
      </c>
      <c r="I1408" t="s">
        <v>43</v>
      </c>
      <c r="J1408" t="s">
        <v>146</v>
      </c>
      <c r="K1408" t="s">
        <v>44</v>
      </c>
      <c r="L1408" t="s">
        <v>147</v>
      </c>
      <c r="M1408" t="s">
        <v>49</v>
      </c>
      <c r="N1408" t="s">
        <v>96</v>
      </c>
      <c r="O1408" t="s">
        <v>156</v>
      </c>
      <c r="P1408" t="s">
        <v>148</v>
      </c>
      <c r="Q1408">
        <v>17</v>
      </c>
      <c r="R1408">
        <v>1</v>
      </c>
      <c r="S1408">
        <v>9</v>
      </c>
      <c r="T1408">
        <v>4</v>
      </c>
      <c r="U1408">
        <v>7</v>
      </c>
      <c r="V1408">
        <v>24</v>
      </c>
      <c r="W1408">
        <v>62</v>
      </c>
      <c r="X1408">
        <v>1300</v>
      </c>
      <c r="Y1408">
        <v>24447</v>
      </c>
      <c r="Z1408">
        <v>3319</v>
      </c>
      <c r="AA1408">
        <v>3</v>
      </c>
      <c r="AB1408" s="29">
        <v>44773</v>
      </c>
      <c r="AC1408" s="29">
        <v>30450</v>
      </c>
      <c r="AD1408" s="29">
        <v>41810</v>
      </c>
      <c r="AE1408" s="29"/>
      <c r="AF1408">
        <v>8</v>
      </c>
      <c r="AG1408" t="s">
        <v>153</v>
      </c>
      <c r="AI1408">
        <v>32</v>
      </c>
      <c r="AJ1408">
        <v>1</v>
      </c>
      <c r="AK1408" t="s">
        <v>150</v>
      </c>
      <c r="AL1408" t="s">
        <v>77</v>
      </c>
      <c r="AM1408">
        <f t="shared" si="105"/>
        <v>2</v>
      </c>
      <c r="AN1408">
        <f t="shared" si="106"/>
        <v>6</v>
      </c>
      <c r="AO1408" t="str">
        <f t="shared" si="107"/>
        <v/>
      </c>
      <c r="AP1408" t="str">
        <f t="shared" si="108"/>
        <v/>
      </c>
      <c r="AQ1408">
        <f t="shared" si="109"/>
        <v>2014</v>
      </c>
    </row>
    <row r="1409" spans="1:43" x14ac:dyDescent="0.35">
      <c r="A1409">
        <v>1888</v>
      </c>
      <c r="B1409">
        <v>45</v>
      </c>
      <c r="C1409" t="s">
        <v>148</v>
      </c>
      <c r="D1409" t="s">
        <v>145</v>
      </c>
      <c r="E1409" t="s">
        <v>4</v>
      </c>
      <c r="F1409" t="s">
        <v>36</v>
      </c>
      <c r="G1409" t="s">
        <v>42</v>
      </c>
      <c r="H1409" t="s">
        <v>81</v>
      </c>
      <c r="I1409" t="s">
        <v>42</v>
      </c>
      <c r="J1409" t="s">
        <v>165</v>
      </c>
      <c r="K1409" t="s">
        <v>44</v>
      </c>
      <c r="L1409" t="s">
        <v>147</v>
      </c>
      <c r="M1409" t="s">
        <v>48</v>
      </c>
      <c r="N1409" t="s">
        <v>160</v>
      </c>
      <c r="O1409" t="s">
        <v>156</v>
      </c>
      <c r="P1409" t="s">
        <v>148</v>
      </c>
      <c r="Q1409">
        <v>13</v>
      </c>
      <c r="R1409">
        <v>0</v>
      </c>
      <c r="S1409">
        <v>10</v>
      </c>
      <c r="T1409">
        <v>3</v>
      </c>
      <c r="U1409">
        <v>8</v>
      </c>
      <c r="V1409">
        <v>25</v>
      </c>
      <c r="W1409">
        <v>93</v>
      </c>
      <c r="X1409">
        <v>556</v>
      </c>
      <c r="Y1409">
        <v>23888</v>
      </c>
      <c r="Z1409">
        <v>5906</v>
      </c>
      <c r="AA1409">
        <v>2</v>
      </c>
      <c r="AB1409" s="29">
        <v>44773</v>
      </c>
      <c r="AC1409" s="29">
        <v>28702</v>
      </c>
      <c r="AD1409" s="29">
        <v>41814</v>
      </c>
      <c r="AE1409" s="29"/>
      <c r="AF1409">
        <v>8</v>
      </c>
      <c r="AG1409" t="s">
        <v>153</v>
      </c>
      <c r="AI1409">
        <v>37</v>
      </c>
      <c r="AJ1409">
        <v>1</v>
      </c>
      <c r="AK1409" t="s">
        <v>150</v>
      </c>
      <c r="AL1409" t="s">
        <v>77</v>
      </c>
      <c r="AM1409">
        <f t="shared" si="105"/>
        <v>2</v>
      </c>
      <c r="AN1409">
        <f t="shared" si="106"/>
        <v>6</v>
      </c>
      <c r="AO1409" t="str">
        <f t="shared" si="107"/>
        <v/>
      </c>
      <c r="AP1409" t="str">
        <f t="shared" si="108"/>
        <v/>
      </c>
      <c r="AQ1409">
        <f t="shared" si="109"/>
        <v>2014</v>
      </c>
    </row>
    <row r="1410" spans="1:43" x14ac:dyDescent="0.35">
      <c r="A1410">
        <v>966</v>
      </c>
      <c r="B1410">
        <v>32</v>
      </c>
      <c r="C1410" t="s">
        <v>148</v>
      </c>
      <c r="D1410" t="s">
        <v>145</v>
      </c>
      <c r="E1410" t="s">
        <v>4</v>
      </c>
      <c r="F1410" t="s">
        <v>37</v>
      </c>
      <c r="G1410" t="s">
        <v>43</v>
      </c>
      <c r="H1410" t="s">
        <v>81</v>
      </c>
      <c r="I1410" t="s">
        <v>43</v>
      </c>
      <c r="J1410" t="s">
        <v>165</v>
      </c>
      <c r="K1410" t="s">
        <v>41</v>
      </c>
      <c r="L1410" t="s">
        <v>147</v>
      </c>
      <c r="M1410" t="s">
        <v>50</v>
      </c>
      <c r="N1410" t="s">
        <v>160</v>
      </c>
      <c r="O1410" t="s">
        <v>41</v>
      </c>
      <c r="P1410" t="s">
        <v>148</v>
      </c>
      <c r="Q1410">
        <v>12</v>
      </c>
      <c r="R1410">
        <v>1</v>
      </c>
      <c r="S1410">
        <v>9</v>
      </c>
      <c r="T1410">
        <v>6</v>
      </c>
      <c r="U1410">
        <v>3</v>
      </c>
      <c r="V1410">
        <v>3</v>
      </c>
      <c r="W1410">
        <v>93</v>
      </c>
      <c r="X1410">
        <v>498</v>
      </c>
      <c r="Y1410">
        <v>13554</v>
      </c>
      <c r="Z1410">
        <v>6725</v>
      </c>
      <c r="AA1410">
        <v>2</v>
      </c>
      <c r="AB1410" s="29">
        <v>44773</v>
      </c>
      <c r="AC1410" s="29">
        <v>33380</v>
      </c>
      <c r="AD1410" s="29">
        <v>41852</v>
      </c>
      <c r="AE1410" s="29"/>
      <c r="AF1410">
        <v>8</v>
      </c>
      <c r="AG1410" t="s">
        <v>149</v>
      </c>
      <c r="AI1410">
        <v>24</v>
      </c>
      <c r="AJ1410">
        <v>1</v>
      </c>
      <c r="AK1410" t="s">
        <v>150</v>
      </c>
      <c r="AL1410" t="s">
        <v>78</v>
      </c>
      <c r="AM1410">
        <f t="shared" ref="AM1410:AM1471" si="110">ROUNDUP(MONTH(AD1410)/3,0)</f>
        <v>3</v>
      </c>
      <c r="AN1410">
        <f t="shared" ref="AN1410:AN1471" si="111">MONTH(AD1410)</f>
        <v>8</v>
      </c>
      <c r="AO1410" t="str">
        <f t="shared" ref="AO1410:AO1471" si="112">IF(C1410="Yes",ROUNDUP(MONTH(AE1410)/3,0),"")</f>
        <v/>
      </c>
      <c r="AP1410" t="str">
        <f t="shared" ref="AP1410:AP1471" si="113">IF(C1410="Yes",MONTH(AE1410),"")</f>
        <v/>
      </c>
      <c r="AQ1410">
        <f t="shared" ref="AQ1410:AQ1471" si="114">YEAR(AD1410)</f>
        <v>2014</v>
      </c>
    </row>
    <row r="1411" spans="1:43" x14ac:dyDescent="0.35">
      <c r="A1411">
        <v>717</v>
      </c>
      <c r="B1411">
        <v>34</v>
      </c>
      <c r="C1411" t="s">
        <v>148</v>
      </c>
      <c r="D1411" t="s">
        <v>145</v>
      </c>
      <c r="E1411" t="s">
        <v>4</v>
      </c>
      <c r="F1411" t="s">
        <v>38</v>
      </c>
      <c r="G1411" t="s">
        <v>44</v>
      </c>
      <c r="H1411" t="s">
        <v>81</v>
      </c>
      <c r="I1411" t="s">
        <v>42</v>
      </c>
      <c r="J1411" t="s">
        <v>161</v>
      </c>
      <c r="K1411" t="s">
        <v>42</v>
      </c>
      <c r="L1411" t="s">
        <v>147</v>
      </c>
      <c r="M1411" t="s">
        <v>50</v>
      </c>
      <c r="N1411" t="s">
        <v>95</v>
      </c>
      <c r="P1411" t="s">
        <v>148</v>
      </c>
      <c r="Q1411">
        <v>14</v>
      </c>
      <c r="R1411">
        <v>1</v>
      </c>
      <c r="S1411">
        <v>9</v>
      </c>
      <c r="T1411">
        <v>7</v>
      </c>
      <c r="U1411">
        <v>7</v>
      </c>
      <c r="V1411">
        <v>9</v>
      </c>
      <c r="W1411">
        <v>46</v>
      </c>
      <c r="X1411">
        <v>1442</v>
      </c>
      <c r="Y1411">
        <v>17654</v>
      </c>
      <c r="Z1411">
        <v>8621</v>
      </c>
      <c r="AA1411">
        <v>3</v>
      </c>
      <c r="AB1411" s="29">
        <v>44773</v>
      </c>
      <c r="AC1411" s="29">
        <v>32496</v>
      </c>
      <c r="AD1411" s="29">
        <v>41874</v>
      </c>
      <c r="AE1411" s="29"/>
      <c r="AF1411">
        <v>8</v>
      </c>
      <c r="AG1411" t="s">
        <v>149</v>
      </c>
      <c r="AI1411">
        <v>26</v>
      </c>
      <c r="AJ1411">
        <v>1</v>
      </c>
      <c r="AK1411" t="s">
        <v>150</v>
      </c>
      <c r="AL1411" t="s">
        <v>77</v>
      </c>
      <c r="AM1411">
        <f t="shared" si="110"/>
        <v>3</v>
      </c>
      <c r="AN1411">
        <f t="shared" si="111"/>
        <v>8</v>
      </c>
      <c r="AO1411" t="str">
        <f t="shared" si="112"/>
        <v/>
      </c>
      <c r="AP1411" t="str">
        <f t="shared" si="113"/>
        <v/>
      </c>
      <c r="AQ1411">
        <f t="shared" si="114"/>
        <v>2014</v>
      </c>
    </row>
    <row r="1412" spans="1:43" x14ac:dyDescent="0.35">
      <c r="A1412">
        <v>397</v>
      </c>
      <c r="B1412">
        <v>36</v>
      </c>
      <c r="C1412" t="s">
        <v>148</v>
      </c>
      <c r="D1412" t="s">
        <v>145</v>
      </c>
      <c r="E1412" t="s">
        <v>4</v>
      </c>
      <c r="F1412" t="s">
        <v>38</v>
      </c>
      <c r="G1412" t="s">
        <v>43</v>
      </c>
      <c r="H1412" t="s">
        <v>82</v>
      </c>
      <c r="I1412" t="s">
        <v>43</v>
      </c>
      <c r="J1412" t="s">
        <v>146</v>
      </c>
      <c r="K1412" t="s">
        <v>42</v>
      </c>
      <c r="L1412" t="s">
        <v>147</v>
      </c>
      <c r="M1412" t="s">
        <v>49</v>
      </c>
      <c r="N1412" t="s">
        <v>95</v>
      </c>
      <c r="P1412" t="s">
        <v>148</v>
      </c>
      <c r="Q1412">
        <v>12</v>
      </c>
      <c r="R1412">
        <v>4</v>
      </c>
      <c r="S1412">
        <v>10</v>
      </c>
      <c r="T1412">
        <v>7</v>
      </c>
      <c r="U1412">
        <v>7</v>
      </c>
      <c r="V1412">
        <v>3</v>
      </c>
      <c r="W1412">
        <v>30</v>
      </c>
      <c r="X1412">
        <v>506</v>
      </c>
      <c r="Y1412">
        <v>26285</v>
      </c>
      <c r="Z1412">
        <v>4485</v>
      </c>
      <c r="AA1412">
        <v>2</v>
      </c>
      <c r="AB1412" s="29">
        <v>44773</v>
      </c>
      <c r="AC1412" s="29">
        <v>31976</v>
      </c>
      <c r="AD1412" s="29">
        <v>41993</v>
      </c>
      <c r="AE1412" s="29"/>
      <c r="AF1412">
        <v>8</v>
      </c>
      <c r="AG1412" t="s">
        <v>149</v>
      </c>
      <c r="AI1412">
        <v>28</v>
      </c>
      <c r="AJ1412">
        <v>2</v>
      </c>
      <c r="AK1412" t="s">
        <v>150</v>
      </c>
      <c r="AL1412" t="s">
        <v>77</v>
      </c>
      <c r="AM1412">
        <f t="shared" si="110"/>
        <v>4</v>
      </c>
      <c r="AN1412">
        <f t="shared" si="111"/>
        <v>12</v>
      </c>
      <c r="AO1412" t="str">
        <f t="shared" si="112"/>
        <v/>
      </c>
      <c r="AP1412" t="str">
        <f t="shared" si="113"/>
        <v/>
      </c>
      <c r="AQ1412">
        <f t="shared" si="114"/>
        <v>2014</v>
      </c>
    </row>
    <row r="1413" spans="1:43" x14ac:dyDescent="0.35">
      <c r="A1413">
        <v>1118</v>
      </c>
      <c r="B1413">
        <v>52</v>
      </c>
      <c r="C1413" t="s">
        <v>148</v>
      </c>
      <c r="D1413" t="s">
        <v>145</v>
      </c>
      <c r="E1413" t="s">
        <v>4</v>
      </c>
      <c r="F1413" t="s">
        <v>37</v>
      </c>
      <c r="G1413" t="s">
        <v>42</v>
      </c>
      <c r="H1413" t="s">
        <v>82</v>
      </c>
      <c r="I1413" t="s">
        <v>43</v>
      </c>
      <c r="J1413" t="s">
        <v>161</v>
      </c>
      <c r="K1413" t="s">
        <v>42</v>
      </c>
      <c r="L1413" t="s">
        <v>147</v>
      </c>
      <c r="M1413" t="s">
        <v>49</v>
      </c>
      <c r="N1413" t="s">
        <v>95</v>
      </c>
      <c r="P1413" t="s">
        <v>148</v>
      </c>
      <c r="Q1413">
        <v>19</v>
      </c>
      <c r="R1413">
        <v>7</v>
      </c>
      <c r="S1413">
        <v>18</v>
      </c>
      <c r="T1413">
        <v>4</v>
      </c>
      <c r="U1413">
        <v>0</v>
      </c>
      <c r="V1413">
        <v>7</v>
      </c>
      <c r="W1413">
        <v>87</v>
      </c>
      <c r="X1413">
        <v>994</v>
      </c>
      <c r="Y1413">
        <v>15322</v>
      </c>
      <c r="Z1413">
        <v>10445</v>
      </c>
      <c r="AA1413">
        <v>4</v>
      </c>
      <c r="AB1413" s="29">
        <v>44773</v>
      </c>
      <c r="AC1413" s="29">
        <v>26104</v>
      </c>
      <c r="AD1413" s="29">
        <v>41997</v>
      </c>
      <c r="AE1413" s="29"/>
      <c r="AF1413">
        <v>8</v>
      </c>
      <c r="AG1413" t="s">
        <v>167</v>
      </c>
      <c r="AI1413">
        <v>44</v>
      </c>
      <c r="AJ1413">
        <v>1</v>
      </c>
      <c r="AK1413" t="s">
        <v>150</v>
      </c>
      <c r="AL1413" t="s">
        <v>77</v>
      </c>
      <c r="AM1413">
        <f t="shared" si="110"/>
        <v>4</v>
      </c>
      <c r="AN1413">
        <f t="shared" si="111"/>
        <v>12</v>
      </c>
      <c r="AO1413" t="str">
        <f t="shared" si="112"/>
        <v/>
      </c>
      <c r="AP1413" t="str">
        <f t="shared" si="113"/>
        <v/>
      </c>
      <c r="AQ1413">
        <f t="shared" si="114"/>
        <v>2014</v>
      </c>
    </row>
    <row r="1414" spans="1:43" x14ac:dyDescent="0.35">
      <c r="A1414">
        <v>1377</v>
      </c>
      <c r="B1414">
        <v>34</v>
      </c>
      <c r="C1414" t="s">
        <v>148</v>
      </c>
      <c r="D1414" t="s">
        <v>145</v>
      </c>
      <c r="E1414" t="s">
        <v>4</v>
      </c>
      <c r="F1414" t="s">
        <v>38</v>
      </c>
      <c r="G1414" t="s">
        <v>42</v>
      </c>
      <c r="H1414" t="s">
        <v>82</v>
      </c>
      <c r="I1414" t="s">
        <v>43</v>
      </c>
      <c r="J1414" t="s">
        <v>155</v>
      </c>
      <c r="K1414" t="s">
        <v>43</v>
      </c>
      <c r="L1414" t="s">
        <v>147</v>
      </c>
      <c r="M1414" t="s">
        <v>49</v>
      </c>
      <c r="N1414" t="s">
        <v>160</v>
      </c>
      <c r="O1414" t="s">
        <v>156</v>
      </c>
      <c r="P1414" t="s">
        <v>148</v>
      </c>
      <c r="Q1414">
        <v>13</v>
      </c>
      <c r="R1414">
        <v>4</v>
      </c>
      <c r="S1414">
        <v>10</v>
      </c>
      <c r="T1414">
        <v>7</v>
      </c>
      <c r="U1414">
        <v>7</v>
      </c>
      <c r="V1414">
        <v>29</v>
      </c>
      <c r="W1414">
        <v>86</v>
      </c>
      <c r="X1414">
        <v>285</v>
      </c>
      <c r="Y1414">
        <v>17491</v>
      </c>
      <c r="Z1414">
        <v>5429</v>
      </c>
      <c r="AA1414">
        <v>1</v>
      </c>
      <c r="AB1414" s="29">
        <v>44773</v>
      </c>
      <c r="AC1414" s="29">
        <v>32443</v>
      </c>
      <c r="AD1414" s="29">
        <v>42005</v>
      </c>
      <c r="AE1414" s="29"/>
      <c r="AF1414">
        <v>8</v>
      </c>
      <c r="AG1414" t="s">
        <v>149</v>
      </c>
      <c r="AI1414">
        <v>26</v>
      </c>
      <c r="AJ1414">
        <v>1</v>
      </c>
      <c r="AK1414" t="s">
        <v>150</v>
      </c>
      <c r="AL1414" t="s">
        <v>78</v>
      </c>
      <c r="AM1414">
        <f t="shared" si="110"/>
        <v>1</v>
      </c>
      <c r="AN1414">
        <f t="shared" si="111"/>
        <v>1</v>
      </c>
      <c r="AO1414" t="str">
        <f t="shared" si="112"/>
        <v/>
      </c>
      <c r="AP1414" t="str">
        <f t="shared" si="113"/>
        <v/>
      </c>
      <c r="AQ1414">
        <f t="shared" si="114"/>
        <v>2015</v>
      </c>
    </row>
    <row r="1415" spans="1:43" x14ac:dyDescent="0.35">
      <c r="A1415">
        <v>913</v>
      </c>
      <c r="B1415">
        <v>44</v>
      </c>
      <c r="C1415" t="s">
        <v>148</v>
      </c>
      <c r="D1415" t="s">
        <v>145</v>
      </c>
      <c r="E1415" t="s">
        <v>4</v>
      </c>
      <c r="F1415" t="s">
        <v>36</v>
      </c>
      <c r="G1415" t="s">
        <v>42</v>
      </c>
      <c r="H1415" t="s">
        <v>82</v>
      </c>
      <c r="I1415" t="s">
        <v>43</v>
      </c>
      <c r="J1415" t="s">
        <v>146</v>
      </c>
      <c r="K1415" t="s">
        <v>41</v>
      </c>
      <c r="L1415" t="s">
        <v>147</v>
      </c>
      <c r="M1415" t="s">
        <v>49</v>
      </c>
      <c r="N1415" t="s">
        <v>160</v>
      </c>
      <c r="P1415" t="s">
        <v>144</v>
      </c>
      <c r="Q1415">
        <v>13</v>
      </c>
      <c r="R1415">
        <v>1</v>
      </c>
      <c r="S1415">
        <v>8</v>
      </c>
      <c r="T1415">
        <v>7</v>
      </c>
      <c r="U1415">
        <v>1</v>
      </c>
      <c r="V1415">
        <v>9</v>
      </c>
      <c r="W1415">
        <v>61</v>
      </c>
      <c r="X1415">
        <v>661</v>
      </c>
      <c r="Y1415">
        <v>7508</v>
      </c>
      <c r="Z1415">
        <v>2559</v>
      </c>
      <c r="AA1415">
        <v>0</v>
      </c>
      <c r="AB1415" s="29">
        <v>44773</v>
      </c>
      <c r="AC1415" s="29">
        <v>29056</v>
      </c>
      <c r="AD1415" s="29">
        <v>42066</v>
      </c>
      <c r="AE1415" s="29"/>
      <c r="AF1415">
        <v>7</v>
      </c>
      <c r="AG1415" t="s">
        <v>153</v>
      </c>
      <c r="AI1415">
        <v>37</v>
      </c>
      <c r="AJ1415">
        <v>1</v>
      </c>
      <c r="AK1415" t="s">
        <v>150</v>
      </c>
      <c r="AL1415" t="s">
        <v>77</v>
      </c>
      <c r="AM1415">
        <f t="shared" si="110"/>
        <v>1</v>
      </c>
      <c r="AN1415">
        <f t="shared" si="111"/>
        <v>3</v>
      </c>
      <c r="AO1415" t="str">
        <f t="shared" si="112"/>
        <v/>
      </c>
      <c r="AP1415" t="str">
        <f t="shared" si="113"/>
        <v/>
      </c>
      <c r="AQ1415">
        <f t="shared" si="114"/>
        <v>2015</v>
      </c>
    </row>
    <row r="1416" spans="1:43" x14ac:dyDescent="0.35">
      <c r="A1416">
        <v>1640</v>
      </c>
      <c r="B1416">
        <v>37</v>
      </c>
      <c r="C1416" t="s">
        <v>148</v>
      </c>
      <c r="D1416" t="s">
        <v>145</v>
      </c>
      <c r="E1416" t="s">
        <v>4</v>
      </c>
      <c r="F1416" t="s">
        <v>38</v>
      </c>
      <c r="G1416" t="s">
        <v>42</v>
      </c>
      <c r="H1416" t="s">
        <v>81</v>
      </c>
      <c r="I1416" t="s">
        <v>43</v>
      </c>
      <c r="J1416" t="s">
        <v>146</v>
      </c>
      <c r="K1416" t="s">
        <v>42</v>
      </c>
      <c r="L1416" t="s">
        <v>147</v>
      </c>
      <c r="M1416" t="s">
        <v>47</v>
      </c>
      <c r="N1416" t="s">
        <v>160</v>
      </c>
      <c r="O1416" t="s">
        <v>41</v>
      </c>
      <c r="P1416" t="s">
        <v>148</v>
      </c>
      <c r="Q1416">
        <v>11</v>
      </c>
      <c r="R1416">
        <v>1</v>
      </c>
      <c r="S1416">
        <v>8</v>
      </c>
      <c r="T1416">
        <v>7</v>
      </c>
      <c r="U1416">
        <v>7</v>
      </c>
      <c r="V1416">
        <v>10</v>
      </c>
      <c r="W1416">
        <v>71</v>
      </c>
      <c r="X1416">
        <v>1470</v>
      </c>
      <c r="Y1416">
        <v>9953</v>
      </c>
      <c r="Z1416">
        <v>3936</v>
      </c>
      <c r="AA1416">
        <v>2</v>
      </c>
      <c r="AB1416" s="29">
        <v>44773</v>
      </c>
      <c r="AC1416" s="29">
        <v>31366</v>
      </c>
      <c r="AD1416" s="29">
        <v>42153</v>
      </c>
      <c r="AE1416" s="29"/>
      <c r="AF1416">
        <v>7</v>
      </c>
      <c r="AG1416" t="s">
        <v>149</v>
      </c>
      <c r="AI1416">
        <v>30</v>
      </c>
      <c r="AJ1416">
        <v>2</v>
      </c>
      <c r="AK1416" t="s">
        <v>150</v>
      </c>
      <c r="AL1416" t="s">
        <v>77</v>
      </c>
      <c r="AM1416">
        <f t="shared" si="110"/>
        <v>2</v>
      </c>
      <c r="AN1416">
        <f t="shared" si="111"/>
        <v>5</v>
      </c>
      <c r="AO1416" t="str">
        <f t="shared" si="112"/>
        <v/>
      </c>
      <c r="AP1416" t="str">
        <f t="shared" si="113"/>
        <v/>
      </c>
      <c r="AQ1416">
        <f t="shared" si="114"/>
        <v>2015</v>
      </c>
    </row>
    <row r="1417" spans="1:43" x14ac:dyDescent="0.35">
      <c r="A1417">
        <v>1703</v>
      </c>
      <c r="B1417">
        <v>44</v>
      </c>
      <c r="C1417" t="s">
        <v>148</v>
      </c>
      <c r="D1417" t="s">
        <v>145</v>
      </c>
      <c r="E1417" t="s">
        <v>4</v>
      </c>
      <c r="F1417" t="s">
        <v>38</v>
      </c>
      <c r="G1417" t="s">
        <v>43</v>
      </c>
      <c r="H1417" t="s">
        <v>81</v>
      </c>
      <c r="I1417" t="s">
        <v>44</v>
      </c>
      <c r="J1417" t="s">
        <v>161</v>
      </c>
      <c r="K1417" t="s">
        <v>44</v>
      </c>
      <c r="L1417" t="s">
        <v>147</v>
      </c>
      <c r="M1417" t="s">
        <v>49</v>
      </c>
      <c r="N1417" t="s">
        <v>160</v>
      </c>
      <c r="O1417" t="s">
        <v>41</v>
      </c>
      <c r="P1417" t="s">
        <v>144</v>
      </c>
      <c r="Q1417">
        <v>19</v>
      </c>
      <c r="R1417">
        <v>1</v>
      </c>
      <c r="S1417">
        <v>9</v>
      </c>
      <c r="T1417">
        <v>6</v>
      </c>
      <c r="U1417">
        <v>7</v>
      </c>
      <c r="V1417">
        <v>2</v>
      </c>
      <c r="W1417">
        <v>96</v>
      </c>
      <c r="X1417">
        <v>921</v>
      </c>
      <c r="Y1417">
        <v>14810</v>
      </c>
      <c r="Z1417">
        <v>7879</v>
      </c>
      <c r="AA1417">
        <v>2</v>
      </c>
      <c r="AB1417" s="29">
        <v>44773</v>
      </c>
      <c r="AC1417" s="29">
        <v>28787</v>
      </c>
      <c r="AD1417" s="29">
        <v>42165</v>
      </c>
      <c r="AE1417" s="29"/>
      <c r="AF1417">
        <v>7</v>
      </c>
      <c r="AG1417" t="s">
        <v>153</v>
      </c>
      <c r="AI1417">
        <v>37</v>
      </c>
      <c r="AJ1417">
        <v>1</v>
      </c>
      <c r="AK1417" t="s">
        <v>150</v>
      </c>
      <c r="AL1417" t="s">
        <v>77</v>
      </c>
      <c r="AM1417">
        <f t="shared" si="110"/>
        <v>2</v>
      </c>
      <c r="AN1417">
        <f t="shared" si="111"/>
        <v>6</v>
      </c>
      <c r="AO1417" t="str">
        <f t="shared" si="112"/>
        <v/>
      </c>
      <c r="AP1417" t="str">
        <f t="shared" si="113"/>
        <v/>
      </c>
      <c r="AQ1417">
        <f t="shared" si="114"/>
        <v>2015</v>
      </c>
    </row>
    <row r="1418" spans="1:43" x14ac:dyDescent="0.35">
      <c r="A1418">
        <v>1061</v>
      </c>
      <c r="B1418">
        <v>50</v>
      </c>
      <c r="C1418" t="s">
        <v>148</v>
      </c>
      <c r="D1418" t="s">
        <v>145</v>
      </c>
      <c r="E1418" t="s">
        <v>4</v>
      </c>
      <c r="F1418" t="s">
        <v>37</v>
      </c>
      <c r="G1418" t="s">
        <v>42</v>
      </c>
      <c r="H1418" t="s">
        <v>82</v>
      </c>
      <c r="I1418" t="s">
        <v>43</v>
      </c>
      <c r="J1418" t="s">
        <v>173</v>
      </c>
      <c r="K1418" t="s">
        <v>43</v>
      </c>
      <c r="L1418" t="s">
        <v>147</v>
      </c>
      <c r="M1418" t="s">
        <v>48</v>
      </c>
      <c r="N1418" t="s">
        <v>160</v>
      </c>
      <c r="O1418" t="s">
        <v>41</v>
      </c>
      <c r="P1418" t="s">
        <v>144</v>
      </c>
      <c r="Q1418">
        <v>11</v>
      </c>
      <c r="R1418">
        <v>2</v>
      </c>
      <c r="S1418">
        <v>29</v>
      </c>
      <c r="T1418">
        <v>7</v>
      </c>
      <c r="U1418">
        <v>7</v>
      </c>
      <c r="V1418">
        <v>2</v>
      </c>
      <c r="W1418">
        <v>62</v>
      </c>
      <c r="X1418">
        <v>1464</v>
      </c>
      <c r="Y1418">
        <v>12853</v>
      </c>
      <c r="Z1418">
        <v>19237</v>
      </c>
      <c r="AA1418">
        <v>2</v>
      </c>
      <c r="AB1418" s="29">
        <v>44773</v>
      </c>
      <c r="AC1418" s="29">
        <v>26536</v>
      </c>
      <c r="AD1418" s="29">
        <v>42202</v>
      </c>
      <c r="AE1418" s="29"/>
      <c r="AF1418">
        <v>7</v>
      </c>
      <c r="AG1418" t="s">
        <v>167</v>
      </c>
      <c r="AI1418">
        <v>43</v>
      </c>
      <c r="AJ1418">
        <v>1</v>
      </c>
      <c r="AK1418" t="s">
        <v>150</v>
      </c>
      <c r="AL1418" t="s">
        <v>77</v>
      </c>
      <c r="AM1418">
        <f t="shared" si="110"/>
        <v>3</v>
      </c>
      <c r="AN1418">
        <f t="shared" si="111"/>
        <v>7</v>
      </c>
      <c r="AO1418" t="str">
        <f t="shared" si="112"/>
        <v/>
      </c>
      <c r="AP1418" t="str">
        <f t="shared" si="113"/>
        <v/>
      </c>
      <c r="AQ1418">
        <f t="shared" si="114"/>
        <v>2015</v>
      </c>
    </row>
    <row r="1419" spans="1:43" x14ac:dyDescent="0.35">
      <c r="A1419">
        <v>1952</v>
      </c>
      <c r="B1419">
        <v>26</v>
      </c>
      <c r="C1419" t="s">
        <v>148</v>
      </c>
      <c r="D1419" t="s">
        <v>145</v>
      </c>
      <c r="E1419" t="s">
        <v>4</v>
      </c>
      <c r="F1419" t="s">
        <v>38</v>
      </c>
      <c r="G1419" t="s">
        <v>43</v>
      </c>
      <c r="H1419" t="s">
        <v>82</v>
      </c>
      <c r="I1419" t="s">
        <v>43</v>
      </c>
      <c r="J1419" t="s">
        <v>155</v>
      </c>
      <c r="K1419" t="s">
        <v>41</v>
      </c>
      <c r="L1419" t="s">
        <v>147</v>
      </c>
      <c r="M1419" t="s">
        <v>48</v>
      </c>
      <c r="N1419" t="s">
        <v>95</v>
      </c>
      <c r="P1419" t="s">
        <v>148</v>
      </c>
      <c r="Q1419">
        <v>13</v>
      </c>
      <c r="R1419">
        <v>0</v>
      </c>
      <c r="S1419">
        <v>8</v>
      </c>
      <c r="T1419">
        <v>7</v>
      </c>
      <c r="U1419">
        <v>6</v>
      </c>
      <c r="V1419">
        <v>1</v>
      </c>
      <c r="W1419">
        <v>95</v>
      </c>
      <c r="X1419">
        <v>157</v>
      </c>
      <c r="Y1419">
        <v>20006</v>
      </c>
      <c r="Z1419">
        <v>2867</v>
      </c>
      <c r="AA1419">
        <v>6</v>
      </c>
      <c r="AB1419" s="29">
        <v>44773</v>
      </c>
      <c r="AC1419" s="29">
        <v>35614</v>
      </c>
      <c r="AD1419" s="29">
        <v>42240</v>
      </c>
      <c r="AE1419" s="29"/>
      <c r="AF1419">
        <v>7</v>
      </c>
      <c r="AG1419" t="s">
        <v>157</v>
      </c>
      <c r="AI1419">
        <v>19</v>
      </c>
      <c r="AJ1419">
        <v>1</v>
      </c>
      <c r="AK1419" t="s">
        <v>150</v>
      </c>
      <c r="AL1419" t="s">
        <v>78</v>
      </c>
      <c r="AM1419">
        <f t="shared" si="110"/>
        <v>3</v>
      </c>
      <c r="AN1419">
        <f t="shared" si="111"/>
        <v>8</v>
      </c>
      <c r="AO1419" t="str">
        <f t="shared" si="112"/>
        <v/>
      </c>
      <c r="AP1419" t="str">
        <f t="shared" si="113"/>
        <v/>
      </c>
      <c r="AQ1419">
        <f t="shared" si="114"/>
        <v>2015</v>
      </c>
    </row>
    <row r="1420" spans="1:43" x14ac:dyDescent="0.35">
      <c r="A1420">
        <v>1555</v>
      </c>
      <c r="B1420">
        <v>32</v>
      </c>
      <c r="C1420" t="s">
        <v>148</v>
      </c>
      <c r="D1420" t="s">
        <v>145</v>
      </c>
      <c r="E1420" t="s">
        <v>4</v>
      </c>
      <c r="F1420" t="s">
        <v>36</v>
      </c>
      <c r="G1420" t="s">
        <v>44</v>
      </c>
      <c r="H1420" t="s">
        <v>81</v>
      </c>
      <c r="I1420" t="s">
        <v>42</v>
      </c>
      <c r="J1420" t="s">
        <v>146</v>
      </c>
      <c r="K1420" t="s">
        <v>42</v>
      </c>
      <c r="L1420" t="s">
        <v>147</v>
      </c>
      <c r="M1420" t="s">
        <v>49</v>
      </c>
      <c r="N1420" t="s">
        <v>160</v>
      </c>
      <c r="O1420" t="s">
        <v>41</v>
      </c>
      <c r="P1420" t="s">
        <v>148</v>
      </c>
      <c r="Q1420">
        <v>12</v>
      </c>
      <c r="R1420">
        <v>3</v>
      </c>
      <c r="S1420">
        <v>12</v>
      </c>
      <c r="T1420">
        <v>2</v>
      </c>
      <c r="U1420">
        <v>5</v>
      </c>
      <c r="V1420">
        <v>5</v>
      </c>
      <c r="W1420">
        <v>67</v>
      </c>
      <c r="X1420">
        <v>824</v>
      </c>
      <c r="Y1420">
        <v>15624</v>
      </c>
      <c r="Z1420">
        <v>5878</v>
      </c>
      <c r="AA1420">
        <v>2</v>
      </c>
      <c r="AB1420" s="29">
        <v>44773</v>
      </c>
      <c r="AC1420" s="29">
        <v>33412</v>
      </c>
      <c r="AD1420" s="29">
        <v>42292</v>
      </c>
      <c r="AE1420" s="29"/>
      <c r="AF1420">
        <v>7</v>
      </c>
      <c r="AG1420" t="s">
        <v>149</v>
      </c>
      <c r="AI1420">
        <v>25</v>
      </c>
      <c r="AJ1420">
        <v>1</v>
      </c>
      <c r="AK1420" t="s">
        <v>150</v>
      </c>
      <c r="AL1420" t="s">
        <v>77</v>
      </c>
      <c r="AM1420">
        <f t="shared" si="110"/>
        <v>4</v>
      </c>
      <c r="AN1420">
        <f t="shared" si="111"/>
        <v>10</v>
      </c>
      <c r="AO1420" t="str">
        <f t="shared" si="112"/>
        <v/>
      </c>
      <c r="AP1420" t="str">
        <f t="shared" si="113"/>
        <v/>
      </c>
      <c r="AQ1420">
        <f t="shared" si="114"/>
        <v>2015</v>
      </c>
    </row>
    <row r="1421" spans="1:43" x14ac:dyDescent="0.35">
      <c r="A1421">
        <v>281</v>
      </c>
      <c r="B1421">
        <v>40</v>
      </c>
      <c r="C1421" t="s">
        <v>148</v>
      </c>
      <c r="D1421" t="s">
        <v>145</v>
      </c>
      <c r="E1421" t="s">
        <v>4</v>
      </c>
      <c r="F1421" t="s">
        <v>36</v>
      </c>
      <c r="G1421" t="s">
        <v>43</v>
      </c>
      <c r="H1421" t="s">
        <v>82</v>
      </c>
      <c r="I1421" t="s">
        <v>43</v>
      </c>
      <c r="J1421" t="s">
        <v>155</v>
      </c>
      <c r="K1421" t="s">
        <v>44</v>
      </c>
      <c r="L1421" t="s">
        <v>147</v>
      </c>
      <c r="M1421" t="s">
        <v>50</v>
      </c>
      <c r="N1421" t="s">
        <v>160</v>
      </c>
      <c r="O1421" t="s">
        <v>41</v>
      </c>
      <c r="P1421" t="s">
        <v>144</v>
      </c>
      <c r="Q1421">
        <v>15</v>
      </c>
      <c r="R1421">
        <v>8</v>
      </c>
      <c r="S1421">
        <v>15</v>
      </c>
      <c r="T1421">
        <v>3</v>
      </c>
      <c r="U1421">
        <v>7</v>
      </c>
      <c r="V1421">
        <v>19</v>
      </c>
      <c r="W1421">
        <v>99</v>
      </c>
      <c r="X1421">
        <v>905</v>
      </c>
      <c r="Y1421">
        <v>16523</v>
      </c>
      <c r="Z1421">
        <v>2741</v>
      </c>
      <c r="AA1421">
        <v>2</v>
      </c>
      <c r="AB1421" s="29">
        <v>44773</v>
      </c>
      <c r="AC1421" s="29">
        <v>30338</v>
      </c>
      <c r="AD1421" s="29">
        <v>42326</v>
      </c>
      <c r="AE1421" s="29"/>
      <c r="AF1421">
        <v>7</v>
      </c>
      <c r="AG1421" t="s">
        <v>153</v>
      </c>
      <c r="AI1421">
        <v>33</v>
      </c>
      <c r="AJ1421">
        <v>1</v>
      </c>
      <c r="AK1421" t="s">
        <v>150</v>
      </c>
      <c r="AL1421" t="s">
        <v>77</v>
      </c>
      <c r="AM1421">
        <f t="shared" si="110"/>
        <v>4</v>
      </c>
      <c r="AN1421">
        <f t="shared" si="111"/>
        <v>11</v>
      </c>
      <c r="AO1421" t="str">
        <f t="shared" si="112"/>
        <v/>
      </c>
      <c r="AP1421" t="str">
        <f t="shared" si="113"/>
        <v/>
      </c>
      <c r="AQ1421">
        <f t="shared" si="114"/>
        <v>2015</v>
      </c>
    </row>
    <row r="1422" spans="1:43" x14ac:dyDescent="0.35">
      <c r="A1422">
        <v>1182</v>
      </c>
      <c r="B1422">
        <v>35</v>
      </c>
      <c r="C1422" t="s">
        <v>148</v>
      </c>
      <c r="D1422" t="s">
        <v>145</v>
      </c>
      <c r="E1422" t="s">
        <v>4</v>
      </c>
      <c r="F1422" t="s">
        <v>38</v>
      </c>
      <c r="G1422" t="s">
        <v>43</v>
      </c>
      <c r="H1422" t="s">
        <v>82</v>
      </c>
      <c r="I1422" t="s">
        <v>42</v>
      </c>
      <c r="J1422" t="s">
        <v>165</v>
      </c>
      <c r="K1422" t="s">
        <v>42</v>
      </c>
      <c r="L1422" t="s">
        <v>147</v>
      </c>
      <c r="M1422" t="s">
        <v>50</v>
      </c>
      <c r="N1422" t="s">
        <v>96</v>
      </c>
      <c r="O1422" t="s">
        <v>41</v>
      </c>
      <c r="P1422" t="s">
        <v>148</v>
      </c>
      <c r="Q1422">
        <v>18</v>
      </c>
      <c r="R1422">
        <v>2</v>
      </c>
      <c r="S1422">
        <v>15</v>
      </c>
      <c r="T1422">
        <v>6</v>
      </c>
      <c r="U1422">
        <v>4</v>
      </c>
      <c r="V1422">
        <v>2</v>
      </c>
      <c r="W1422">
        <v>44</v>
      </c>
      <c r="X1422">
        <v>819</v>
      </c>
      <c r="Y1422">
        <v>19588</v>
      </c>
      <c r="Z1422">
        <v>10274</v>
      </c>
      <c r="AA1422">
        <v>2</v>
      </c>
      <c r="AB1422" s="29">
        <v>44773</v>
      </c>
      <c r="AC1422" s="29">
        <v>32143</v>
      </c>
      <c r="AD1422" s="29">
        <v>42335</v>
      </c>
      <c r="AE1422" s="29"/>
      <c r="AF1422">
        <v>7</v>
      </c>
      <c r="AG1422" t="s">
        <v>149</v>
      </c>
      <c r="AI1422">
        <v>28</v>
      </c>
      <c r="AJ1422">
        <v>1</v>
      </c>
      <c r="AK1422" t="s">
        <v>150</v>
      </c>
      <c r="AL1422" t="s">
        <v>77</v>
      </c>
      <c r="AM1422">
        <f t="shared" si="110"/>
        <v>4</v>
      </c>
      <c r="AN1422">
        <f t="shared" si="111"/>
        <v>11</v>
      </c>
      <c r="AO1422" t="str">
        <f t="shared" si="112"/>
        <v/>
      </c>
      <c r="AP1422" t="str">
        <f t="shared" si="113"/>
        <v/>
      </c>
      <c r="AQ1422">
        <f t="shared" si="114"/>
        <v>2015</v>
      </c>
    </row>
    <row r="1423" spans="1:43" x14ac:dyDescent="0.35">
      <c r="A1423">
        <v>727</v>
      </c>
      <c r="B1423">
        <v>32</v>
      </c>
      <c r="C1423" t="s">
        <v>148</v>
      </c>
      <c r="D1423" t="s">
        <v>145</v>
      </c>
      <c r="E1423" t="s">
        <v>4</v>
      </c>
      <c r="F1423" t="s">
        <v>36</v>
      </c>
      <c r="G1423" t="s">
        <v>43</v>
      </c>
      <c r="H1423" t="s">
        <v>81</v>
      </c>
      <c r="I1423" t="s">
        <v>43</v>
      </c>
      <c r="J1423" t="s">
        <v>173</v>
      </c>
      <c r="K1423" t="s">
        <v>44</v>
      </c>
      <c r="L1423" t="s">
        <v>147</v>
      </c>
      <c r="M1423" t="s">
        <v>49</v>
      </c>
      <c r="N1423" t="s">
        <v>95</v>
      </c>
      <c r="P1423" t="s">
        <v>148</v>
      </c>
      <c r="Q1423">
        <v>15</v>
      </c>
      <c r="R1423">
        <v>3</v>
      </c>
      <c r="S1423">
        <v>10</v>
      </c>
      <c r="T1423">
        <v>7</v>
      </c>
      <c r="U1423">
        <v>7</v>
      </c>
      <c r="V1423">
        <v>3</v>
      </c>
      <c r="W1423">
        <v>39</v>
      </c>
      <c r="X1423">
        <v>1018</v>
      </c>
      <c r="Y1423">
        <v>19373</v>
      </c>
      <c r="Z1423">
        <v>11159</v>
      </c>
      <c r="AA1423">
        <v>6</v>
      </c>
      <c r="AB1423" s="29">
        <v>44773</v>
      </c>
      <c r="AC1423" s="29">
        <v>33093</v>
      </c>
      <c r="AD1423" s="29">
        <v>42391</v>
      </c>
      <c r="AE1423" s="29"/>
      <c r="AF1423">
        <v>7</v>
      </c>
      <c r="AG1423" t="s">
        <v>149</v>
      </c>
      <c r="AI1423">
        <v>25</v>
      </c>
      <c r="AJ1423">
        <v>2</v>
      </c>
      <c r="AK1423" t="s">
        <v>150</v>
      </c>
      <c r="AL1423" t="s">
        <v>77</v>
      </c>
      <c r="AM1423">
        <f t="shared" si="110"/>
        <v>1</v>
      </c>
      <c r="AN1423">
        <f t="shared" si="111"/>
        <v>1</v>
      </c>
      <c r="AO1423" t="str">
        <f t="shared" si="112"/>
        <v/>
      </c>
      <c r="AP1423" t="str">
        <f t="shared" si="113"/>
        <v/>
      </c>
      <c r="AQ1423">
        <f t="shared" si="114"/>
        <v>2016</v>
      </c>
    </row>
    <row r="1424" spans="1:43" x14ac:dyDescent="0.35">
      <c r="A1424">
        <v>1201</v>
      </c>
      <c r="B1424">
        <v>53</v>
      </c>
      <c r="C1424" t="s">
        <v>148</v>
      </c>
      <c r="D1424" t="s">
        <v>145</v>
      </c>
      <c r="E1424" t="s">
        <v>4</v>
      </c>
      <c r="F1424" t="s">
        <v>36</v>
      </c>
      <c r="G1424" t="s">
        <v>44</v>
      </c>
      <c r="H1424" t="s">
        <v>81</v>
      </c>
      <c r="I1424" t="s">
        <v>43</v>
      </c>
      <c r="J1424" t="s">
        <v>169</v>
      </c>
      <c r="K1424" t="s">
        <v>43</v>
      </c>
      <c r="L1424" t="s">
        <v>147</v>
      </c>
      <c r="M1424" t="s">
        <v>49</v>
      </c>
      <c r="N1424" t="s">
        <v>96</v>
      </c>
      <c r="O1424" t="s">
        <v>41</v>
      </c>
      <c r="P1424" t="s">
        <v>148</v>
      </c>
      <c r="Q1424">
        <v>18</v>
      </c>
      <c r="R1424">
        <v>3</v>
      </c>
      <c r="S1424">
        <v>26</v>
      </c>
      <c r="T1424">
        <v>4</v>
      </c>
      <c r="U1424">
        <v>7</v>
      </c>
      <c r="V1424">
        <v>7</v>
      </c>
      <c r="W1424">
        <v>50</v>
      </c>
      <c r="X1424">
        <v>1223</v>
      </c>
      <c r="Y1424">
        <v>18640</v>
      </c>
      <c r="Z1424">
        <v>18606</v>
      </c>
      <c r="AA1424">
        <v>6</v>
      </c>
      <c r="AB1424" s="29">
        <v>44773</v>
      </c>
      <c r="AC1424" s="29">
        <v>25484</v>
      </c>
      <c r="AD1424" s="29">
        <v>42398</v>
      </c>
      <c r="AE1424" s="29"/>
      <c r="AF1424">
        <v>7</v>
      </c>
      <c r="AG1424" t="s">
        <v>167</v>
      </c>
      <c r="AI1424">
        <v>46</v>
      </c>
      <c r="AJ1424">
        <v>1</v>
      </c>
      <c r="AK1424" t="s">
        <v>150</v>
      </c>
      <c r="AL1424" t="s">
        <v>78</v>
      </c>
      <c r="AM1424">
        <f t="shared" si="110"/>
        <v>1</v>
      </c>
      <c r="AN1424">
        <f t="shared" si="111"/>
        <v>1</v>
      </c>
      <c r="AO1424" t="str">
        <f t="shared" si="112"/>
        <v/>
      </c>
      <c r="AP1424" t="str">
        <f t="shared" si="113"/>
        <v/>
      </c>
      <c r="AQ1424">
        <f t="shared" si="114"/>
        <v>2016</v>
      </c>
    </row>
    <row r="1425" spans="1:43" x14ac:dyDescent="0.35">
      <c r="A1425">
        <v>474</v>
      </c>
      <c r="B1425">
        <v>37</v>
      </c>
      <c r="C1425" t="s">
        <v>148</v>
      </c>
      <c r="D1425" t="s">
        <v>145</v>
      </c>
      <c r="E1425" t="s">
        <v>4</v>
      </c>
      <c r="F1425" t="s">
        <v>38</v>
      </c>
      <c r="G1425" t="s">
        <v>43</v>
      </c>
      <c r="H1425" t="s">
        <v>82</v>
      </c>
      <c r="I1425" t="s">
        <v>44</v>
      </c>
      <c r="J1425" t="s">
        <v>146</v>
      </c>
      <c r="K1425" t="s">
        <v>41</v>
      </c>
      <c r="L1425" t="s">
        <v>147</v>
      </c>
      <c r="M1425" t="s">
        <v>49</v>
      </c>
      <c r="N1425" t="s">
        <v>96</v>
      </c>
      <c r="O1425" t="s">
        <v>156</v>
      </c>
      <c r="P1425" t="s">
        <v>144</v>
      </c>
      <c r="Q1425">
        <v>13</v>
      </c>
      <c r="R1425">
        <v>4</v>
      </c>
      <c r="S1425">
        <v>13</v>
      </c>
      <c r="T1425">
        <v>6</v>
      </c>
      <c r="U1425">
        <v>2</v>
      </c>
      <c r="V1425">
        <v>6</v>
      </c>
      <c r="W1425">
        <v>51</v>
      </c>
      <c r="X1425">
        <v>1319</v>
      </c>
      <c r="Y1425">
        <v>17001</v>
      </c>
      <c r="Z1425">
        <v>5974</v>
      </c>
      <c r="AA1425">
        <v>2</v>
      </c>
      <c r="AB1425" s="29">
        <v>44773</v>
      </c>
      <c r="AC1425" s="29">
        <v>31536</v>
      </c>
      <c r="AD1425" s="29">
        <v>42401</v>
      </c>
      <c r="AE1425" s="29"/>
      <c r="AF1425">
        <v>6</v>
      </c>
      <c r="AG1425" t="s">
        <v>149</v>
      </c>
      <c r="AI1425">
        <v>31</v>
      </c>
      <c r="AJ1425">
        <v>1</v>
      </c>
      <c r="AK1425" t="s">
        <v>150</v>
      </c>
      <c r="AL1425" t="s">
        <v>77</v>
      </c>
      <c r="AM1425">
        <f t="shared" si="110"/>
        <v>1</v>
      </c>
      <c r="AN1425">
        <f t="shared" si="111"/>
        <v>2</v>
      </c>
      <c r="AO1425" t="str">
        <f t="shared" si="112"/>
        <v/>
      </c>
      <c r="AP1425" t="str">
        <f t="shared" si="113"/>
        <v/>
      </c>
      <c r="AQ1425">
        <f t="shared" si="114"/>
        <v>2016</v>
      </c>
    </row>
    <row r="1426" spans="1:43" x14ac:dyDescent="0.35">
      <c r="A1426">
        <v>1829</v>
      </c>
      <c r="B1426">
        <v>40</v>
      </c>
      <c r="C1426" t="s">
        <v>148</v>
      </c>
      <c r="D1426" t="s">
        <v>145</v>
      </c>
      <c r="E1426" t="s">
        <v>4</v>
      </c>
      <c r="F1426" t="s">
        <v>38</v>
      </c>
      <c r="G1426" t="s">
        <v>42</v>
      </c>
      <c r="H1426" t="s">
        <v>81</v>
      </c>
      <c r="I1426" t="s">
        <v>43</v>
      </c>
      <c r="J1426" t="s">
        <v>161</v>
      </c>
      <c r="K1426" t="s">
        <v>41</v>
      </c>
      <c r="L1426" t="s">
        <v>147</v>
      </c>
      <c r="M1426" t="s">
        <v>49</v>
      </c>
      <c r="N1426" t="s">
        <v>96</v>
      </c>
      <c r="O1426" t="s">
        <v>41</v>
      </c>
      <c r="P1426" t="s">
        <v>148</v>
      </c>
      <c r="Q1426">
        <v>12</v>
      </c>
      <c r="R1426">
        <v>2</v>
      </c>
      <c r="S1426">
        <v>15</v>
      </c>
      <c r="T1426">
        <v>3</v>
      </c>
      <c r="U1426">
        <v>6</v>
      </c>
      <c r="V1426">
        <v>12</v>
      </c>
      <c r="W1426">
        <v>47</v>
      </c>
      <c r="X1426">
        <v>750</v>
      </c>
      <c r="Y1426">
        <v>10748</v>
      </c>
      <c r="Z1426">
        <v>4448</v>
      </c>
      <c r="AA1426">
        <v>3</v>
      </c>
      <c r="AB1426" s="29">
        <v>44773</v>
      </c>
      <c r="AC1426" s="29">
        <v>30491</v>
      </c>
      <c r="AD1426" s="29">
        <v>42428</v>
      </c>
      <c r="AE1426" s="29"/>
      <c r="AF1426">
        <v>6</v>
      </c>
      <c r="AG1426" t="s">
        <v>153</v>
      </c>
      <c r="AI1426">
        <v>34</v>
      </c>
      <c r="AJ1426">
        <v>1</v>
      </c>
      <c r="AK1426" t="s">
        <v>150</v>
      </c>
      <c r="AL1426" t="s">
        <v>77</v>
      </c>
      <c r="AM1426">
        <f t="shared" si="110"/>
        <v>1</v>
      </c>
      <c r="AN1426">
        <f t="shared" si="111"/>
        <v>2</v>
      </c>
      <c r="AO1426" t="str">
        <f t="shared" si="112"/>
        <v/>
      </c>
      <c r="AP1426" t="str">
        <f t="shared" si="113"/>
        <v/>
      </c>
      <c r="AQ1426">
        <f t="shared" si="114"/>
        <v>2016</v>
      </c>
    </row>
    <row r="1427" spans="1:43" x14ac:dyDescent="0.35">
      <c r="A1427">
        <v>13</v>
      </c>
      <c r="B1427">
        <v>36</v>
      </c>
      <c r="C1427" t="s">
        <v>148</v>
      </c>
      <c r="D1427" t="s">
        <v>145</v>
      </c>
      <c r="E1427" t="s">
        <v>4</v>
      </c>
      <c r="F1427" t="s">
        <v>38</v>
      </c>
      <c r="G1427" t="s">
        <v>43</v>
      </c>
      <c r="H1427" t="s">
        <v>82</v>
      </c>
      <c r="I1427" t="s">
        <v>43</v>
      </c>
      <c r="J1427" t="s">
        <v>161</v>
      </c>
      <c r="K1427" t="s">
        <v>43</v>
      </c>
      <c r="L1427" t="s">
        <v>147</v>
      </c>
      <c r="M1427" t="s">
        <v>48</v>
      </c>
      <c r="N1427" t="s">
        <v>160</v>
      </c>
      <c r="O1427" t="s">
        <v>156</v>
      </c>
      <c r="P1427" t="s">
        <v>148</v>
      </c>
      <c r="Q1427">
        <v>13</v>
      </c>
      <c r="R1427">
        <v>6</v>
      </c>
      <c r="S1427">
        <v>17</v>
      </c>
      <c r="T1427">
        <v>6</v>
      </c>
      <c r="U1427">
        <v>6</v>
      </c>
      <c r="V1427">
        <v>27</v>
      </c>
      <c r="W1427">
        <v>94</v>
      </c>
      <c r="X1427">
        <v>1299</v>
      </c>
      <c r="Y1427">
        <v>16577</v>
      </c>
      <c r="Z1427">
        <v>5237</v>
      </c>
      <c r="AA1427">
        <v>3</v>
      </c>
      <c r="AB1427" s="29">
        <v>44773</v>
      </c>
      <c r="AC1427" s="29">
        <v>31662</v>
      </c>
      <c r="AD1427" s="29">
        <v>42456</v>
      </c>
      <c r="AE1427" s="29"/>
      <c r="AF1427">
        <v>6</v>
      </c>
      <c r="AG1427" t="s">
        <v>149</v>
      </c>
      <c r="AI1427">
        <v>30</v>
      </c>
      <c r="AJ1427">
        <v>1</v>
      </c>
      <c r="AK1427" t="s">
        <v>150</v>
      </c>
      <c r="AL1427" t="s">
        <v>78</v>
      </c>
      <c r="AM1427">
        <f t="shared" si="110"/>
        <v>1</v>
      </c>
      <c r="AN1427">
        <f t="shared" si="111"/>
        <v>3</v>
      </c>
      <c r="AO1427" t="str">
        <f t="shared" si="112"/>
        <v/>
      </c>
      <c r="AP1427" t="str">
        <f t="shared" si="113"/>
        <v/>
      </c>
      <c r="AQ1427">
        <f t="shared" si="114"/>
        <v>2016</v>
      </c>
    </row>
    <row r="1428" spans="1:43" x14ac:dyDescent="0.35">
      <c r="A1428">
        <v>579</v>
      </c>
      <c r="B1428">
        <v>34</v>
      </c>
      <c r="C1428" t="s">
        <v>148</v>
      </c>
      <c r="D1428" t="s">
        <v>145</v>
      </c>
      <c r="E1428" t="s">
        <v>4</v>
      </c>
      <c r="F1428" t="s">
        <v>37</v>
      </c>
      <c r="G1428" t="s">
        <v>44</v>
      </c>
      <c r="H1428" t="s">
        <v>82</v>
      </c>
      <c r="I1428" t="s">
        <v>42</v>
      </c>
      <c r="J1428" t="s">
        <v>146</v>
      </c>
      <c r="K1428" t="s">
        <v>43</v>
      </c>
      <c r="L1428" t="s">
        <v>147</v>
      </c>
      <c r="M1428" t="s">
        <v>49</v>
      </c>
      <c r="N1428" t="s">
        <v>96</v>
      </c>
      <c r="O1428" t="s">
        <v>41</v>
      </c>
      <c r="P1428" t="s">
        <v>148</v>
      </c>
      <c r="Q1428">
        <v>12</v>
      </c>
      <c r="R1428">
        <v>3</v>
      </c>
      <c r="S1428">
        <v>14</v>
      </c>
      <c r="T1428">
        <v>5</v>
      </c>
      <c r="U1428">
        <v>4</v>
      </c>
      <c r="V1428">
        <v>2</v>
      </c>
      <c r="W1428">
        <v>62</v>
      </c>
      <c r="X1428">
        <v>1303</v>
      </c>
      <c r="Y1428">
        <v>8416</v>
      </c>
      <c r="Z1428">
        <v>2768</v>
      </c>
      <c r="AA1428">
        <v>3</v>
      </c>
      <c r="AB1428" s="29">
        <v>44773</v>
      </c>
      <c r="AC1428" s="29">
        <v>32619</v>
      </c>
      <c r="AD1428" s="29">
        <v>42526</v>
      </c>
      <c r="AE1428" s="29"/>
      <c r="AF1428">
        <v>6</v>
      </c>
      <c r="AG1428" t="s">
        <v>149</v>
      </c>
      <c r="AI1428">
        <v>28</v>
      </c>
      <c r="AJ1428">
        <v>2</v>
      </c>
      <c r="AK1428" t="s">
        <v>150</v>
      </c>
      <c r="AL1428" t="s">
        <v>77</v>
      </c>
      <c r="AM1428">
        <f t="shared" si="110"/>
        <v>2</v>
      </c>
      <c r="AN1428">
        <f t="shared" si="111"/>
        <v>6</v>
      </c>
      <c r="AO1428" t="str">
        <f t="shared" si="112"/>
        <v/>
      </c>
      <c r="AP1428" t="str">
        <f t="shared" si="113"/>
        <v/>
      </c>
      <c r="AQ1428">
        <f t="shared" si="114"/>
        <v>2016</v>
      </c>
    </row>
    <row r="1429" spans="1:43" x14ac:dyDescent="0.35">
      <c r="A1429">
        <v>381</v>
      </c>
      <c r="B1429">
        <v>35</v>
      </c>
      <c r="C1429" t="s">
        <v>148</v>
      </c>
      <c r="D1429" t="s">
        <v>145</v>
      </c>
      <c r="E1429" t="s">
        <v>4</v>
      </c>
      <c r="F1429" t="s">
        <v>38</v>
      </c>
      <c r="G1429" t="s">
        <v>42</v>
      </c>
      <c r="H1429" t="s">
        <v>81</v>
      </c>
      <c r="I1429" t="s">
        <v>44</v>
      </c>
      <c r="J1429" t="s">
        <v>169</v>
      </c>
      <c r="K1429" t="s">
        <v>42</v>
      </c>
      <c r="L1429" t="s">
        <v>147</v>
      </c>
      <c r="M1429" t="s">
        <v>48</v>
      </c>
      <c r="N1429" t="s">
        <v>96</v>
      </c>
      <c r="O1429" t="s">
        <v>41</v>
      </c>
      <c r="P1429" t="s">
        <v>148</v>
      </c>
      <c r="Q1429">
        <v>18</v>
      </c>
      <c r="R1429">
        <v>7</v>
      </c>
      <c r="S1429">
        <v>10</v>
      </c>
      <c r="T1429">
        <v>6</v>
      </c>
      <c r="U1429">
        <v>2</v>
      </c>
      <c r="V1429">
        <v>22</v>
      </c>
      <c r="W1429">
        <v>71</v>
      </c>
      <c r="X1429">
        <v>1315</v>
      </c>
      <c r="Y1429">
        <v>19100</v>
      </c>
      <c r="Z1429">
        <v>11996</v>
      </c>
      <c r="AA1429">
        <v>6</v>
      </c>
      <c r="AB1429" s="29">
        <v>44773</v>
      </c>
      <c r="AC1429" s="29">
        <v>32264</v>
      </c>
      <c r="AD1429" s="29">
        <v>42562</v>
      </c>
      <c r="AE1429" s="29"/>
      <c r="AF1429">
        <v>6</v>
      </c>
      <c r="AG1429" t="s">
        <v>149</v>
      </c>
      <c r="AI1429">
        <v>29</v>
      </c>
      <c r="AJ1429">
        <v>1</v>
      </c>
      <c r="AK1429" t="s">
        <v>150</v>
      </c>
      <c r="AL1429" t="s">
        <v>77</v>
      </c>
      <c r="AM1429">
        <f t="shared" si="110"/>
        <v>3</v>
      </c>
      <c r="AN1429">
        <f t="shared" si="111"/>
        <v>7</v>
      </c>
      <c r="AO1429" t="str">
        <f t="shared" si="112"/>
        <v/>
      </c>
      <c r="AP1429" t="str">
        <f t="shared" si="113"/>
        <v/>
      </c>
      <c r="AQ1429">
        <f t="shared" si="114"/>
        <v>2016</v>
      </c>
    </row>
    <row r="1430" spans="1:43" x14ac:dyDescent="0.35">
      <c r="A1430">
        <v>1216</v>
      </c>
      <c r="B1430">
        <v>28</v>
      </c>
      <c r="C1430" t="s">
        <v>148</v>
      </c>
      <c r="D1430" t="s">
        <v>145</v>
      </c>
      <c r="E1430" t="s">
        <v>4</v>
      </c>
      <c r="F1430" t="s">
        <v>37</v>
      </c>
      <c r="G1430" t="s">
        <v>44</v>
      </c>
      <c r="H1430" t="s">
        <v>82</v>
      </c>
      <c r="I1430" t="s">
        <v>42</v>
      </c>
      <c r="J1430" t="s">
        <v>155</v>
      </c>
      <c r="K1430" t="s">
        <v>41</v>
      </c>
      <c r="L1430" t="s">
        <v>147</v>
      </c>
      <c r="M1430" t="s">
        <v>49</v>
      </c>
      <c r="N1430" t="s">
        <v>160</v>
      </c>
      <c r="O1430" t="s">
        <v>43</v>
      </c>
      <c r="P1430" t="s">
        <v>148</v>
      </c>
      <c r="Q1430">
        <v>12</v>
      </c>
      <c r="R1430">
        <v>1</v>
      </c>
      <c r="S1430">
        <v>6</v>
      </c>
      <c r="T1430">
        <v>3</v>
      </c>
      <c r="U1430">
        <v>3</v>
      </c>
      <c r="V1430">
        <v>19</v>
      </c>
      <c r="W1430">
        <v>78</v>
      </c>
      <c r="X1430">
        <v>1179</v>
      </c>
      <c r="Y1430">
        <v>12449</v>
      </c>
      <c r="Z1430">
        <v>3196</v>
      </c>
      <c r="AA1430">
        <v>2</v>
      </c>
      <c r="AB1430" s="29">
        <v>44773</v>
      </c>
      <c r="AC1430" s="29">
        <v>34829</v>
      </c>
      <c r="AD1430" s="29">
        <v>42636</v>
      </c>
      <c r="AE1430" s="29"/>
      <c r="AF1430">
        <v>6</v>
      </c>
      <c r="AG1430" t="s">
        <v>157</v>
      </c>
      <c r="AI1430">
        <v>22</v>
      </c>
      <c r="AJ1430">
        <v>2</v>
      </c>
      <c r="AK1430" t="s">
        <v>150</v>
      </c>
      <c r="AL1430" t="s">
        <v>78</v>
      </c>
      <c r="AM1430">
        <f t="shared" si="110"/>
        <v>3</v>
      </c>
      <c r="AN1430">
        <f t="shared" si="111"/>
        <v>9</v>
      </c>
      <c r="AO1430" t="str">
        <f t="shared" si="112"/>
        <v/>
      </c>
      <c r="AP1430" t="str">
        <f t="shared" si="113"/>
        <v/>
      </c>
      <c r="AQ1430">
        <f t="shared" si="114"/>
        <v>2016</v>
      </c>
    </row>
    <row r="1431" spans="1:43" x14ac:dyDescent="0.35">
      <c r="A1431">
        <v>2010</v>
      </c>
      <c r="B1431">
        <v>32</v>
      </c>
      <c r="C1431" t="s">
        <v>148</v>
      </c>
      <c r="D1431" t="s">
        <v>145</v>
      </c>
      <c r="E1431" t="s">
        <v>4</v>
      </c>
      <c r="F1431" t="s">
        <v>37</v>
      </c>
      <c r="G1431" t="s">
        <v>43</v>
      </c>
      <c r="H1431" t="s">
        <v>81</v>
      </c>
      <c r="I1431" t="s">
        <v>42</v>
      </c>
      <c r="J1431" t="s">
        <v>155</v>
      </c>
      <c r="K1431" t="s">
        <v>42</v>
      </c>
      <c r="L1431" t="s">
        <v>147</v>
      </c>
      <c r="M1431" t="s">
        <v>49</v>
      </c>
      <c r="N1431" t="s">
        <v>95</v>
      </c>
      <c r="P1431" t="s">
        <v>148</v>
      </c>
      <c r="Q1431">
        <v>13</v>
      </c>
      <c r="R1431">
        <v>1</v>
      </c>
      <c r="S1431">
        <v>6</v>
      </c>
      <c r="T1431">
        <v>4</v>
      </c>
      <c r="U1431">
        <v>1</v>
      </c>
      <c r="V1431">
        <v>29</v>
      </c>
      <c r="W1431">
        <v>49</v>
      </c>
      <c r="X1431">
        <v>267</v>
      </c>
      <c r="Y1431">
        <v>15919</v>
      </c>
      <c r="Z1431">
        <v>2837</v>
      </c>
      <c r="AA1431">
        <v>3</v>
      </c>
      <c r="AB1431" s="29">
        <v>44773</v>
      </c>
      <c r="AC1431" s="29">
        <v>33385</v>
      </c>
      <c r="AD1431" s="29">
        <v>42833</v>
      </c>
      <c r="AE1431" s="29"/>
      <c r="AF1431">
        <v>5</v>
      </c>
      <c r="AG1431" t="s">
        <v>149</v>
      </c>
      <c r="AI1431">
        <v>27</v>
      </c>
      <c r="AJ1431">
        <v>2</v>
      </c>
      <c r="AK1431" t="s">
        <v>162</v>
      </c>
      <c r="AL1431" t="s">
        <v>78</v>
      </c>
      <c r="AM1431">
        <f t="shared" si="110"/>
        <v>2</v>
      </c>
      <c r="AN1431">
        <f t="shared" si="111"/>
        <v>4</v>
      </c>
      <c r="AO1431" t="str">
        <f t="shared" si="112"/>
        <v/>
      </c>
      <c r="AP1431" t="str">
        <f t="shared" si="113"/>
        <v/>
      </c>
      <c r="AQ1431">
        <f t="shared" si="114"/>
        <v>2017</v>
      </c>
    </row>
    <row r="1432" spans="1:43" x14ac:dyDescent="0.35">
      <c r="A1432">
        <v>635</v>
      </c>
      <c r="B1432">
        <v>37</v>
      </c>
      <c r="C1432" t="s">
        <v>148</v>
      </c>
      <c r="D1432" t="s">
        <v>145</v>
      </c>
      <c r="E1432" t="s">
        <v>4</v>
      </c>
      <c r="F1432" t="s">
        <v>37</v>
      </c>
      <c r="G1432" t="s">
        <v>42</v>
      </c>
      <c r="H1432" t="s">
        <v>81</v>
      </c>
      <c r="I1432" t="s">
        <v>43</v>
      </c>
      <c r="J1432" t="s">
        <v>165</v>
      </c>
      <c r="K1432" t="s">
        <v>42</v>
      </c>
      <c r="L1432" t="s">
        <v>147</v>
      </c>
      <c r="M1432" t="s">
        <v>48</v>
      </c>
      <c r="N1432" t="s">
        <v>160</v>
      </c>
      <c r="O1432" t="s">
        <v>41</v>
      </c>
      <c r="P1432" t="s">
        <v>148</v>
      </c>
      <c r="Q1432">
        <v>12</v>
      </c>
      <c r="R1432">
        <v>6</v>
      </c>
      <c r="S1432">
        <v>8</v>
      </c>
      <c r="T1432">
        <v>4</v>
      </c>
      <c r="U1432">
        <v>3</v>
      </c>
      <c r="V1432">
        <v>1</v>
      </c>
      <c r="W1432">
        <v>65</v>
      </c>
      <c r="X1432">
        <v>446</v>
      </c>
      <c r="Y1432">
        <v>15701</v>
      </c>
      <c r="Z1432">
        <v>6447</v>
      </c>
      <c r="AA1432">
        <v>2</v>
      </c>
      <c r="AB1432" s="29">
        <v>44773</v>
      </c>
      <c r="AC1432" s="29">
        <v>31370</v>
      </c>
      <c r="AD1432" s="29">
        <v>42934</v>
      </c>
      <c r="AE1432" s="29"/>
      <c r="AF1432">
        <v>5</v>
      </c>
      <c r="AG1432" t="s">
        <v>149</v>
      </c>
      <c r="AI1432">
        <v>32</v>
      </c>
      <c r="AJ1432">
        <v>1</v>
      </c>
      <c r="AK1432" t="s">
        <v>162</v>
      </c>
      <c r="AL1432" t="s">
        <v>77</v>
      </c>
      <c r="AM1432">
        <f t="shared" si="110"/>
        <v>3</v>
      </c>
      <c r="AN1432">
        <f t="shared" si="111"/>
        <v>7</v>
      </c>
      <c r="AO1432" t="str">
        <f t="shared" si="112"/>
        <v/>
      </c>
      <c r="AP1432" t="str">
        <f t="shared" si="113"/>
        <v/>
      </c>
      <c r="AQ1432">
        <f t="shared" si="114"/>
        <v>2017</v>
      </c>
    </row>
    <row r="1433" spans="1:43" x14ac:dyDescent="0.35">
      <c r="A1433">
        <v>164</v>
      </c>
      <c r="B1433">
        <v>26</v>
      </c>
      <c r="C1433" t="s">
        <v>148</v>
      </c>
      <c r="D1433" t="s">
        <v>145</v>
      </c>
      <c r="E1433" t="s">
        <v>4</v>
      </c>
      <c r="F1433" t="s">
        <v>38</v>
      </c>
      <c r="G1433" t="s">
        <v>43</v>
      </c>
      <c r="H1433" t="s">
        <v>81</v>
      </c>
      <c r="I1433" t="s">
        <v>42</v>
      </c>
      <c r="J1433" t="s">
        <v>146</v>
      </c>
      <c r="K1433" t="s">
        <v>42</v>
      </c>
      <c r="L1433" t="s">
        <v>147</v>
      </c>
      <c r="M1433" t="s">
        <v>48</v>
      </c>
      <c r="N1433" t="s">
        <v>160</v>
      </c>
      <c r="P1433" t="s">
        <v>148</v>
      </c>
      <c r="Q1433">
        <v>19</v>
      </c>
      <c r="R1433">
        <v>1</v>
      </c>
      <c r="S1433">
        <v>5</v>
      </c>
      <c r="T1433">
        <v>4</v>
      </c>
      <c r="U1433">
        <v>3</v>
      </c>
      <c r="V1433">
        <v>6</v>
      </c>
      <c r="W1433">
        <v>46</v>
      </c>
      <c r="X1433">
        <v>841</v>
      </c>
      <c r="Y1433">
        <v>23300</v>
      </c>
      <c r="Z1433">
        <v>2368</v>
      </c>
      <c r="AA1433">
        <v>3</v>
      </c>
      <c r="AB1433" s="29">
        <v>44773</v>
      </c>
      <c r="AC1433" s="29">
        <v>35549</v>
      </c>
      <c r="AD1433" s="29">
        <v>43066</v>
      </c>
      <c r="AE1433" s="29"/>
      <c r="AF1433">
        <v>5</v>
      </c>
      <c r="AG1433" t="s">
        <v>157</v>
      </c>
      <c r="AI1433">
        <v>21</v>
      </c>
      <c r="AJ1433">
        <v>1</v>
      </c>
      <c r="AK1433" t="s">
        <v>162</v>
      </c>
      <c r="AL1433" t="s">
        <v>77</v>
      </c>
      <c r="AM1433">
        <f t="shared" si="110"/>
        <v>4</v>
      </c>
      <c r="AN1433">
        <f t="shared" si="111"/>
        <v>11</v>
      </c>
      <c r="AO1433" t="str">
        <f t="shared" si="112"/>
        <v/>
      </c>
      <c r="AP1433" t="str">
        <f t="shared" si="113"/>
        <v/>
      </c>
      <c r="AQ1433">
        <f t="shared" si="114"/>
        <v>2017</v>
      </c>
    </row>
    <row r="1434" spans="1:43" x14ac:dyDescent="0.35">
      <c r="A1434">
        <v>577</v>
      </c>
      <c r="B1434">
        <v>35</v>
      </c>
      <c r="C1434" t="s">
        <v>148</v>
      </c>
      <c r="D1434" t="s">
        <v>145</v>
      </c>
      <c r="E1434" t="s">
        <v>4</v>
      </c>
      <c r="F1434" t="s">
        <v>38</v>
      </c>
      <c r="G1434" t="s">
        <v>44</v>
      </c>
      <c r="H1434" t="s">
        <v>82</v>
      </c>
      <c r="I1434" t="s">
        <v>41</v>
      </c>
      <c r="J1434" t="s">
        <v>155</v>
      </c>
      <c r="K1434" t="s">
        <v>43</v>
      </c>
      <c r="L1434" t="s">
        <v>147</v>
      </c>
      <c r="M1434" t="s">
        <v>49</v>
      </c>
      <c r="N1434" t="s">
        <v>95</v>
      </c>
      <c r="P1434" t="s">
        <v>148</v>
      </c>
      <c r="Q1434">
        <v>15</v>
      </c>
      <c r="R1434">
        <v>0</v>
      </c>
      <c r="S1434">
        <v>6</v>
      </c>
      <c r="T1434">
        <v>4</v>
      </c>
      <c r="U1434">
        <v>3</v>
      </c>
      <c r="V1434">
        <v>22</v>
      </c>
      <c r="W1434">
        <v>46</v>
      </c>
      <c r="X1434">
        <v>144</v>
      </c>
      <c r="Y1434">
        <v>19225</v>
      </c>
      <c r="Z1434">
        <v>4230</v>
      </c>
      <c r="AA1434">
        <v>2</v>
      </c>
      <c r="AB1434" s="29">
        <v>44773</v>
      </c>
      <c r="AC1434" s="29">
        <v>32250</v>
      </c>
      <c r="AD1434" s="29">
        <v>43101</v>
      </c>
      <c r="AE1434" s="29"/>
      <c r="AF1434">
        <v>5</v>
      </c>
      <c r="AG1434" t="s">
        <v>149</v>
      </c>
      <c r="AI1434">
        <v>30</v>
      </c>
      <c r="AJ1434">
        <v>1</v>
      </c>
      <c r="AK1434" t="s">
        <v>162</v>
      </c>
      <c r="AL1434" t="s">
        <v>77</v>
      </c>
      <c r="AM1434">
        <f t="shared" si="110"/>
        <v>1</v>
      </c>
      <c r="AN1434">
        <f t="shared" si="111"/>
        <v>1</v>
      </c>
      <c r="AO1434" t="str">
        <f t="shared" si="112"/>
        <v/>
      </c>
      <c r="AP1434" t="str">
        <f t="shared" si="113"/>
        <v/>
      </c>
      <c r="AQ1434">
        <f t="shared" si="114"/>
        <v>2018</v>
      </c>
    </row>
    <row r="1435" spans="1:43" x14ac:dyDescent="0.35">
      <c r="A1435">
        <v>852</v>
      </c>
      <c r="B1435">
        <v>44</v>
      </c>
      <c r="C1435" t="s">
        <v>148</v>
      </c>
      <c r="D1435" t="s">
        <v>145</v>
      </c>
      <c r="E1435" t="s">
        <v>4</v>
      </c>
      <c r="F1435" t="s">
        <v>38</v>
      </c>
      <c r="G1435" t="s">
        <v>44</v>
      </c>
      <c r="H1435" t="s">
        <v>82</v>
      </c>
      <c r="I1435" t="s">
        <v>43</v>
      </c>
      <c r="J1435" t="s">
        <v>161</v>
      </c>
      <c r="K1435" t="s">
        <v>42</v>
      </c>
      <c r="L1435" t="s">
        <v>147</v>
      </c>
      <c r="M1435" t="s">
        <v>48</v>
      </c>
      <c r="N1435" t="s">
        <v>95</v>
      </c>
      <c r="P1435" t="s">
        <v>148</v>
      </c>
      <c r="Q1435">
        <v>12</v>
      </c>
      <c r="R1435">
        <v>9</v>
      </c>
      <c r="S1435">
        <v>10</v>
      </c>
      <c r="T1435">
        <v>2</v>
      </c>
      <c r="U1435">
        <v>3</v>
      </c>
      <c r="V1435">
        <v>4</v>
      </c>
      <c r="W1435">
        <v>50</v>
      </c>
      <c r="X1435">
        <v>625</v>
      </c>
      <c r="Y1435">
        <v>5197</v>
      </c>
      <c r="Z1435">
        <v>5933</v>
      </c>
      <c r="AA1435">
        <v>2</v>
      </c>
      <c r="AB1435" s="29">
        <v>44773</v>
      </c>
      <c r="AC1435" s="29">
        <v>29041</v>
      </c>
      <c r="AD1435" s="29">
        <v>43103</v>
      </c>
      <c r="AE1435" s="29"/>
      <c r="AF1435">
        <v>5</v>
      </c>
      <c r="AG1435" t="s">
        <v>153</v>
      </c>
      <c r="AI1435">
        <v>39</v>
      </c>
      <c r="AJ1435">
        <v>1</v>
      </c>
      <c r="AK1435" t="s">
        <v>162</v>
      </c>
      <c r="AL1435" t="s">
        <v>77</v>
      </c>
      <c r="AM1435">
        <f t="shared" si="110"/>
        <v>1</v>
      </c>
      <c r="AN1435">
        <f t="shared" si="111"/>
        <v>1</v>
      </c>
      <c r="AO1435" t="str">
        <f t="shared" si="112"/>
        <v/>
      </c>
      <c r="AP1435" t="str">
        <f t="shared" si="113"/>
        <v/>
      </c>
      <c r="AQ1435">
        <f t="shared" si="114"/>
        <v>2018</v>
      </c>
    </row>
    <row r="1436" spans="1:43" x14ac:dyDescent="0.35">
      <c r="A1436">
        <v>1032</v>
      </c>
      <c r="B1436">
        <v>59</v>
      </c>
      <c r="C1436" t="s">
        <v>148</v>
      </c>
      <c r="D1436" t="s">
        <v>145</v>
      </c>
      <c r="E1436" t="s">
        <v>4</v>
      </c>
      <c r="F1436" t="s">
        <v>38</v>
      </c>
      <c r="G1436" t="s">
        <v>43</v>
      </c>
      <c r="H1436" t="s">
        <v>81</v>
      </c>
      <c r="I1436" t="s">
        <v>42</v>
      </c>
      <c r="J1436" t="s">
        <v>165</v>
      </c>
      <c r="K1436" t="s">
        <v>44</v>
      </c>
      <c r="L1436" t="s">
        <v>147</v>
      </c>
      <c r="M1436" t="s">
        <v>49</v>
      </c>
      <c r="N1436" t="s">
        <v>95</v>
      </c>
      <c r="P1436" t="s">
        <v>144</v>
      </c>
      <c r="Q1436">
        <v>13</v>
      </c>
      <c r="R1436">
        <v>3</v>
      </c>
      <c r="S1436">
        <v>30</v>
      </c>
      <c r="T1436">
        <v>4</v>
      </c>
      <c r="U1436">
        <v>3</v>
      </c>
      <c r="V1436">
        <v>2</v>
      </c>
      <c r="W1436">
        <v>69</v>
      </c>
      <c r="X1436">
        <v>715</v>
      </c>
      <c r="Y1436">
        <v>21829</v>
      </c>
      <c r="Z1436">
        <v>13726</v>
      </c>
      <c r="AA1436">
        <v>4</v>
      </c>
      <c r="AB1436" s="29">
        <v>44773</v>
      </c>
      <c r="AC1436" s="29">
        <v>23484</v>
      </c>
      <c r="AD1436" s="29">
        <v>43182</v>
      </c>
      <c r="AE1436" s="29"/>
      <c r="AF1436">
        <v>4</v>
      </c>
      <c r="AG1436" t="s">
        <v>167</v>
      </c>
      <c r="AI1436">
        <v>55</v>
      </c>
      <c r="AJ1436">
        <v>2</v>
      </c>
      <c r="AK1436" t="s">
        <v>162</v>
      </c>
      <c r="AL1436" t="s">
        <v>77</v>
      </c>
      <c r="AM1436">
        <f t="shared" si="110"/>
        <v>1</v>
      </c>
      <c r="AN1436">
        <f t="shared" si="111"/>
        <v>3</v>
      </c>
      <c r="AO1436" t="str">
        <f t="shared" si="112"/>
        <v/>
      </c>
      <c r="AP1436" t="str">
        <f t="shared" si="113"/>
        <v/>
      </c>
      <c r="AQ1436">
        <f t="shared" si="114"/>
        <v>2018</v>
      </c>
    </row>
    <row r="1437" spans="1:43" x14ac:dyDescent="0.35">
      <c r="A1437">
        <v>757</v>
      </c>
      <c r="B1437">
        <v>34</v>
      </c>
      <c r="C1437" t="s">
        <v>148</v>
      </c>
      <c r="D1437" t="s">
        <v>145</v>
      </c>
      <c r="E1437" t="s">
        <v>4</v>
      </c>
      <c r="F1437" t="s">
        <v>36</v>
      </c>
      <c r="G1437" t="s">
        <v>42</v>
      </c>
      <c r="H1437" t="s">
        <v>81</v>
      </c>
      <c r="I1437" t="s">
        <v>43</v>
      </c>
      <c r="J1437" t="s">
        <v>161</v>
      </c>
      <c r="K1437" t="s">
        <v>43</v>
      </c>
      <c r="L1437" t="s">
        <v>147</v>
      </c>
      <c r="M1437" t="s">
        <v>49</v>
      </c>
      <c r="N1437" t="s">
        <v>95</v>
      </c>
      <c r="P1437" t="s">
        <v>148</v>
      </c>
      <c r="Q1437">
        <v>11</v>
      </c>
      <c r="R1437">
        <v>3</v>
      </c>
      <c r="S1437">
        <v>10</v>
      </c>
      <c r="T1437">
        <v>4</v>
      </c>
      <c r="U1437">
        <v>3</v>
      </c>
      <c r="V1437">
        <v>8</v>
      </c>
      <c r="W1437">
        <v>96</v>
      </c>
      <c r="X1437">
        <v>970</v>
      </c>
      <c r="Y1437">
        <v>7360</v>
      </c>
      <c r="Z1437">
        <v>6142</v>
      </c>
      <c r="AA1437">
        <v>2</v>
      </c>
      <c r="AB1437" s="29">
        <v>44773</v>
      </c>
      <c r="AC1437" s="29">
        <v>32550</v>
      </c>
      <c r="AD1437" s="29">
        <v>43263</v>
      </c>
      <c r="AE1437" s="29"/>
      <c r="AF1437">
        <v>4</v>
      </c>
      <c r="AG1437" t="s">
        <v>149</v>
      </c>
      <c r="AI1437">
        <v>30</v>
      </c>
      <c r="AJ1437">
        <v>1</v>
      </c>
      <c r="AK1437" t="s">
        <v>162</v>
      </c>
      <c r="AL1437" t="s">
        <v>77</v>
      </c>
      <c r="AM1437">
        <f t="shared" si="110"/>
        <v>2</v>
      </c>
      <c r="AN1437">
        <f t="shared" si="111"/>
        <v>6</v>
      </c>
      <c r="AO1437" t="str">
        <f t="shared" si="112"/>
        <v/>
      </c>
      <c r="AP1437" t="str">
        <f t="shared" si="113"/>
        <v/>
      </c>
      <c r="AQ1437">
        <f t="shared" si="114"/>
        <v>2018</v>
      </c>
    </row>
    <row r="1438" spans="1:43" x14ac:dyDescent="0.35">
      <c r="A1438">
        <v>16</v>
      </c>
      <c r="B1438">
        <v>31</v>
      </c>
      <c r="C1438" t="s">
        <v>148</v>
      </c>
      <c r="D1438" t="s">
        <v>145</v>
      </c>
      <c r="E1438" t="s">
        <v>4</v>
      </c>
      <c r="F1438" t="s">
        <v>35</v>
      </c>
      <c r="G1438" t="s">
        <v>41</v>
      </c>
      <c r="H1438" t="s">
        <v>82</v>
      </c>
      <c r="I1438" t="s">
        <v>43</v>
      </c>
      <c r="J1438" t="s">
        <v>146</v>
      </c>
      <c r="K1438" t="s">
        <v>43</v>
      </c>
      <c r="L1438" t="s">
        <v>147</v>
      </c>
      <c r="M1438" t="s">
        <v>48</v>
      </c>
      <c r="N1438" t="s">
        <v>96</v>
      </c>
      <c r="O1438" t="s">
        <v>41</v>
      </c>
      <c r="P1438" t="s">
        <v>148</v>
      </c>
      <c r="Q1438">
        <v>17</v>
      </c>
      <c r="R1438">
        <v>1</v>
      </c>
      <c r="S1438">
        <v>5</v>
      </c>
      <c r="T1438">
        <v>4</v>
      </c>
      <c r="U1438">
        <v>3</v>
      </c>
      <c r="V1438">
        <v>26</v>
      </c>
      <c r="W1438">
        <v>31</v>
      </c>
      <c r="X1438">
        <v>670</v>
      </c>
      <c r="Y1438">
        <v>15170</v>
      </c>
      <c r="Z1438">
        <v>2911</v>
      </c>
      <c r="AA1438">
        <v>1</v>
      </c>
      <c r="AB1438" s="29">
        <v>44773</v>
      </c>
      <c r="AC1438" s="29">
        <v>33451</v>
      </c>
      <c r="AD1438" s="29">
        <v>43267</v>
      </c>
      <c r="AE1438" s="29"/>
      <c r="AF1438">
        <v>4</v>
      </c>
      <c r="AG1438" t="s">
        <v>149</v>
      </c>
      <c r="AI1438">
        <v>27</v>
      </c>
      <c r="AJ1438">
        <v>2</v>
      </c>
      <c r="AK1438" t="s">
        <v>162</v>
      </c>
      <c r="AL1438" t="s">
        <v>77</v>
      </c>
      <c r="AM1438">
        <f t="shared" si="110"/>
        <v>2</v>
      </c>
      <c r="AN1438">
        <f t="shared" si="111"/>
        <v>6</v>
      </c>
      <c r="AO1438" t="str">
        <f t="shared" si="112"/>
        <v/>
      </c>
      <c r="AP1438" t="str">
        <f t="shared" si="113"/>
        <v/>
      </c>
      <c r="AQ1438">
        <f t="shared" si="114"/>
        <v>2018</v>
      </c>
    </row>
    <row r="1439" spans="1:43" x14ac:dyDescent="0.35">
      <c r="A1439">
        <v>226</v>
      </c>
      <c r="B1439">
        <v>50</v>
      </c>
      <c r="C1439" t="s">
        <v>148</v>
      </c>
      <c r="D1439" t="s">
        <v>145</v>
      </c>
      <c r="E1439" t="s">
        <v>4</v>
      </c>
      <c r="F1439" t="s">
        <v>38</v>
      </c>
      <c r="G1439" t="s">
        <v>43</v>
      </c>
      <c r="H1439" t="s">
        <v>81</v>
      </c>
      <c r="I1439" t="s">
        <v>43</v>
      </c>
      <c r="J1439" t="s">
        <v>169</v>
      </c>
      <c r="K1439" t="s">
        <v>42</v>
      </c>
      <c r="L1439" t="s">
        <v>147</v>
      </c>
      <c r="M1439" t="s">
        <v>49</v>
      </c>
      <c r="N1439" t="s">
        <v>95</v>
      </c>
      <c r="P1439" t="s">
        <v>148</v>
      </c>
      <c r="Q1439">
        <v>15</v>
      </c>
      <c r="R1439">
        <v>3</v>
      </c>
      <c r="S1439">
        <v>21</v>
      </c>
      <c r="T1439">
        <v>4</v>
      </c>
      <c r="U1439">
        <v>4</v>
      </c>
      <c r="V1439">
        <v>11</v>
      </c>
      <c r="W1439">
        <v>53</v>
      </c>
      <c r="X1439">
        <v>1452</v>
      </c>
      <c r="Y1439">
        <v>17053</v>
      </c>
      <c r="Z1439">
        <v>19926</v>
      </c>
      <c r="AA1439">
        <v>5</v>
      </c>
      <c r="AB1439" s="29">
        <v>44773</v>
      </c>
      <c r="AC1439" s="29">
        <v>26796</v>
      </c>
      <c r="AD1439" s="29">
        <v>43293</v>
      </c>
      <c r="AE1439" s="29"/>
      <c r="AF1439">
        <v>4</v>
      </c>
      <c r="AG1439" t="s">
        <v>167</v>
      </c>
      <c r="AI1439">
        <v>46</v>
      </c>
      <c r="AJ1439">
        <v>1</v>
      </c>
      <c r="AK1439" t="s">
        <v>162</v>
      </c>
      <c r="AL1439" t="s">
        <v>77</v>
      </c>
      <c r="AM1439">
        <f t="shared" si="110"/>
        <v>3</v>
      </c>
      <c r="AN1439">
        <f t="shared" si="111"/>
        <v>7</v>
      </c>
      <c r="AO1439" t="str">
        <f t="shared" si="112"/>
        <v/>
      </c>
      <c r="AP1439" t="str">
        <f t="shared" si="113"/>
        <v/>
      </c>
      <c r="AQ1439">
        <f t="shared" si="114"/>
        <v>2018</v>
      </c>
    </row>
    <row r="1440" spans="1:43" x14ac:dyDescent="0.35">
      <c r="A1440">
        <v>802</v>
      </c>
      <c r="B1440">
        <v>37</v>
      </c>
      <c r="C1440" t="s">
        <v>148</v>
      </c>
      <c r="D1440" t="s">
        <v>145</v>
      </c>
      <c r="E1440" t="s">
        <v>4</v>
      </c>
      <c r="F1440" t="s">
        <v>35</v>
      </c>
      <c r="G1440" t="s">
        <v>44</v>
      </c>
      <c r="H1440" t="s">
        <v>81</v>
      </c>
      <c r="I1440" t="s">
        <v>43</v>
      </c>
      <c r="J1440" t="s">
        <v>146</v>
      </c>
      <c r="K1440" t="s">
        <v>41</v>
      </c>
      <c r="L1440" t="s">
        <v>147</v>
      </c>
      <c r="M1440" t="s">
        <v>48</v>
      </c>
      <c r="N1440" t="s">
        <v>96</v>
      </c>
      <c r="O1440" t="s">
        <v>156</v>
      </c>
      <c r="P1440" t="s">
        <v>144</v>
      </c>
      <c r="Q1440">
        <v>13</v>
      </c>
      <c r="R1440">
        <v>0</v>
      </c>
      <c r="S1440">
        <v>6</v>
      </c>
      <c r="T1440">
        <v>4</v>
      </c>
      <c r="U1440">
        <v>3</v>
      </c>
      <c r="V1440">
        <v>10</v>
      </c>
      <c r="W1440">
        <v>82</v>
      </c>
      <c r="X1440">
        <v>571</v>
      </c>
      <c r="Y1440">
        <v>19905</v>
      </c>
      <c r="Z1440">
        <v>2782</v>
      </c>
      <c r="AA1440">
        <v>3</v>
      </c>
      <c r="AB1440" s="29">
        <v>44773</v>
      </c>
      <c r="AC1440" s="29">
        <v>31416</v>
      </c>
      <c r="AD1440" s="29">
        <v>43294</v>
      </c>
      <c r="AE1440" s="29"/>
      <c r="AF1440">
        <v>4</v>
      </c>
      <c r="AG1440" t="s">
        <v>149</v>
      </c>
      <c r="AI1440">
        <v>33</v>
      </c>
      <c r="AJ1440">
        <v>1</v>
      </c>
      <c r="AK1440" t="s">
        <v>162</v>
      </c>
      <c r="AL1440" t="s">
        <v>78</v>
      </c>
      <c r="AM1440">
        <f t="shared" si="110"/>
        <v>3</v>
      </c>
      <c r="AN1440">
        <f t="shared" si="111"/>
        <v>7</v>
      </c>
      <c r="AO1440" t="str">
        <f t="shared" si="112"/>
        <v/>
      </c>
      <c r="AP1440" t="str">
        <f t="shared" si="113"/>
        <v/>
      </c>
      <c r="AQ1440">
        <f t="shared" si="114"/>
        <v>2018</v>
      </c>
    </row>
    <row r="1441" spans="1:43" x14ac:dyDescent="0.35">
      <c r="A1441">
        <v>530</v>
      </c>
      <c r="B1441">
        <v>31</v>
      </c>
      <c r="C1441" t="s">
        <v>148</v>
      </c>
      <c r="D1441" t="s">
        <v>145</v>
      </c>
      <c r="E1441" t="s">
        <v>4</v>
      </c>
      <c r="F1441" t="s">
        <v>36</v>
      </c>
      <c r="G1441" t="s">
        <v>44</v>
      </c>
      <c r="H1441" t="s">
        <v>82</v>
      </c>
      <c r="I1441" t="s">
        <v>42</v>
      </c>
      <c r="J1441" t="s">
        <v>155</v>
      </c>
      <c r="K1441" t="s">
        <v>41</v>
      </c>
      <c r="L1441" t="s">
        <v>147</v>
      </c>
      <c r="M1441" t="s">
        <v>49</v>
      </c>
      <c r="N1441" t="s">
        <v>160</v>
      </c>
      <c r="O1441" t="s">
        <v>41</v>
      </c>
      <c r="P1441" t="s">
        <v>148</v>
      </c>
      <c r="Q1441">
        <v>12</v>
      </c>
      <c r="R1441">
        <v>1</v>
      </c>
      <c r="S1441">
        <v>4</v>
      </c>
      <c r="T1441">
        <v>3</v>
      </c>
      <c r="U1441">
        <v>2</v>
      </c>
      <c r="V1441">
        <v>1</v>
      </c>
      <c r="W1441">
        <v>98</v>
      </c>
      <c r="X1441">
        <v>329</v>
      </c>
      <c r="Y1441">
        <v>16193</v>
      </c>
      <c r="Z1441">
        <v>2218</v>
      </c>
      <c r="AA1441">
        <v>3</v>
      </c>
      <c r="AB1441" s="29">
        <v>44773</v>
      </c>
      <c r="AC1441" s="29">
        <v>33799</v>
      </c>
      <c r="AD1441" s="29">
        <v>43317</v>
      </c>
      <c r="AE1441" s="29"/>
      <c r="AF1441">
        <v>4</v>
      </c>
      <c r="AG1441" t="s">
        <v>149</v>
      </c>
      <c r="AI1441">
        <v>27</v>
      </c>
      <c r="AJ1441">
        <v>1</v>
      </c>
      <c r="AK1441" t="s">
        <v>162</v>
      </c>
      <c r="AL1441" t="s">
        <v>77</v>
      </c>
      <c r="AM1441">
        <f t="shared" si="110"/>
        <v>3</v>
      </c>
      <c r="AN1441">
        <f t="shared" si="111"/>
        <v>8</v>
      </c>
      <c r="AO1441" t="str">
        <f t="shared" si="112"/>
        <v/>
      </c>
      <c r="AP1441" t="str">
        <f t="shared" si="113"/>
        <v/>
      </c>
      <c r="AQ1441">
        <f t="shared" si="114"/>
        <v>2018</v>
      </c>
    </row>
    <row r="1442" spans="1:43" x14ac:dyDescent="0.35">
      <c r="A1442">
        <v>1641</v>
      </c>
      <c r="B1442">
        <v>40</v>
      </c>
      <c r="C1442" t="s">
        <v>148</v>
      </c>
      <c r="D1442" t="s">
        <v>145</v>
      </c>
      <c r="E1442" t="s">
        <v>4</v>
      </c>
      <c r="F1442" t="s">
        <v>38</v>
      </c>
      <c r="G1442" t="s">
        <v>43</v>
      </c>
      <c r="H1442" t="s">
        <v>81</v>
      </c>
      <c r="I1442" t="s">
        <v>43</v>
      </c>
      <c r="J1442" t="s">
        <v>165</v>
      </c>
      <c r="K1442" t="s">
        <v>44</v>
      </c>
      <c r="L1442" t="s">
        <v>147</v>
      </c>
      <c r="M1442" t="s">
        <v>48</v>
      </c>
      <c r="N1442" t="s">
        <v>95</v>
      </c>
      <c r="P1442" t="s">
        <v>144</v>
      </c>
      <c r="Q1442">
        <v>15</v>
      </c>
      <c r="R1442">
        <v>6</v>
      </c>
      <c r="S1442">
        <v>18</v>
      </c>
      <c r="T1442">
        <v>3</v>
      </c>
      <c r="U1442">
        <v>3</v>
      </c>
      <c r="V1442">
        <v>16</v>
      </c>
      <c r="W1442">
        <v>84</v>
      </c>
      <c r="X1442">
        <v>448</v>
      </c>
      <c r="Y1442">
        <v>19948</v>
      </c>
      <c r="Z1442">
        <v>7945</v>
      </c>
      <c r="AA1442">
        <v>2</v>
      </c>
      <c r="AB1442" s="29">
        <v>44773</v>
      </c>
      <c r="AC1442" s="29">
        <v>30462</v>
      </c>
      <c r="AD1442" s="29">
        <v>43329</v>
      </c>
      <c r="AE1442" s="29"/>
      <c r="AF1442">
        <v>4</v>
      </c>
      <c r="AG1442" t="s">
        <v>153</v>
      </c>
      <c r="AI1442">
        <v>36</v>
      </c>
      <c r="AJ1442">
        <v>1</v>
      </c>
      <c r="AK1442" t="s">
        <v>162</v>
      </c>
      <c r="AL1442" t="s">
        <v>77</v>
      </c>
      <c r="AM1442">
        <f t="shared" si="110"/>
        <v>3</v>
      </c>
      <c r="AN1442">
        <f t="shared" si="111"/>
        <v>8</v>
      </c>
      <c r="AO1442" t="str">
        <f t="shared" si="112"/>
        <v/>
      </c>
      <c r="AP1442" t="str">
        <f t="shared" si="113"/>
        <v/>
      </c>
      <c r="AQ1442">
        <f t="shared" si="114"/>
        <v>2018</v>
      </c>
    </row>
    <row r="1443" spans="1:43" x14ac:dyDescent="0.35">
      <c r="A1443">
        <v>1009</v>
      </c>
      <c r="B1443">
        <v>24</v>
      </c>
      <c r="C1443" t="s">
        <v>148</v>
      </c>
      <c r="D1443" t="s">
        <v>145</v>
      </c>
      <c r="E1443" t="s">
        <v>4</v>
      </c>
      <c r="F1443" t="s">
        <v>35</v>
      </c>
      <c r="G1443" t="s">
        <v>44</v>
      </c>
      <c r="H1443" t="s">
        <v>81</v>
      </c>
      <c r="I1443" t="s">
        <v>42</v>
      </c>
      <c r="J1443" t="s">
        <v>165</v>
      </c>
      <c r="K1443" t="s">
        <v>43</v>
      </c>
      <c r="L1443" t="s">
        <v>147</v>
      </c>
      <c r="M1443" t="s">
        <v>49</v>
      </c>
      <c r="N1443" t="s">
        <v>96</v>
      </c>
      <c r="O1443" t="s">
        <v>156</v>
      </c>
      <c r="P1443" t="s">
        <v>148</v>
      </c>
      <c r="Q1443">
        <v>15</v>
      </c>
      <c r="R1443">
        <v>1</v>
      </c>
      <c r="S1443">
        <v>5</v>
      </c>
      <c r="T1443">
        <v>3</v>
      </c>
      <c r="U1443">
        <v>2</v>
      </c>
      <c r="V1443">
        <v>17</v>
      </c>
      <c r="W1443">
        <v>41</v>
      </c>
      <c r="X1443">
        <v>1206</v>
      </c>
      <c r="Y1443">
        <v>24117</v>
      </c>
      <c r="Z1443">
        <v>4377</v>
      </c>
      <c r="AA1443">
        <v>6</v>
      </c>
      <c r="AB1443" s="29">
        <v>44773</v>
      </c>
      <c r="AC1443" s="29">
        <v>36252</v>
      </c>
      <c r="AD1443" s="29">
        <v>43333</v>
      </c>
      <c r="AE1443" s="29"/>
      <c r="AF1443">
        <v>4</v>
      </c>
      <c r="AG1443" t="s">
        <v>157</v>
      </c>
      <c r="AI1443">
        <v>20</v>
      </c>
      <c r="AJ1443">
        <v>1</v>
      </c>
      <c r="AK1443" t="s">
        <v>162</v>
      </c>
      <c r="AL1443" t="s">
        <v>77</v>
      </c>
      <c r="AM1443">
        <f t="shared" si="110"/>
        <v>3</v>
      </c>
      <c r="AN1443">
        <f t="shared" si="111"/>
        <v>8</v>
      </c>
      <c r="AO1443" t="str">
        <f t="shared" si="112"/>
        <v/>
      </c>
      <c r="AP1443" t="str">
        <f t="shared" si="113"/>
        <v/>
      </c>
      <c r="AQ1443">
        <f t="shared" si="114"/>
        <v>2018</v>
      </c>
    </row>
    <row r="1444" spans="1:43" x14ac:dyDescent="0.35">
      <c r="A1444">
        <v>1162</v>
      </c>
      <c r="B1444">
        <v>27</v>
      </c>
      <c r="C1444" t="s">
        <v>148</v>
      </c>
      <c r="D1444" t="s">
        <v>145</v>
      </c>
      <c r="E1444" t="s">
        <v>4</v>
      </c>
      <c r="F1444" t="s">
        <v>38</v>
      </c>
      <c r="G1444" t="s">
        <v>44</v>
      </c>
      <c r="H1444" t="s">
        <v>82</v>
      </c>
      <c r="I1444" t="s">
        <v>42</v>
      </c>
      <c r="J1444" t="s">
        <v>146</v>
      </c>
      <c r="K1444" t="s">
        <v>43</v>
      </c>
      <c r="L1444" t="s">
        <v>147</v>
      </c>
      <c r="M1444" t="s">
        <v>49</v>
      </c>
      <c r="N1444" t="s">
        <v>160</v>
      </c>
      <c r="O1444" t="s">
        <v>41</v>
      </c>
      <c r="P1444" t="s">
        <v>148</v>
      </c>
      <c r="Q1444">
        <v>13</v>
      </c>
      <c r="R1444">
        <v>1</v>
      </c>
      <c r="S1444">
        <v>4</v>
      </c>
      <c r="T1444">
        <v>2</v>
      </c>
      <c r="U1444">
        <v>2</v>
      </c>
      <c r="V1444">
        <v>6</v>
      </c>
      <c r="W1444">
        <v>55</v>
      </c>
      <c r="X1444">
        <v>199</v>
      </c>
      <c r="Y1444">
        <v>7950</v>
      </c>
      <c r="Z1444">
        <v>2539</v>
      </c>
      <c r="AA1444">
        <v>0</v>
      </c>
      <c r="AB1444" s="29">
        <v>44773</v>
      </c>
      <c r="AC1444" s="29">
        <v>35230</v>
      </c>
      <c r="AD1444" s="29">
        <v>43457</v>
      </c>
      <c r="AE1444" s="29"/>
      <c r="AF1444">
        <v>4</v>
      </c>
      <c r="AG1444" t="s">
        <v>157</v>
      </c>
      <c r="AI1444">
        <v>23</v>
      </c>
      <c r="AJ1444">
        <v>1</v>
      </c>
      <c r="AK1444" t="s">
        <v>162</v>
      </c>
      <c r="AL1444" t="s">
        <v>77</v>
      </c>
      <c r="AM1444">
        <f t="shared" si="110"/>
        <v>4</v>
      </c>
      <c r="AN1444">
        <f t="shared" si="111"/>
        <v>12</v>
      </c>
      <c r="AO1444" t="str">
        <f t="shared" si="112"/>
        <v/>
      </c>
      <c r="AP1444" t="str">
        <f t="shared" si="113"/>
        <v/>
      </c>
      <c r="AQ1444">
        <f t="shared" si="114"/>
        <v>2018</v>
      </c>
    </row>
    <row r="1445" spans="1:43" x14ac:dyDescent="0.35">
      <c r="A1445">
        <v>1969</v>
      </c>
      <c r="B1445">
        <v>54</v>
      </c>
      <c r="C1445" t="s">
        <v>148</v>
      </c>
      <c r="D1445" t="s">
        <v>145</v>
      </c>
      <c r="E1445" t="s">
        <v>4</v>
      </c>
      <c r="F1445" t="s">
        <v>36</v>
      </c>
      <c r="G1445" t="s">
        <v>41</v>
      </c>
      <c r="H1445" t="s">
        <v>81</v>
      </c>
      <c r="I1445" t="s">
        <v>43</v>
      </c>
      <c r="J1445" t="s">
        <v>146</v>
      </c>
      <c r="K1445" t="s">
        <v>43</v>
      </c>
      <c r="L1445" t="s">
        <v>147</v>
      </c>
      <c r="M1445" t="s">
        <v>48</v>
      </c>
      <c r="N1445" t="s">
        <v>160</v>
      </c>
      <c r="O1445" t="s">
        <v>156</v>
      </c>
      <c r="P1445" t="s">
        <v>148</v>
      </c>
      <c r="Q1445">
        <v>11</v>
      </c>
      <c r="R1445">
        <v>3</v>
      </c>
      <c r="S1445">
        <v>9</v>
      </c>
      <c r="T1445">
        <v>2</v>
      </c>
      <c r="U1445">
        <v>3</v>
      </c>
      <c r="V1445">
        <v>9</v>
      </c>
      <c r="W1445">
        <v>67</v>
      </c>
      <c r="X1445">
        <v>155</v>
      </c>
      <c r="Y1445">
        <v>22474</v>
      </c>
      <c r="Z1445">
        <v>2897</v>
      </c>
      <c r="AA1445">
        <v>6</v>
      </c>
      <c r="AB1445" s="29">
        <v>44773</v>
      </c>
      <c r="AC1445" s="29">
        <v>25146</v>
      </c>
      <c r="AD1445" s="29">
        <v>43466</v>
      </c>
      <c r="AE1445" s="29"/>
      <c r="AF1445">
        <v>4</v>
      </c>
      <c r="AG1445" t="s">
        <v>167</v>
      </c>
      <c r="AI1445">
        <v>50</v>
      </c>
      <c r="AJ1445">
        <v>1</v>
      </c>
      <c r="AK1445" t="s">
        <v>162</v>
      </c>
      <c r="AL1445" t="s">
        <v>77</v>
      </c>
      <c r="AM1445">
        <f t="shared" si="110"/>
        <v>1</v>
      </c>
      <c r="AN1445">
        <f t="shared" si="111"/>
        <v>1</v>
      </c>
      <c r="AO1445" t="str">
        <f t="shared" si="112"/>
        <v/>
      </c>
      <c r="AP1445" t="str">
        <f t="shared" si="113"/>
        <v/>
      </c>
      <c r="AQ1445">
        <f t="shared" si="114"/>
        <v>2019</v>
      </c>
    </row>
    <row r="1446" spans="1:43" x14ac:dyDescent="0.35">
      <c r="A1446">
        <v>284</v>
      </c>
      <c r="B1446">
        <v>22</v>
      </c>
      <c r="C1446" t="s">
        <v>148</v>
      </c>
      <c r="D1446" t="s">
        <v>145</v>
      </c>
      <c r="E1446" t="s">
        <v>4</v>
      </c>
      <c r="F1446" t="s">
        <v>38</v>
      </c>
      <c r="G1446" t="s">
        <v>44</v>
      </c>
      <c r="H1446" t="s">
        <v>82</v>
      </c>
      <c r="I1446" t="s">
        <v>44</v>
      </c>
      <c r="J1446" t="s">
        <v>146</v>
      </c>
      <c r="K1446" t="s">
        <v>42</v>
      </c>
      <c r="L1446" t="s">
        <v>147</v>
      </c>
      <c r="M1446" t="s">
        <v>48</v>
      </c>
      <c r="N1446" t="s">
        <v>96</v>
      </c>
      <c r="O1446" t="s">
        <v>41</v>
      </c>
      <c r="P1446" t="s">
        <v>144</v>
      </c>
      <c r="Q1446">
        <v>16</v>
      </c>
      <c r="R1446">
        <v>1</v>
      </c>
      <c r="S1446">
        <v>4</v>
      </c>
      <c r="T1446">
        <v>2</v>
      </c>
      <c r="U1446">
        <v>2</v>
      </c>
      <c r="V1446">
        <v>5</v>
      </c>
      <c r="W1446">
        <v>60</v>
      </c>
      <c r="X1446">
        <v>1136</v>
      </c>
      <c r="Y1446">
        <v>12392</v>
      </c>
      <c r="Z1446">
        <v>2328</v>
      </c>
      <c r="AA1446">
        <v>2</v>
      </c>
      <c r="AB1446" s="29">
        <v>44773</v>
      </c>
      <c r="AC1446" s="29">
        <v>36985</v>
      </c>
      <c r="AD1446" s="29">
        <v>43544</v>
      </c>
      <c r="AE1446" s="29"/>
      <c r="AF1446">
        <v>3</v>
      </c>
      <c r="AG1446" t="s">
        <v>157</v>
      </c>
      <c r="AI1446">
        <v>19</v>
      </c>
      <c r="AJ1446">
        <v>2</v>
      </c>
      <c r="AK1446" t="s">
        <v>170</v>
      </c>
      <c r="AL1446" t="s">
        <v>77</v>
      </c>
      <c r="AM1446">
        <f t="shared" si="110"/>
        <v>1</v>
      </c>
      <c r="AN1446">
        <f t="shared" si="111"/>
        <v>3</v>
      </c>
      <c r="AO1446" t="str">
        <f t="shared" si="112"/>
        <v/>
      </c>
      <c r="AP1446" t="str">
        <f t="shared" si="113"/>
        <v/>
      </c>
      <c r="AQ1446">
        <f t="shared" si="114"/>
        <v>2019</v>
      </c>
    </row>
    <row r="1447" spans="1:43" x14ac:dyDescent="0.35">
      <c r="A1447">
        <v>1102</v>
      </c>
      <c r="B1447">
        <v>28</v>
      </c>
      <c r="C1447" t="s">
        <v>148</v>
      </c>
      <c r="D1447" t="s">
        <v>145</v>
      </c>
      <c r="E1447" t="s">
        <v>4</v>
      </c>
      <c r="F1447" t="s">
        <v>36</v>
      </c>
      <c r="G1447" t="s">
        <v>41</v>
      </c>
      <c r="H1447" t="s">
        <v>82</v>
      </c>
      <c r="I1447" t="s">
        <v>43</v>
      </c>
      <c r="J1447" t="s">
        <v>155</v>
      </c>
      <c r="K1447" t="s">
        <v>43</v>
      </c>
      <c r="L1447" t="s">
        <v>147</v>
      </c>
      <c r="M1447" t="s">
        <v>48</v>
      </c>
      <c r="N1447" t="s">
        <v>96</v>
      </c>
      <c r="O1447" t="s">
        <v>41</v>
      </c>
      <c r="P1447" t="s">
        <v>148</v>
      </c>
      <c r="Q1447">
        <v>16</v>
      </c>
      <c r="R1447">
        <v>1</v>
      </c>
      <c r="S1447">
        <v>4</v>
      </c>
      <c r="T1447">
        <v>2</v>
      </c>
      <c r="U1447">
        <v>2</v>
      </c>
      <c r="V1447">
        <v>15</v>
      </c>
      <c r="W1447">
        <v>50</v>
      </c>
      <c r="X1447">
        <v>895</v>
      </c>
      <c r="Y1447">
        <v>22482</v>
      </c>
      <c r="Z1447">
        <v>2207</v>
      </c>
      <c r="AA1447">
        <v>5</v>
      </c>
      <c r="AB1447" s="29">
        <v>44773</v>
      </c>
      <c r="AC1447" s="29">
        <v>34724</v>
      </c>
      <c r="AD1447" s="29">
        <v>43644</v>
      </c>
      <c r="AE1447" s="29"/>
      <c r="AF1447">
        <v>3</v>
      </c>
      <c r="AG1447" t="s">
        <v>157</v>
      </c>
      <c r="AI1447">
        <v>25</v>
      </c>
      <c r="AJ1447">
        <v>1</v>
      </c>
      <c r="AK1447" t="s">
        <v>170</v>
      </c>
      <c r="AL1447" t="s">
        <v>77</v>
      </c>
      <c r="AM1447">
        <f t="shared" si="110"/>
        <v>2</v>
      </c>
      <c r="AN1447">
        <f t="shared" si="111"/>
        <v>6</v>
      </c>
      <c r="AO1447" t="str">
        <f t="shared" si="112"/>
        <v/>
      </c>
      <c r="AP1447" t="str">
        <f t="shared" si="113"/>
        <v/>
      </c>
      <c r="AQ1447">
        <f t="shared" si="114"/>
        <v>2019</v>
      </c>
    </row>
    <row r="1448" spans="1:43" x14ac:dyDescent="0.35">
      <c r="A1448">
        <v>197</v>
      </c>
      <c r="B1448">
        <v>30</v>
      </c>
      <c r="C1448" t="s">
        <v>148</v>
      </c>
      <c r="D1448" t="s">
        <v>145</v>
      </c>
      <c r="E1448" t="s">
        <v>4</v>
      </c>
      <c r="F1448" t="s">
        <v>38</v>
      </c>
      <c r="G1448" t="s">
        <v>44</v>
      </c>
      <c r="H1448" t="s">
        <v>81</v>
      </c>
      <c r="I1448" t="s">
        <v>43</v>
      </c>
      <c r="J1448" t="s">
        <v>146</v>
      </c>
      <c r="K1448" t="s">
        <v>41</v>
      </c>
      <c r="L1448" t="s">
        <v>147</v>
      </c>
      <c r="M1448" t="s">
        <v>49</v>
      </c>
      <c r="N1448" t="s">
        <v>96</v>
      </c>
      <c r="O1448" t="s">
        <v>41</v>
      </c>
      <c r="P1448" t="s">
        <v>148</v>
      </c>
      <c r="Q1448">
        <v>14</v>
      </c>
      <c r="R1448">
        <v>5</v>
      </c>
      <c r="S1448">
        <v>8</v>
      </c>
      <c r="T1448">
        <v>2</v>
      </c>
      <c r="U1448">
        <v>2</v>
      </c>
      <c r="V1448">
        <v>5</v>
      </c>
      <c r="W1448">
        <v>84</v>
      </c>
      <c r="X1448">
        <v>201</v>
      </c>
      <c r="Y1448">
        <v>10415</v>
      </c>
      <c r="Z1448">
        <v>3204</v>
      </c>
      <c r="AA1448">
        <v>3</v>
      </c>
      <c r="AB1448" s="29">
        <v>44773</v>
      </c>
      <c r="AC1448" s="29">
        <v>34061</v>
      </c>
      <c r="AD1448" s="29">
        <v>43697</v>
      </c>
      <c r="AE1448" s="29"/>
      <c r="AF1448">
        <v>3</v>
      </c>
      <c r="AG1448" t="s">
        <v>149</v>
      </c>
      <c r="AI1448">
        <v>27</v>
      </c>
      <c r="AJ1448">
        <v>1</v>
      </c>
      <c r="AK1448" t="s">
        <v>170</v>
      </c>
      <c r="AL1448" t="s">
        <v>77</v>
      </c>
      <c r="AM1448">
        <f t="shared" si="110"/>
        <v>3</v>
      </c>
      <c r="AN1448">
        <f t="shared" si="111"/>
        <v>8</v>
      </c>
      <c r="AO1448" t="str">
        <f t="shared" si="112"/>
        <v/>
      </c>
      <c r="AP1448" t="str">
        <f t="shared" si="113"/>
        <v/>
      </c>
      <c r="AQ1448">
        <f t="shared" si="114"/>
        <v>2019</v>
      </c>
    </row>
    <row r="1449" spans="1:43" x14ac:dyDescent="0.35">
      <c r="A1449">
        <v>1027</v>
      </c>
      <c r="B1449">
        <v>27</v>
      </c>
      <c r="C1449" t="s">
        <v>148</v>
      </c>
      <c r="D1449" t="s">
        <v>145</v>
      </c>
      <c r="E1449" t="s">
        <v>4</v>
      </c>
      <c r="F1449" t="s">
        <v>37</v>
      </c>
      <c r="G1449" t="s">
        <v>41</v>
      </c>
      <c r="H1449" t="s">
        <v>81</v>
      </c>
      <c r="I1449" t="s">
        <v>43</v>
      </c>
      <c r="J1449" t="s">
        <v>165</v>
      </c>
      <c r="K1449" t="s">
        <v>44</v>
      </c>
      <c r="L1449" t="s">
        <v>147</v>
      </c>
      <c r="M1449" t="s">
        <v>49</v>
      </c>
      <c r="N1449" t="s">
        <v>160</v>
      </c>
      <c r="O1449" t="s">
        <v>41</v>
      </c>
      <c r="P1449" t="s">
        <v>148</v>
      </c>
      <c r="Q1449">
        <v>18</v>
      </c>
      <c r="R1449">
        <v>0</v>
      </c>
      <c r="S1449">
        <v>4</v>
      </c>
      <c r="T1449">
        <v>2</v>
      </c>
      <c r="U1449">
        <v>2</v>
      </c>
      <c r="V1449">
        <v>2</v>
      </c>
      <c r="W1449">
        <v>47</v>
      </c>
      <c r="X1449">
        <v>1055</v>
      </c>
      <c r="Y1449">
        <v>4658</v>
      </c>
      <c r="Z1449">
        <v>4227</v>
      </c>
      <c r="AA1449">
        <v>2</v>
      </c>
      <c r="AB1449" s="29">
        <v>44773</v>
      </c>
      <c r="AC1449" s="29">
        <v>35270</v>
      </c>
      <c r="AD1449" s="29">
        <v>43700</v>
      </c>
      <c r="AE1449" s="29"/>
      <c r="AF1449">
        <v>3</v>
      </c>
      <c r="AG1449" t="s">
        <v>157</v>
      </c>
      <c r="AI1449">
        <v>24</v>
      </c>
      <c r="AJ1449">
        <v>1</v>
      </c>
      <c r="AK1449" t="s">
        <v>170</v>
      </c>
      <c r="AL1449" t="s">
        <v>77</v>
      </c>
      <c r="AM1449">
        <f t="shared" si="110"/>
        <v>3</v>
      </c>
      <c r="AN1449">
        <f t="shared" si="111"/>
        <v>8</v>
      </c>
      <c r="AO1449" t="str">
        <f t="shared" si="112"/>
        <v/>
      </c>
      <c r="AP1449" t="str">
        <f t="shared" si="113"/>
        <v/>
      </c>
      <c r="AQ1449">
        <f t="shared" si="114"/>
        <v>2019</v>
      </c>
    </row>
    <row r="1450" spans="1:43" x14ac:dyDescent="0.35">
      <c r="A1450">
        <v>455</v>
      </c>
      <c r="B1450">
        <v>29</v>
      </c>
      <c r="C1450" t="s">
        <v>148</v>
      </c>
      <c r="D1450" t="s">
        <v>145</v>
      </c>
      <c r="E1450" t="s">
        <v>4</v>
      </c>
      <c r="F1450" t="s">
        <v>34</v>
      </c>
      <c r="G1450" t="s">
        <v>42</v>
      </c>
      <c r="H1450" t="s">
        <v>82</v>
      </c>
      <c r="I1450" t="s">
        <v>42</v>
      </c>
      <c r="J1450" t="s">
        <v>155</v>
      </c>
      <c r="K1450" t="s">
        <v>44</v>
      </c>
      <c r="L1450" t="s">
        <v>147</v>
      </c>
      <c r="M1450" t="s">
        <v>49</v>
      </c>
      <c r="N1450" t="s">
        <v>95</v>
      </c>
      <c r="P1450" t="s">
        <v>148</v>
      </c>
      <c r="Q1450">
        <v>17</v>
      </c>
      <c r="R1450">
        <v>0</v>
      </c>
      <c r="S1450">
        <v>4</v>
      </c>
      <c r="T1450">
        <v>2</v>
      </c>
      <c r="U1450">
        <v>2</v>
      </c>
      <c r="V1450">
        <v>9</v>
      </c>
      <c r="W1450">
        <v>30</v>
      </c>
      <c r="X1450">
        <v>738</v>
      </c>
      <c r="Y1450">
        <v>7621</v>
      </c>
      <c r="Z1450">
        <v>3983</v>
      </c>
      <c r="AA1450">
        <v>2</v>
      </c>
      <c r="AB1450" s="29">
        <v>44773</v>
      </c>
      <c r="AC1450" s="29">
        <v>34341</v>
      </c>
      <c r="AD1450" s="29">
        <v>43824</v>
      </c>
      <c r="AE1450" s="29"/>
      <c r="AF1450">
        <v>3</v>
      </c>
      <c r="AG1450" t="s">
        <v>157</v>
      </c>
      <c r="AI1450">
        <v>26</v>
      </c>
      <c r="AJ1450">
        <v>2</v>
      </c>
      <c r="AK1450" t="s">
        <v>170</v>
      </c>
      <c r="AL1450" t="s">
        <v>77</v>
      </c>
      <c r="AM1450">
        <f t="shared" si="110"/>
        <v>4</v>
      </c>
      <c r="AN1450">
        <f t="shared" si="111"/>
        <v>12</v>
      </c>
      <c r="AO1450" t="str">
        <f t="shared" si="112"/>
        <v/>
      </c>
      <c r="AP1450" t="str">
        <f t="shared" si="113"/>
        <v/>
      </c>
      <c r="AQ1450">
        <f t="shared" si="114"/>
        <v>2019</v>
      </c>
    </row>
    <row r="1451" spans="1:43" x14ac:dyDescent="0.35">
      <c r="A1451">
        <v>1291</v>
      </c>
      <c r="B1451">
        <v>35</v>
      </c>
      <c r="C1451" t="s">
        <v>148</v>
      </c>
      <c r="D1451" t="s">
        <v>145</v>
      </c>
      <c r="E1451" t="s">
        <v>4</v>
      </c>
      <c r="F1451" t="s">
        <v>35</v>
      </c>
      <c r="G1451" t="s">
        <v>43</v>
      </c>
      <c r="H1451" t="s">
        <v>82</v>
      </c>
      <c r="I1451" t="s">
        <v>43</v>
      </c>
      <c r="J1451" t="s">
        <v>146</v>
      </c>
      <c r="K1451" t="s">
        <v>43</v>
      </c>
      <c r="L1451" t="s">
        <v>147</v>
      </c>
      <c r="M1451" t="s">
        <v>49</v>
      </c>
      <c r="N1451" t="s">
        <v>160</v>
      </c>
      <c r="P1451" t="s">
        <v>144</v>
      </c>
      <c r="Q1451">
        <v>14</v>
      </c>
      <c r="R1451">
        <v>0</v>
      </c>
      <c r="S1451">
        <v>4</v>
      </c>
      <c r="T1451">
        <v>2</v>
      </c>
      <c r="U1451">
        <v>2</v>
      </c>
      <c r="V1451">
        <v>6</v>
      </c>
      <c r="W1451">
        <v>66</v>
      </c>
      <c r="X1451">
        <v>735</v>
      </c>
      <c r="Y1451">
        <v>6020</v>
      </c>
      <c r="Z1451">
        <v>3506</v>
      </c>
      <c r="AA1451">
        <v>3</v>
      </c>
      <c r="AB1451" s="29">
        <v>44773</v>
      </c>
      <c r="AC1451" s="29">
        <v>32285</v>
      </c>
      <c r="AD1451" s="29">
        <v>43964</v>
      </c>
      <c r="AE1451" s="29"/>
      <c r="AF1451">
        <v>2</v>
      </c>
      <c r="AG1451" t="s">
        <v>149</v>
      </c>
      <c r="AI1451">
        <v>33</v>
      </c>
      <c r="AJ1451">
        <v>1</v>
      </c>
      <c r="AK1451" t="s">
        <v>170</v>
      </c>
      <c r="AL1451" t="s">
        <v>77</v>
      </c>
      <c r="AM1451">
        <f t="shared" si="110"/>
        <v>2</v>
      </c>
      <c r="AN1451">
        <f t="shared" si="111"/>
        <v>5</v>
      </c>
      <c r="AO1451" t="str">
        <f t="shared" si="112"/>
        <v/>
      </c>
      <c r="AP1451" t="str">
        <f t="shared" si="113"/>
        <v/>
      </c>
      <c r="AQ1451">
        <f t="shared" si="114"/>
        <v>2020</v>
      </c>
    </row>
    <row r="1452" spans="1:43" x14ac:dyDescent="0.35">
      <c r="A1452">
        <v>1786</v>
      </c>
      <c r="B1452">
        <v>51</v>
      </c>
      <c r="C1452" t="s">
        <v>148</v>
      </c>
      <c r="D1452" t="s">
        <v>145</v>
      </c>
      <c r="E1452" t="s">
        <v>4</v>
      </c>
      <c r="F1452" t="s">
        <v>38</v>
      </c>
      <c r="G1452" t="s">
        <v>41</v>
      </c>
      <c r="H1452" t="s">
        <v>81</v>
      </c>
      <c r="I1452" t="s">
        <v>43</v>
      </c>
      <c r="J1452" t="s">
        <v>169</v>
      </c>
      <c r="K1452" t="s">
        <v>43</v>
      </c>
      <c r="L1452" t="s">
        <v>147</v>
      </c>
      <c r="M1452" t="s">
        <v>49</v>
      </c>
      <c r="N1452" t="s">
        <v>160</v>
      </c>
      <c r="P1452" t="s">
        <v>148</v>
      </c>
      <c r="Q1452">
        <v>11</v>
      </c>
      <c r="R1452">
        <v>2</v>
      </c>
      <c r="S1452">
        <v>15</v>
      </c>
      <c r="T1452">
        <v>2</v>
      </c>
      <c r="U1452">
        <v>2</v>
      </c>
      <c r="V1452">
        <v>3</v>
      </c>
      <c r="W1452">
        <v>53</v>
      </c>
      <c r="X1452">
        <v>942</v>
      </c>
      <c r="Y1452">
        <v>22984</v>
      </c>
      <c r="Z1452">
        <v>13116</v>
      </c>
      <c r="AA1452">
        <v>2</v>
      </c>
      <c r="AB1452" s="29">
        <v>44773</v>
      </c>
      <c r="AC1452" s="29">
        <v>26254</v>
      </c>
      <c r="AD1452" s="29">
        <v>44050</v>
      </c>
      <c r="AE1452" s="29"/>
      <c r="AF1452">
        <v>2</v>
      </c>
      <c r="AG1452" t="s">
        <v>167</v>
      </c>
      <c r="AI1452">
        <v>49</v>
      </c>
      <c r="AJ1452">
        <v>2</v>
      </c>
      <c r="AK1452" t="s">
        <v>170</v>
      </c>
      <c r="AL1452" t="s">
        <v>78</v>
      </c>
      <c r="AM1452">
        <f t="shared" si="110"/>
        <v>3</v>
      </c>
      <c r="AN1452">
        <f t="shared" si="111"/>
        <v>8</v>
      </c>
      <c r="AO1452" t="str">
        <f t="shared" si="112"/>
        <v/>
      </c>
      <c r="AP1452" t="str">
        <f t="shared" si="113"/>
        <v/>
      </c>
      <c r="AQ1452">
        <f t="shared" si="114"/>
        <v>2020</v>
      </c>
    </row>
    <row r="1453" spans="1:43" x14ac:dyDescent="0.35">
      <c r="A1453">
        <v>501</v>
      </c>
      <c r="B1453">
        <v>36</v>
      </c>
      <c r="C1453" t="s">
        <v>148</v>
      </c>
      <c r="D1453" t="s">
        <v>145</v>
      </c>
      <c r="E1453" t="s">
        <v>4</v>
      </c>
      <c r="F1453" t="s">
        <v>38</v>
      </c>
      <c r="G1453" t="s">
        <v>44</v>
      </c>
      <c r="H1453" t="s">
        <v>81</v>
      </c>
      <c r="I1453" t="s">
        <v>43</v>
      </c>
      <c r="J1453" t="s">
        <v>146</v>
      </c>
      <c r="K1453" t="s">
        <v>43</v>
      </c>
      <c r="L1453" t="s">
        <v>147</v>
      </c>
      <c r="M1453" t="s">
        <v>49</v>
      </c>
      <c r="N1453" t="s">
        <v>160</v>
      </c>
      <c r="O1453" t="s">
        <v>41</v>
      </c>
      <c r="P1453" t="s">
        <v>148</v>
      </c>
      <c r="Q1453">
        <v>13</v>
      </c>
      <c r="R1453">
        <v>4</v>
      </c>
      <c r="S1453">
        <v>6</v>
      </c>
      <c r="T1453">
        <v>2</v>
      </c>
      <c r="U1453">
        <v>2</v>
      </c>
      <c r="V1453">
        <v>2</v>
      </c>
      <c r="W1453">
        <v>96</v>
      </c>
      <c r="X1453">
        <v>329</v>
      </c>
      <c r="Y1453">
        <v>11868</v>
      </c>
      <c r="Z1453">
        <v>2543</v>
      </c>
      <c r="AA1453">
        <v>3</v>
      </c>
      <c r="AB1453" s="29">
        <v>44773</v>
      </c>
      <c r="AC1453" s="29">
        <v>31783</v>
      </c>
      <c r="AD1453" s="29">
        <v>44057</v>
      </c>
      <c r="AE1453" s="29"/>
      <c r="AF1453">
        <v>2</v>
      </c>
      <c r="AG1453" t="s">
        <v>149</v>
      </c>
      <c r="AI1453">
        <v>34</v>
      </c>
      <c r="AJ1453">
        <v>2</v>
      </c>
      <c r="AK1453" t="s">
        <v>170</v>
      </c>
      <c r="AL1453" t="s">
        <v>77</v>
      </c>
      <c r="AM1453">
        <f t="shared" si="110"/>
        <v>3</v>
      </c>
      <c r="AN1453">
        <f t="shared" si="111"/>
        <v>8</v>
      </c>
      <c r="AO1453" t="str">
        <f t="shared" si="112"/>
        <v/>
      </c>
      <c r="AP1453" t="str">
        <f t="shared" si="113"/>
        <v/>
      </c>
      <c r="AQ1453">
        <f t="shared" si="114"/>
        <v>2020</v>
      </c>
    </row>
    <row r="1454" spans="1:43" x14ac:dyDescent="0.35">
      <c r="A1454">
        <v>930</v>
      </c>
      <c r="B1454">
        <v>28</v>
      </c>
      <c r="C1454" t="s">
        <v>148</v>
      </c>
      <c r="D1454" t="s">
        <v>145</v>
      </c>
      <c r="E1454" t="s">
        <v>4</v>
      </c>
      <c r="F1454" t="s">
        <v>38</v>
      </c>
      <c r="G1454" t="s">
        <v>43</v>
      </c>
      <c r="H1454" t="s">
        <v>81</v>
      </c>
      <c r="I1454" t="s">
        <v>43</v>
      </c>
      <c r="J1454" t="s">
        <v>146</v>
      </c>
      <c r="K1454" t="s">
        <v>43</v>
      </c>
      <c r="L1454" t="s">
        <v>147</v>
      </c>
      <c r="M1454" t="s">
        <v>49</v>
      </c>
      <c r="N1454" t="s">
        <v>96</v>
      </c>
      <c r="O1454" t="s">
        <v>41</v>
      </c>
      <c r="P1454" t="s">
        <v>148</v>
      </c>
      <c r="Q1454">
        <v>18</v>
      </c>
      <c r="R1454">
        <v>5</v>
      </c>
      <c r="S1454">
        <v>6</v>
      </c>
      <c r="T1454">
        <v>2</v>
      </c>
      <c r="U1454">
        <v>2</v>
      </c>
      <c r="V1454">
        <v>9</v>
      </c>
      <c r="W1454">
        <v>77</v>
      </c>
      <c r="X1454">
        <v>995</v>
      </c>
      <c r="Y1454">
        <v>9834</v>
      </c>
      <c r="Z1454">
        <v>2377</v>
      </c>
      <c r="AA1454">
        <v>2</v>
      </c>
      <c r="AB1454" s="29">
        <v>44773</v>
      </c>
      <c r="AC1454" s="29">
        <v>34831</v>
      </c>
      <c r="AD1454" s="29">
        <v>44061</v>
      </c>
      <c r="AE1454" s="29"/>
      <c r="AF1454">
        <v>2</v>
      </c>
      <c r="AG1454" t="s">
        <v>157</v>
      </c>
      <c r="AI1454">
        <v>26</v>
      </c>
      <c r="AJ1454">
        <v>2</v>
      </c>
      <c r="AK1454" t="s">
        <v>170</v>
      </c>
      <c r="AL1454" t="s">
        <v>78</v>
      </c>
      <c r="AM1454">
        <f t="shared" si="110"/>
        <v>3</v>
      </c>
      <c r="AN1454">
        <f t="shared" si="111"/>
        <v>8</v>
      </c>
      <c r="AO1454" t="str">
        <f t="shared" si="112"/>
        <v/>
      </c>
      <c r="AP1454" t="str">
        <f t="shared" si="113"/>
        <v/>
      </c>
      <c r="AQ1454">
        <f t="shared" si="114"/>
        <v>2020</v>
      </c>
    </row>
    <row r="1455" spans="1:43" x14ac:dyDescent="0.35">
      <c r="A1455">
        <v>1131</v>
      </c>
      <c r="B1455">
        <v>21</v>
      </c>
      <c r="C1455" t="s">
        <v>148</v>
      </c>
      <c r="D1455" t="s">
        <v>145</v>
      </c>
      <c r="E1455" t="s">
        <v>4</v>
      </c>
      <c r="F1455" t="s">
        <v>35</v>
      </c>
      <c r="G1455" t="s">
        <v>44</v>
      </c>
      <c r="H1455" t="s">
        <v>81</v>
      </c>
      <c r="I1455" t="s">
        <v>42</v>
      </c>
      <c r="J1455" t="s">
        <v>146</v>
      </c>
      <c r="K1455" t="s">
        <v>42</v>
      </c>
      <c r="L1455" t="s">
        <v>147</v>
      </c>
      <c r="M1455" t="s">
        <v>50</v>
      </c>
      <c r="N1455" t="s">
        <v>95</v>
      </c>
      <c r="P1455" t="s">
        <v>144</v>
      </c>
      <c r="Q1455">
        <v>11</v>
      </c>
      <c r="R1455">
        <v>1</v>
      </c>
      <c r="S1455">
        <v>2</v>
      </c>
      <c r="T1455">
        <v>2</v>
      </c>
      <c r="U1455">
        <v>2</v>
      </c>
      <c r="V1455">
        <v>1</v>
      </c>
      <c r="W1455">
        <v>70</v>
      </c>
      <c r="X1455">
        <v>984</v>
      </c>
      <c r="Y1455">
        <v>25326</v>
      </c>
      <c r="Z1455">
        <v>2070</v>
      </c>
      <c r="AA1455">
        <v>6</v>
      </c>
      <c r="AB1455" s="29">
        <v>44773</v>
      </c>
      <c r="AC1455" s="29">
        <v>37405</v>
      </c>
      <c r="AD1455" s="29">
        <v>44066</v>
      </c>
      <c r="AE1455" s="29"/>
      <c r="AF1455">
        <v>2</v>
      </c>
      <c r="AG1455" t="s">
        <v>157</v>
      </c>
      <c r="AI1455">
        <v>19</v>
      </c>
      <c r="AJ1455">
        <v>2</v>
      </c>
      <c r="AK1455" t="s">
        <v>170</v>
      </c>
      <c r="AL1455" t="s">
        <v>77</v>
      </c>
      <c r="AM1455">
        <f t="shared" si="110"/>
        <v>3</v>
      </c>
      <c r="AN1455">
        <f t="shared" si="111"/>
        <v>8</v>
      </c>
      <c r="AO1455" t="str">
        <f t="shared" si="112"/>
        <v/>
      </c>
      <c r="AP1455" t="str">
        <f t="shared" si="113"/>
        <v/>
      </c>
      <c r="AQ1455">
        <f t="shared" si="114"/>
        <v>2020</v>
      </c>
    </row>
    <row r="1456" spans="1:43" x14ac:dyDescent="0.35">
      <c r="A1456">
        <v>826</v>
      </c>
      <c r="B1456">
        <v>35</v>
      </c>
      <c r="C1456" t="s">
        <v>148</v>
      </c>
      <c r="D1456" t="s">
        <v>145</v>
      </c>
      <c r="E1456" t="s">
        <v>4</v>
      </c>
      <c r="F1456" t="s">
        <v>37</v>
      </c>
      <c r="G1456" t="s">
        <v>44</v>
      </c>
      <c r="H1456" t="s">
        <v>81</v>
      </c>
      <c r="I1456" t="s">
        <v>44</v>
      </c>
      <c r="J1456" t="s">
        <v>146</v>
      </c>
      <c r="K1456" t="s">
        <v>43</v>
      </c>
      <c r="L1456" t="s">
        <v>147</v>
      </c>
      <c r="M1456" t="s">
        <v>49</v>
      </c>
      <c r="N1456" t="s">
        <v>95</v>
      </c>
      <c r="P1456" t="s">
        <v>148</v>
      </c>
      <c r="Q1456">
        <v>13</v>
      </c>
      <c r="R1456">
        <v>3</v>
      </c>
      <c r="S1456">
        <v>7</v>
      </c>
      <c r="T1456">
        <v>2</v>
      </c>
      <c r="U1456">
        <v>2</v>
      </c>
      <c r="V1456">
        <v>1</v>
      </c>
      <c r="W1456">
        <v>40</v>
      </c>
      <c r="X1456">
        <v>1258</v>
      </c>
      <c r="Y1456">
        <v>13301</v>
      </c>
      <c r="Z1456">
        <v>2506</v>
      </c>
      <c r="AA1456">
        <v>0</v>
      </c>
      <c r="AB1456" s="29">
        <v>44773</v>
      </c>
      <c r="AC1456" s="29">
        <v>32344</v>
      </c>
      <c r="AD1456" s="29">
        <v>44107</v>
      </c>
      <c r="AE1456" s="29"/>
      <c r="AF1456">
        <v>2</v>
      </c>
      <c r="AG1456" t="s">
        <v>149</v>
      </c>
      <c r="AI1456">
        <v>33</v>
      </c>
      <c r="AJ1456">
        <v>1</v>
      </c>
      <c r="AK1456" t="s">
        <v>170</v>
      </c>
      <c r="AL1456" t="s">
        <v>77</v>
      </c>
      <c r="AM1456">
        <f t="shared" si="110"/>
        <v>4</v>
      </c>
      <c r="AN1456">
        <f t="shared" si="111"/>
        <v>10</v>
      </c>
      <c r="AO1456" t="str">
        <f t="shared" si="112"/>
        <v/>
      </c>
      <c r="AP1456" t="str">
        <f t="shared" si="113"/>
        <v/>
      </c>
      <c r="AQ1456">
        <f t="shared" si="114"/>
        <v>2020</v>
      </c>
    </row>
    <row r="1457" spans="1:43" x14ac:dyDescent="0.35">
      <c r="A1457">
        <v>1303</v>
      </c>
      <c r="B1457">
        <v>25</v>
      </c>
      <c r="C1457" t="s">
        <v>148</v>
      </c>
      <c r="D1457" t="s">
        <v>145</v>
      </c>
      <c r="E1457" t="s">
        <v>4</v>
      </c>
      <c r="F1457" t="s">
        <v>38</v>
      </c>
      <c r="G1457" t="s">
        <v>44</v>
      </c>
      <c r="H1457" t="s">
        <v>81</v>
      </c>
      <c r="I1457" t="s">
        <v>43</v>
      </c>
      <c r="J1457" t="s">
        <v>146</v>
      </c>
      <c r="K1457" t="s">
        <v>42</v>
      </c>
      <c r="L1457" t="s">
        <v>147</v>
      </c>
      <c r="M1457" t="s">
        <v>48</v>
      </c>
      <c r="N1457" t="s">
        <v>95</v>
      </c>
      <c r="P1457" t="s">
        <v>148</v>
      </c>
      <c r="Q1457">
        <v>18</v>
      </c>
      <c r="R1457">
        <v>1</v>
      </c>
      <c r="S1457">
        <v>2</v>
      </c>
      <c r="T1457">
        <v>2</v>
      </c>
      <c r="U1457">
        <v>1</v>
      </c>
      <c r="V1457">
        <v>1</v>
      </c>
      <c r="W1457">
        <v>40</v>
      </c>
      <c r="X1457">
        <v>266</v>
      </c>
      <c r="Y1457">
        <v>18830</v>
      </c>
      <c r="Z1457">
        <v>2096</v>
      </c>
      <c r="AA1457">
        <v>3</v>
      </c>
      <c r="AB1457" s="29">
        <v>44773</v>
      </c>
      <c r="AC1457" s="29">
        <v>35940</v>
      </c>
      <c r="AD1457" s="29">
        <v>44107</v>
      </c>
      <c r="AE1457" s="29"/>
      <c r="AF1457">
        <v>2</v>
      </c>
      <c r="AG1457" t="s">
        <v>157</v>
      </c>
      <c r="AI1457">
        <v>23</v>
      </c>
      <c r="AJ1457">
        <v>2</v>
      </c>
      <c r="AK1457" t="s">
        <v>170</v>
      </c>
      <c r="AL1457" t="s">
        <v>77</v>
      </c>
      <c r="AM1457">
        <f t="shared" si="110"/>
        <v>4</v>
      </c>
      <c r="AN1457">
        <f t="shared" si="111"/>
        <v>10</v>
      </c>
      <c r="AO1457" t="str">
        <f t="shared" si="112"/>
        <v/>
      </c>
      <c r="AP1457" t="str">
        <f t="shared" si="113"/>
        <v/>
      </c>
      <c r="AQ1457">
        <f t="shared" si="114"/>
        <v>2020</v>
      </c>
    </row>
    <row r="1458" spans="1:43" x14ac:dyDescent="0.35">
      <c r="A1458">
        <v>1525</v>
      </c>
      <c r="B1458">
        <v>39</v>
      </c>
      <c r="C1458" t="s">
        <v>148</v>
      </c>
      <c r="D1458" t="s">
        <v>145</v>
      </c>
      <c r="E1458" t="s">
        <v>4</v>
      </c>
      <c r="F1458" t="s">
        <v>38</v>
      </c>
      <c r="G1458" t="s">
        <v>42</v>
      </c>
      <c r="H1458" t="s">
        <v>81</v>
      </c>
      <c r="I1458" t="s">
        <v>43</v>
      </c>
      <c r="J1458" t="s">
        <v>165</v>
      </c>
      <c r="K1458" t="s">
        <v>42</v>
      </c>
      <c r="L1458" t="s">
        <v>147</v>
      </c>
      <c r="M1458" t="s">
        <v>49</v>
      </c>
      <c r="N1458" t="s">
        <v>95</v>
      </c>
      <c r="P1458" t="s">
        <v>148</v>
      </c>
      <c r="Q1458">
        <v>18</v>
      </c>
      <c r="R1458">
        <v>4</v>
      </c>
      <c r="S1458">
        <v>9</v>
      </c>
      <c r="T1458">
        <v>2</v>
      </c>
      <c r="U1458">
        <v>2</v>
      </c>
      <c r="V1458">
        <v>6</v>
      </c>
      <c r="W1458">
        <v>32</v>
      </c>
      <c r="X1458">
        <v>1089</v>
      </c>
      <c r="Y1458">
        <v>9150</v>
      </c>
      <c r="Z1458">
        <v>8376</v>
      </c>
      <c r="AA1458">
        <v>3</v>
      </c>
      <c r="AB1458" s="29">
        <v>44773</v>
      </c>
      <c r="AC1458" s="29">
        <v>30560</v>
      </c>
      <c r="AD1458" s="29">
        <v>44108</v>
      </c>
      <c r="AE1458" s="29"/>
      <c r="AF1458">
        <v>2</v>
      </c>
      <c r="AG1458" t="s">
        <v>149</v>
      </c>
      <c r="AI1458">
        <v>37</v>
      </c>
      <c r="AJ1458">
        <v>1</v>
      </c>
      <c r="AK1458" t="s">
        <v>170</v>
      </c>
      <c r="AL1458" t="s">
        <v>78</v>
      </c>
      <c r="AM1458">
        <f t="shared" si="110"/>
        <v>4</v>
      </c>
      <c r="AN1458">
        <f t="shared" si="111"/>
        <v>10</v>
      </c>
      <c r="AO1458" t="str">
        <f t="shared" si="112"/>
        <v/>
      </c>
      <c r="AP1458" t="str">
        <f t="shared" si="113"/>
        <v/>
      </c>
      <c r="AQ1458">
        <f t="shared" si="114"/>
        <v>2020</v>
      </c>
    </row>
    <row r="1459" spans="1:43" x14ac:dyDescent="0.35">
      <c r="A1459">
        <v>1069</v>
      </c>
      <c r="B1459">
        <v>46</v>
      </c>
      <c r="C1459" t="s">
        <v>148</v>
      </c>
      <c r="D1459" t="s">
        <v>145</v>
      </c>
      <c r="E1459" t="s">
        <v>4</v>
      </c>
      <c r="F1459" t="s">
        <v>37</v>
      </c>
      <c r="G1459" t="s">
        <v>44</v>
      </c>
      <c r="H1459" t="s">
        <v>82</v>
      </c>
      <c r="I1459" t="s">
        <v>43</v>
      </c>
      <c r="J1459" t="s">
        <v>173</v>
      </c>
      <c r="K1459" t="s">
        <v>44</v>
      </c>
      <c r="L1459" t="s">
        <v>147</v>
      </c>
      <c r="M1459" t="s">
        <v>49</v>
      </c>
      <c r="N1459" t="s">
        <v>96</v>
      </c>
      <c r="O1459" t="s">
        <v>156</v>
      </c>
      <c r="P1459" t="s">
        <v>148</v>
      </c>
      <c r="Q1459">
        <v>17</v>
      </c>
      <c r="R1459">
        <v>9</v>
      </c>
      <c r="S1459">
        <v>23</v>
      </c>
      <c r="T1459">
        <v>2</v>
      </c>
      <c r="U1459">
        <v>2</v>
      </c>
      <c r="V1459">
        <v>1</v>
      </c>
      <c r="W1459">
        <v>40</v>
      </c>
      <c r="X1459">
        <v>430</v>
      </c>
      <c r="Y1459">
        <v>21445</v>
      </c>
      <c r="Z1459">
        <v>19627</v>
      </c>
      <c r="AA1459">
        <v>0</v>
      </c>
      <c r="AB1459" s="29">
        <v>44773</v>
      </c>
      <c r="AC1459" s="29">
        <v>28225</v>
      </c>
      <c r="AD1459" s="29">
        <v>44127</v>
      </c>
      <c r="AE1459" s="29"/>
      <c r="AF1459">
        <v>2</v>
      </c>
      <c r="AG1459" t="s">
        <v>153</v>
      </c>
      <c r="AI1459">
        <v>44</v>
      </c>
      <c r="AJ1459">
        <v>1</v>
      </c>
      <c r="AK1459" t="s">
        <v>170</v>
      </c>
      <c r="AL1459" t="s">
        <v>77</v>
      </c>
      <c r="AM1459">
        <f t="shared" si="110"/>
        <v>4</v>
      </c>
      <c r="AN1459">
        <f t="shared" si="111"/>
        <v>10</v>
      </c>
      <c r="AO1459" t="str">
        <f t="shared" si="112"/>
        <v/>
      </c>
      <c r="AP1459" t="str">
        <f t="shared" si="113"/>
        <v/>
      </c>
      <c r="AQ1459">
        <f t="shared" si="114"/>
        <v>2020</v>
      </c>
    </row>
    <row r="1460" spans="1:43" x14ac:dyDescent="0.35">
      <c r="A1460">
        <v>1789</v>
      </c>
      <c r="B1460">
        <v>46</v>
      </c>
      <c r="C1460" t="s">
        <v>148</v>
      </c>
      <c r="D1460" t="s">
        <v>145</v>
      </c>
      <c r="E1460" t="s">
        <v>4</v>
      </c>
      <c r="F1460" t="s">
        <v>37</v>
      </c>
      <c r="G1460" t="s">
        <v>43</v>
      </c>
      <c r="H1460" t="s">
        <v>82</v>
      </c>
      <c r="I1460" t="s">
        <v>43</v>
      </c>
      <c r="J1460" t="s">
        <v>173</v>
      </c>
      <c r="K1460" t="s">
        <v>44</v>
      </c>
      <c r="L1460" t="s">
        <v>147</v>
      </c>
      <c r="M1460" t="s">
        <v>49</v>
      </c>
      <c r="N1460" t="s">
        <v>96</v>
      </c>
      <c r="O1460" t="s">
        <v>41</v>
      </c>
      <c r="P1460" t="s">
        <v>144</v>
      </c>
      <c r="Q1460">
        <v>17</v>
      </c>
      <c r="R1460">
        <v>7</v>
      </c>
      <c r="S1460">
        <v>24</v>
      </c>
      <c r="T1460">
        <v>2</v>
      </c>
      <c r="U1460">
        <v>2</v>
      </c>
      <c r="V1460">
        <v>2</v>
      </c>
      <c r="W1460">
        <v>46</v>
      </c>
      <c r="X1460">
        <v>734</v>
      </c>
      <c r="Y1460">
        <v>14218</v>
      </c>
      <c r="Z1460">
        <v>19328</v>
      </c>
      <c r="AA1460">
        <v>3</v>
      </c>
      <c r="AB1460" s="29">
        <v>44773</v>
      </c>
      <c r="AC1460" s="29">
        <v>28319</v>
      </c>
      <c r="AD1460" s="29">
        <v>44144</v>
      </c>
      <c r="AE1460" s="29"/>
      <c r="AF1460">
        <v>2</v>
      </c>
      <c r="AG1460" t="s">
        <v>153</v>
      </c>
      <c r="AI1460">
        <v>44</v>
      </c>
      <c r="AJ1460">
        <v>1</v>
      </c>
      <c r="AK1460" t="s">
        <v>170</v>
      </c>
      <c r="AL1460" t="s">
        <v>78</v>
      </c>
      <c r="AM1460">
        <f t="shared" si="110"/>
        <v>4</v>
      </c>
      <c r="AN1460">
        <f t="shared" si="111"/>
        <v>11</v>
      </c>
      <c r="AO1460" t="str">
        <f t="shared" si="112"/>
        <v/>
      </c>
      <c r="AP1460" t="str">
        <f t="shared" si="113"/>
        <v/>
      </c>
      <c r="AQ1460">
        <f t="shared" si="114"/>
        <v>2020</v>
      </c>
    </row>
    <row r="1461" spans="1:43" x14ac:dyDescent="0.35">
      <c r="A1461">
        <v>245</v>
      </c>
      <c r="B1461">
        <v>38</v>
      </c>
      <c r="C1461" t="s">
        <v>148</v>
      </c>
      <c r="D1461" t="s">
        <v>145</v>
      </c>
      <c r="E1461" t="s">
        <v>4</v>
      </c>
      <c r="F1461" t="s">
        <v>36</v>
      </c>
      <c r="G1461" t="s">
        <v>43</v>
      </c>
      <c r="H1461" t="s">
        <v>81</v>
      </c>
      <c r="I1461" t="s">
        <v>43</v>
      </c>
      <c r="J1461" t="s">
        <v>155</v>
      </c>
      <c r="K1461" t="s">
        <v>44</v>
      </c>
      <c r="L1461" t="s">
        <v>147</v>
      </c>
      <c r="M1461" t="s">
        <v>49</v>
      </c>
      <c r="N1461" t="s">
        <v>95</v>
      </c>
      <c r="P1461" t="s">
        <v>148</v>
      </c>
      <c r="Q1461">
        <v>12</v>
      </c>
      <c r="R1461">
        <v>1</v>
      </c>
      <c r="S1461">
        <v>2</v>
      </c>
      <c r="T1461">
        <v>2</v>
      </c>
      <c r="U1461">
        <v>1</v>
      </c>
      <c r="V1461">
        <v>9</v>
      </c>
      <c r="W1461">
        <v>75</v>
      </c>
      <c r="X1461">
        <v>1380</v>
      </c>
      <c r="Y1461">
        <v>6319</v>
      </c>
      <c r="Z1461">
        <v>2288</v>
      </c>
      <c r="AA1461">
        <v>3</v>
      </c>
      <c r="AB1461" s="29">
        <v>44773</v>
      </c>
      <c r="AC1461" s="29">
        <v>31076</v>
      </c>
      <c r="AD1461" s="29">
        <v>44158</v>
      </c>
      <c r="AE1461" s="29"/>
      <c r="AF1461">
        <v>2</v>
      </c>
      <c r="AG1461" t="s">
        <v>149</v>
      </c>
      <c r="AI1461">
        <v>36</v>
      </c>
      <c r="AJ1461">
        <v>1</v>
      </c>
      <c r="AK1461" t="s">
        <v>170</v>
      </c>
      <c r="AL1461" t="s">
        <v>78</v>
      </c>
      <c r="AM1461">
        <f t="shared" si="110"/>
        <v>4</v>
      </c>
      <c r="AN1461">
        <f t="shared" si="111"/>
        <v>11</v>
      </c>
      <c r="AO1461" t="str">
        <f t="shared" si="112"/>
        <v/>
      </c>
      <c r="AP1461" t="str">
        <f t="shared" si="113"/>
        <v/>
      </c>
      <c r="AQ1461">
        <f t="shared" si="114"/>
        <v>2020</v>
      </c>
    </row>
    <row r="1462" spans="1:43" x14ac:dyDescent="0.35">
      <c r="A1462">
        <v>1592</v>
      </c>
      <c r="B1462">
        <v>23</v>
      </c>
      <c r="C1462" t="s">
        <v>148</v>
      </c>
      <c r="D1462" t="s">
        <v>145</v>
      </c>
      <c r="E1462" t="s">
        <v>4</v>
      </c>
      <c r="F1462" t="s">
        <v>38</v>
      </c>
      <c r="G1462" t="s">
        <v>44</v>
      </c>
      <c r="H1462" t="s">
        <v>82</v>
      </c>
      <c r="I1462" t="s">
        <v>44</v>
      </c>
      <c r="J1462" t="s">
        <v>146</v>
      </c>
      <c r="K1462" t="s">
        <v>43</v>
      </c>
      <c r="L1462" t="s">
        <v>147</v>
      </c>
      <c r="M1462" t="s">
        <v>49</v>
      </c>
      <c r="N1462" t="s">
        <v>160</v>
      </c>
      <c r="O1462" t="s">
        <v>41</v>
      </c>
      <c r="P1462" t="s">
        <v>148</v>
      </c>
      <c r="Q1462">
        <v>16</v>
      </c>
      <c r="R1462">
        <v>2</v>
      </c>
      <c r="S1462">
        <v>4</v>
      </c>
      <c r="T1462">
        <v>2</v>
      </c>
      <c r="U1462">
        <v>2</v>
      </c>
      <c r="V1462">
        <v>10</v>
      </c>
      <c r="W1462">
        <v>45</v>
      </c>
      <c r="X1462">
        <v>977</v>
      </c>
      <c r="Y1462">
        <v>12826</v>
      </c>
      <c r="Z1462">
        <v>2073</v>
      </c>
      <c r="AA1462">
        <v>2</v>
      </c>
      <c r="AB1462" s="29">
        <v>44773</v>
      </c>
      <c r="AC1462" s="29">
        <v>36674</v>
      </c>
      <c r="AD1462" s="29">
        <v>44167</v>
      </c>
      <c r="AE1462" s="29"/>
      <c r="AF1462">
        <v>2</v>
      </c>
      <c r="AG1462" t="s">
        <v>157</v>
      </c>
      <c r="AI1462">
        <v>21</v>
      </c>
      <c r="AJ1462">
        <v>2</v>
      </c>
      <c r="AK1462" t="s">
        <v>170</v>
      </c>
      <c r="AL1462" t="s">
        <v>78</v>
      </c>
      <c r="AM1462">
        <f t="shared" si="110"/>
        <v>4</v>
      </c>
      <c r="AN1462">
        <f t="shared" si="111"/>
        <v>12</v>
      </c>
      <c r="AO1462" t="str">
        <f t="shared" si="112"/>
        <v/>
      </c>
      <c r="AP1462" t="str">
        <f t="shared" si="113"/>
        <v/>
      </c>
      <c r="AQ1462">
        <f t="shared" si="114"/>
        <v>2020</v>
      </c>
    </row>
    <row r="1463" spans="1:43" x14ac:dyDescent="0.35">
      <c r="A1463">
        <v>2048</v>
      </c>
      <c r="B1463">
        <v>40</v>
      </c>
      <c r="C1463" t="s">
        <v>148</v>
      </c>
      <c r="D1463" t="s">
        <v>145</v>
      </c>
      <c r="E1463" t="s">
        <v>4</v>
      </c>
      <c r="F1463" t="s">
        <v>37</v>
      </c>
      <c r="G1463" t="s">
        <v>43</v>
      </c>
      <c r="H1463" t="s">
        <v>82</v>
      </c>
      <c r="I1463" t="s">
        <v>42</v>
      </c>
      <c r="J1463" t="s">
        <v>146</v>
      </c>
      <c r="K1463" t="s">
        <v>43</v>
      </c>
      <c r="L1463" t="s">
        <v>147</v>
      </c>
      <c r="M1463" t="s">
        <v>49</v>
      </c>
      <c r="N1463" t="s">
        <v>95</v>
      </c>
      <c r="P1463" t="s">
        <v>148</v>
      </c>
      <c r="Q1463">
        <v>14</v>
      </c>
      <c r="R1463">
        <v>2</v>
      </c>
      <c r="S1463">
        <v>8</v>
      </c>
      <c r="T1463">
        <v>2</v>
      </c>
      <c r="U1463">
        <v>2</v>
      </c>
      <c r="V1463">
        <v>2</v>
      </c>
      <c r="W1463">
        <v>52</v>
      </c>
      <c r="X1463">
        <v>1322</v>
      </c>
      <c r="Y1463">
        <v>2725</v>
      </c>
      <c r="Z1463">
        <v>2809</v>
      </c>
      <c r="AA1463">
        <v>2</v>
      </c>
      <c r="AB1463" s="29">
        <v>44773</v>
      </c>
      <c r="AC1463" s="29">
        <v>30167</v>
      </c>
      <c r="AD1463" s="29">
        <v>44174</v>
      </c>
      <c r="AE1463" s="29"/>
      <c r="AF1463">
        <v>2</v>
      </c>
      <c r="AG1463" t="s">
        <v>153</v>
      </c>
      <c r="AI1463">
        <v>38</v>
      </c>
      <c r="AJ1463">
        <v>1</v>
      </c>
      <c r="AK1463" t="s">
        <v>170</v>
      </c>
      <c r="AL1463" t="s">
        <v>77</v>
      </c>
      <c r="AM1463">
        <f t="shared" si="110"/>
        <v>4</v>
      </c>
      <c r="AN1463">
        <f t="shared" si="111"/>
        <v>12</v>
      </c>
      <c r="AO1463" t="str">
        <f t="shared" si="112"/>
        <v/>
      </c>
      <c r="AP1463" t="str">
        <f t="shared" si="113"/>
        <v/>
      </c>
      <c r="AQ1463">
        <f t="shared" si="114"/>
        <v>2020</v>
      </c>
    </row>
    <row r="1464" spans="1:43" x14ac:dyDescent="0.35">
      <c r="A1464">
        <v>2003</v>
      </c>
      <c r="B1464">
        <v>35</v>
      </c>
      <c r="C1464" t="s">
        <v>148</v>
      </c>
      <c r="D1464" t="s">
        <v>145</v>
      </c>
      <c r="E1464" t="s">
        <v>4</v>
      </c>
      <c r="F1464" t="s">
        <v>37</v>
      </c>
      <c r="G1464" t="s">
        <v>44</v>
      </c>
      <c r="H1464" t="s">
        <v>82</v>
      </c>
      <c r="I1464" t="s">
        <v>43</v>
      </c>
      <c r="J1464" t="s">
        <v>155</v>
      </c>
      <c r="K1464" t="s">
        <v>43</v>
      </c>
      <c r="L1464" t="s">
        <v>147</v>
      </c>
      <c r="M1464" t="s">
        <v>49</v>
      </c>
      <c r="N1464" t="s">
        <v>160</v>
      </c>
      <c r="O1464" t="s">
        <v>41</v>
      </c>
      <c r="P1464" t="s">
        <v>144</v>
      </c>
      <c r="Q1464">
        <v>11</v>
      </c>
      <c r="R1464">
        <v>7</v>
      </c>
      <c r="S1464">
        <v>5</v>
      </c>
      <c r="T1464">
        <v>2</v>
      </c>
      <c r="U1464">
        <v>2</v>
      </c>
      <c r="V1464">
        <v>11</v>
      </c>
      <c r="W1464">
        <v>43</v>
      </c>
      <c r="X1464">
        <v>1490</v>
      </c>
      <c r="Y1464">
        <v>20232</v>
      </c>
      <c r="Z1464">
        <v>2660</v>
      </c>
      <c r="AA1464">
        <v>3</v>
      </c>
      <c r="AB1464" s="29">
        <v>44773</v>
      </c>
      <c r="AC1464" s="29">
        <v>32185</v>
      </c>
      <c r="AD1464" s="29">
        <v>44179</v>
      </c>
      <c r="AE1464" s="29"/>
      <c r="AF1464">
        <v>2</v>
      </c>
      <c r="AG1464" t="s">
        <v>149</v>
      </c>
      <c r="AI1464">
        <v>33</v>
      </c>
      <c r="AJ1464">
        <v>2</v>
      </c>
      <c r="AK1464" t="s">
        <v>170</v>
      </c>
      <c r="AL1464" t="s">
        <v>77</v>
      </c>
      <c r="AM1464">
        <f t="shared" si="110"/>
        <v>4</v>
      </c>
      <c r="AN1464">
        <f t="shared" si="111"/>
        <v>12</v>
      </c>
      <c r="AO1464" t="str">
        <f t="shared" si="112"/>
        <v/>
      </c>
      <c r="AP1464" t="str">
        <f t="shared" si="113"/>
        <v/>
      </c>
      <c r="AQ1464">
        <f t="shared" si="114"/>
        <v>2020</v>
      </c>
    </row>
    <row r="1465" spans="1:43" x14ac:dyDescent="0.35">
      <c r="A1465">
        <v>316</v>
      </c>
      <c r="B1465">
        <v>52</v>
      </c>
      <c r="C1465" t="s">
        <v>148</v>
      </c>
      <c r="D1465" t="s">
        <v>145</v>
      </c>
      <c r="E1465" t="s">
        <v>4</v>
      </c>
      <c r="F1465" t="s">
        <v>38</v>
      </c>
      <c r="G1465" t="s">
        <v>43</v>
      </c>
      <c r="H1465" t="s">
        <v>81</v>
      </c>
      <c r="I1465" t="s">
        <v>42</v>
      </c>
      <c r="J1465" t="s">
        <v>155</v>
      </c>
      <c r="K1465" t="s">
        <v>44</v>
      </c>
      <c r="L1465" t="s">
        <v>147</v>
      </c>
      <c r="M1465" t="s">
        <v>48</v>
      </c>
      <c r="N1465" t="s">
        <v>95</v>
      </c>
      <c r="P1465" t="s">
        <v>148</v>
      </c>
      <c r="Q1465">
        <v>15</v>
      </c>
      <c r="R1465">
        <v>7</v>
      </c>
      <c r="S1465">
        <v>6</v>
      </c>
      <c r="T1465">
        <v>2</v>
      </c>
      <c r="U1465">
        <v>2</v>
      </c>
      <c r="V1465">
        <v>2</v>
      </c>
      <c r="W1465">
        <v>89</v>
      </c>
      <c r="X1465">
        <v>1323</v>
      </c>
      <c r="Y1465">
        <v>3300</v>
      </c>
      <c r="Z1465">
        <v>3212</v>
      </c>
      <c r="AA1465">
        <v>3</v>
      </c>
      <c r="AB1465" s="29">
        <v>44773</v>
      </c>
      <c r="AC1465" s="29">
        <v>26033</v>
      </c>
      <c r="AD1465" s="29">
        <v>44186</v>
      </c>
      <c r="AE1465" s="29"/>
      <c r="AF1465">
        <v>2</v>
      </c>
      <c r="AG1465" t="s">
        <v>167</v>
      </c>
      <c r="AI1465">
        <v>50</v>
      </c>
      <c r="AJ1465">
        <v>1</v>
      </c>
      <c r="AK1465" t="s">
        <v>170</v>
      </c>
      <c r="AL1465" t="s">
        <v>77</v>
      </c>
      <c r="AM1465">
        <f t="shared" si="110"/>
        <v>4</v>
      </c>
      <c r="AN1465">
        <f t="shared" si="111"/>
        <v>12</v>
      </c>
      <c r="AO1465" t="str">
        <f t="shared" si="112"/>
        <v/>
      </c>
      <c r="AP1465" t="str">
        <f t="shared" si="113"/>
        <v/>
      </c>
      <c r="AQ1465">
        <f t="shared" si="114"/>
        <v>2020</v>
      </c>
    </row>
    <row r="1466" spans="1:43" x14ac:dyDescent="0.35">
      <c r="A1466">
        <v>169</v>
      </c>
      <c r="B1466">
        <v>22</v>
      </c>
      <c r="C1466" t="s">
        <v>148</v>
      </c>
      <c r="D1466" t="s">
        <v>145</v>
      </c>
      <c r="E1466" t="s">
        <v>4</v>
      </c>
      <c r="F1466" t="s">
        <v>35</v>
      </c>
      <c r="G1466" t="s">
        <v>43</v>
      </c>
      <c r="H1466" t="s">
        <v>82</v>
      </c>
      <c r="I1466" t="s">
        <v>43</v>
      </c>
      <c r="J1466" t="s">
        <v>155</v>
      </c>
      <c r="K1466" t="s">
        <v>44</v>
      </c>
      <c r="L1466" t="s">
        <v>147</v>
      </c>
      <c r="M1466" t="s">
        <v>49</v>
      </c>
      <c r="N1466" t="s">
        <v>160</v>
      </c>
      <c r="O1466" t="s">
        <v>41</v>
      </c>
      <c r="P1466" t="s">
        <v>148</v>
      </c>
      <c r="Q1466">
        <v>14</v>
      </c>
      <c r="R1466">
        <v>0</v>
      </c>
      <c r="S1466">
        <v>3</v>
      </c>
      <c r="T1466">
        <v>2</v>
      </c>
      <c r="U1466">
        <v>1</v>
      </c>
      <c r="V1466">
        <v>2</v>
      </c>
      <c r="W1466">
        <v>100</v>
      </c>
      <c r="X1466">
        <v>594</v>
      </c>
      <c r="Y1466">
        <v>19299</v>
      </c>
      <c r="Z1466">
        <v>2523</v>
      </c>
      <c r="AA1466">
        <v>2</v>
      </c>
      <c r="AB1466" s="29">
        <v>44773</v>
      </c>
      <c r="AC1466" s="29">
        <v>36856</v>
      </c>
      <c r="AD1466" s="29">
        <v>44206</v>
      </c>
      <c r="AE1466" s="29"/>
      <c r="AF1466">
        <v>2</v>
      </c>
      <c r="AG1466" t="s">
        <v>157</v>
      </c>
      <c r="AI1466">
        <v>20</v>
      </c>
      <c r="AJ1466">
        <v>1</v>
      </c>
      <c r="AK1466" t="s">
        <v>170</v>
      </c>
      <c r="AL1466" t="s">
        <v>77</v>
      </c>
      <c r="AM1466">
        <f t="shared" si="110"/>
        <v>1</v>
      </c>
      <c r="AN1466">
        <f t="shared" si="111"/>
        <v>1</v>
      </c>
      <c r="AO1466" t="str">
        <f t="shared" si="112"/>
        <v/>
      </c>
      <c r="AP1466" t="str">
        <f t="shared" si="113"/>
        <v/>
      </c>
      <c r="AQ1466">
        <f t="shared" si="114"/>
        <v>2021</v>
      </c>
    </row>
    <row r="1467" spans="1:43" x14ac:dyDescent="0.35">
      <c r="A1467">
        <v>1916</v>
      </c>
      <c r="B1467">
        <v>31</v>
      </c>
      <c r="C1467" t="s">
        <v>148</v>
      </c>
      <c r="D1467" t="s">
        <v>145</v>
      </c>
      <c r="E1467" t="s">
        <v>4</v>
      </c>
      <c r="F1467" t="s">
        <v>38</v>
      </c>
      <c r="G1467" t="s">
        <v>41</v>
      </c>
      <c r="H1467" t="s">
        <v>81</v>
      </c>
      <c r="I1467" t="s">
        <v>44</v>
      </c>
      <c r="J1467" t="s">
        <v>155</v>
      </c>
      <c r="K1467" t="s">
        <v>43</v>
      </c>
      <c r="L1467" t="s">
        <v>147</v>
      </c>
      <c r="M1467" t="s">
        <v>48</v>
      </c>
      <c r="N1467" t="s">
        <v>96</v>
      </c>
      <c r="O1467" t="s">
        <v>41</v>
      </c>
      <c r="P1467" t="s">
        <v>148</v>
      </c>
      <c r="Q1467">
        <v>12</v>
      </c>
      <c r="R1467">
        <v>8</v>
      </c>
      <c r="S1467">
        <v>4</v>
      </c>
      <c r="T1467">
        <v>2</v>
      </c>
      <c r="U1467">
        <v>2</v>
      </c>
      <c r="V1467">
        <v>4</v>
      </c>
      <c r="W1467">
        <v>62</v>
      </c>
      <c r="X1467">
        <v>471</v>
      </c>
      <c r="Y1467">
        <v>16031</v>
      </c>
      <c r="Z1467">
        <v>3978</v>
      </c>
      <c r="AA1467">
        <v>0</v>
      </c>
      <c r="AB1467" s="29">
        <v>44773</v>
      </c>
      <c r="AC1467" s="29">
        <v>33509</v>
      </c>
      <c r="AD1467" s="29">
        <v>44211</v>
      </c>
      <c r="AE1467" s="29"/>
      <c r="AF1467">
        <v>2</v>
      </c>
      <c r="AG1467" t="s">
        <v>149</v>
      </c>
      <c r="AI1467">
        <v>29</v>
      </c>
      <c r="AJ1467">
        <v>2</v>
      </c>
      <c r="AK1467" t="s">
        <v>170</v>
      </c>
      <c r="AL1467" t="s">
        <v>77</v>
      </c>
      <c r="AM1467">
        <f t="shared" si="110"/>
        <v>1</v>
      </c>
      <c r="AN1467">
        <f t="shared" si="111"/>
        <v>1</v>
      </c>
      <c r="AO1467" t="str">
        <f t="shared" si="112"/>
        <v/>
      </c>
      <c r="AP1467" t="str">
        <f t="shared" si="113"/>
        <v/>
      </c>
      <c r="AQ1467">
        <f t="shared" si="114"/>
        <v>2021</v>
      </c>
    </row>
    <row r="1468" spans="1:43" x14ac:dyDescent="0.35">
      <c r="A1468">
        <v>493</v>
      </c>
      <c r="B1468">
        <v>31</v>
      </c>
      <c r="C1468" t="s">
        <v>148</v>
      </c>
      <c r="D1468" t="s">
        <v>145</v>
      </c>
      <c r="E1468" t="s">
        <v>4</v>
      </c>
      <c r="F1468" t="s">
        <v>37</v>
      </c>
      <c r="G1468" t="s">
        <v>43</v>
      </c>
      <c r="H1468" t="s">
        <v>82</v>
      </c>
      <c r="I1468" t="s">
        <v>42</v>
      </c>
      <c r="J1468" t="s">
        <v>146</v>
      </c>
      <c r="K1468" t="s">
        <v>42</v>
      </c>
      <c r="L1468" t="s">
        <v>147</v>
      </c>
      <c r="M1468" t="s">
        <v>49</v>
      </c>
      <c r="N1468" t="s">
        <v>95</v>
      </c>
      <c r="P1468" t="s">
        <v>144</v>
      </c>
      <c r="Q1468">
        <v>16</v>
      </c>
      <c r="R1468">
        <v>0</v>
      </c>
      <c r="S1468">
        <v>3</v>
      </c>
      <c r="T1468">
        <v>2</v>
      </c>
      <c r="U1468">
        <v>2</v>
      </c>
      <c r="V1468">
        <v>9</v>
      </c>
      <c r="W1468">
        <v>42</v>
      </c>
      <c r="X1468">
        <v>408</v>
      </c>
      <c r="Y1468">
        <v>7551</v>
      </c>
      <c r="Z1468">
        <v>2657</v>
      </c>
      <c r="AA1468">
        <v>5</v>
      </c>
      <c r="AB1468" s="29">
        <v>44773</v>
      </c>
      <c r="AC1468" s="29">
        <v>33747</v>
      </c>
      <c r="AD1468" s="29">
        <v>44217</v>
      </c>
      <c r="AE1468" s="29"/>
      <c r="AF1468">
        <v>2</v>
      </c>
      <c r="AG1468" t="s">
        <v>149</v>
      </c>
      <c r="AI1468">
        <v>29</v>
      </c>
      <c r="AJ1468">
        <v>2</v>
      </c>
      <c r="AK1468" t="s">
        <v>170</v>
      </c>
      <c r="AL1468" t="s">
        <v>77</v>
      </c>
      <c r="AM1468">
        <f t="shared" si="110"/>
        <v>1</v>
      </c>
      <c r="AN1468">
        <f t="shared" si="111"/>
        <v>1</v>
      </c>
      <c r="AO1468" t="str">
        <f t="shared" si="112"/>
        <v/>
      </c>
      <c r="AP1468" t="str">
        <f t="shared" si="113"/>
        <v/>
      </c>
      <c r="AQ1468">
        <f t="shared" si="114"/>
        <v>2021</v>
      </c>
    </row>
    <row r="1469" spans="1:43" x14ac:dyDescent="0.35">
      <c r="A1469">
        <v>1001</v>
      </c>
      <c r="B1469">
        <v>27</v>
      </c>
      <c r="C1469" t="s">
        <v>148</v>
      </c>
      <c r="D1469" t="s">
        <v>145</v>
      </c>
      <c r="E1469" t="s">
        <v>4</v>
      </c>
      <c r="F1469" t="s">
        <v>37</v>
      </c>
      <c r="G1469" t="s">
        <v>43</v>
      </c>
      <c r="H1469" t="s">
        <v>81</v>
      </c>
      <c r="I1469" t="s">
        <v>43</v>
      </c>
      <c r="J1469" t="s">
        <v>155</v>
      </c>
      <c r="K1469" t="s">
        <v>42</v>
      </c>
      <c r="L1469" t="s">
        <v>147</v>
      </c>
      <c r="M1469" t="s">
        <v>49</v>
      </c>
      <c r="N1469" t="s">
        <v>160</v>
      </c>
      <c r="O1469" t="s">
        <v>41</v>
      </c>
      <c r="P1469" t="s">
        <v>148</v>
      </c>
      <c r="Q1469">
        <v>14</v>
      </c>
      <c r="R1469">
        <v>9</v>
      </c>
      <c r="S1469">
        <v>4</v>
      </c>
      <c r="T1469">
        <v>2</v>
      </c>
      <c r="U1469">
        <v>1</v>
      </c>
      <c r="V1469">
        <v>16</v>
      </c>
      <c r="W1469">
        <v>37</v>
      </c>
      <c r="X1469">
        <v>1134</v>
      </c>
      <c r="Y1469">
        <v>12086</v>
      </c>
      <c r="Z1469">
        <v>2811</v>
      </c>
      <c r="AA1469">
        <v>2</v>
      </c>
      <c r="AB1469" s="29">
        <v>44773</v>
      </c>
      <c r="AC1469" s="29">
        <v>34913</v>
      </c>
      <c r="AD1469" s="29">
        <v>44343</v>
      </c>
      <c r="AE1469" s="29"/>
      <c r="AF1469">
        <v>1</v>
      </c>
      <c r="AG1469" t="s">
        <v>157</v>
      </c>
      <c r="AI1469">
        <v>26</v>
      </c>
      <c r="AJ1469">
        <v>1</v>
      </c>
      <c r="AK1469" t="s">
        <v>170</v>
      </c>
      <c r="AL1469" t="s">
        <v>77</v>
      </c>
      <c r="AM1469">
        <f t="shared" si="110"/>
        <v>2</v>
      </c>
      <c r="AN1469">
        <f t="shared" si="111"/>
        <v>5</v>
      </c>
      <c r="AO1469" t="str">
        <f t="shared" si="112"/>
        <v/>
      </c>
      <c r="AP1469" t="str">
        <f t="shared" si="113"/>
        <v/>
      </c>
      <c r="AQ1469">
        <f t="shared" si="114"/>
        <v>2021</v>
      </c>
    </row>
    <row r="1470" spans="1:43" x14ac:dyDescent="0.35">
      <c r="A1470">
        <v>75</v>
      </c>
      <c r="B1470">
        <v>35</v>
      </c>
      <c r="C1470" t="s">
        <v>148</v>
      </c>
      <c r="D1470" t="s">
        <v>145</v>
      </c>
      <c r="E1470" t="s">
        <v>4</v>
      </c>
      <c r="F1470" t="s">
        <v>37</v>
      </c>
      <c r="G1470" t="s">
        <v>43</v>
      </c>
      <c r="H1470" t="s">
        <v>81</v>
      </c>
      <c r="I1470" t="s">
        <v>43</v>
      </c>
      <c r="J1470" t="s">
        <v>155</v>
      </c>
      <c r="K1470" t="s">
        <v>41</v>
      </c>
      <c r="L1470" t="s">
        <v>147</v>
      </c>
      <c r="M1470" t="s">
        <v>49</v>
      </c>
      <c r="N1470" t="s">
        <v>160</v>
      </c>
      <c r="O1470" t="s">
        <v>41</v>
      </c>
      <c r="P1470" t="s">
        <v>144</v>
      </c>
      <c r="Q1470">
        <v>15</v>
      </c>
      <c r="R1470">
        <v>3</v>
      </c>
      <c r="S1470">
        <v>4</v>
      </c>
      <c r="T1470">
        <v>2</v>
      </c>
      <c r="U1470">
        <v>1</v>
      </c>
      <c r="V1470">
        <v>23</v>
      </c>
      <c r="W1470">
        <v>30</v>
      </c>
      <c r="X1470">
        <v>1142</v>
      </c>
      <c r="Y1470">
        <v>16002</v>
      </c>
      <c r="Z1470">
        <v>4014</v>
      </c>
      <c r="AA1470">
        <v>3</v>
      </c>
      <c r="AB1470" s="29">
        <v>44773</v>
      </c>
      <c r="AC1470" s="29">
        <v>32041</v>
      </c>
      <c r="AD1470" s="29">
        <v>44370</v>
      </c>
      <c r="AE1470" s="29"/>
      <c r="AF1470">
        <v>1</v>
      </c>
      <c r="AG1470" t="s">
        <v>149</v>
      </c>
      <c r="AI1470">
        <v>34</v>
      </c>
      <c r="AJ1470">
        <v>1</v>
      </c>
      <c r="AK1470" t="s">
        <v>170</v>
      </c>
      <c r="AL1470" t="s">
        <v>77</v>
      </c>
      <c r="AM1470">
        <f t="shared" si="110"/>
        <v>2</v>
      </c>
      <c r="AN1470">
        <f t="shared" si="111"/>
        <v>6</v>
      </c>
      <c r="AO1470" t="str">
        <f t="shared" si="112"/>
        <v/>
      </c>
      <c r="AP1470" t="str">
        <f t="shared" si="113"/>
        <v/>
      </c>
      <c r="AQ1470">
        <f t="shared" si="114"/>
        <v>2021</v>
      </c>
    </row>
    <row r="1471" spans="1:43" x14ac:dyDescent="0.35">
      <c r="A1471">
        <v>1871</v>
      </c>
      <c r="B1471">
        <v>39</v>
      </c>
      <c r="C1471" t="s">
        <v>148</v>
      </c>
      <c r="D1471" t="s">
        <v>145</v>
      </c>
      <c r="E1471" t="s">
        <v>4</v>
      </c>
      <c r="F1471" t="s">
        <v>37</v>
      </c>
      <c r="G1471" t="s">
        <v>44</v>
      </c>
      <c r="H1471" t="s">
        <v>82</v>
      </c>
      <c r="I1471" t="s">
        <v>43</v>
      </c>
      <c r="J1471" t="s">
        <v>146</v>
      </c>
      <c r="K1471" t="s">
        <v>44</v>
      </c>
      <c r="L1471" t="s">
        <v>147</v>
      </c>
      <c r="M1471" t="s">
        <v>49</v>
      </c>
      <c r="N1471" t="s">
        <v>96</v>
      </c>
      <c r="O1471" t="s">
        <v>43</v>
      </c>
      <c r="P1471" t="s">
        <v>148</v>
      </c>
      <c r="Q1471">
        <v>14</v>
      </c>
      <c r="R1471">
        <v>8</v>
      </c>
      <c r="S1471">
        <v>7</v>
      </c>
      <c r="T1471">
        <v>2</v>
      </c>
      <c r="U1471">
        <v>1</v>
      </c>
      <c r="V1471">
        <v>19</v>
      </c>
      <c r="W1471">
        <v>41</v>
      </c>
      <c r="X1471">
        <v>835</v>
      </c>
      <c r="Y1471">
        <v>5141</v>
      </c>
      <c r="Z1471">
        <v>3902</v>
      </c>
      <c r="AA1471">
        <v>2</v>
      </c>
      <c r="AB1471" s="29">
        <v>44773</v>
      </c>
      <c r="AC1471" s="29">
        <v>30768</v>
      </c>
      <c r="AD1471" s="29">
        <v>44385</v>
      </c>
      <c r="AE1471" s="29"/>
      <c r="AF1471">
        <v>1</v>
      </c>
      <c r="AG1471" t="s">
        <v>149</v>
      </c>
      <c r="AI1471">
        <v>38</v>
      </c>
      <c r="AJ1471">
        <v>1</v>
      </c>
      <c r="AK1471" t="s">
        <v>170</v>
      </c>
      <c r="AL1471" t="s">
        <v>77</v>
      </c>
      <c r="AM1471">
        <f t="shared" si="110"/>
        <v>3</v>
      </c>
      <c r="AN1471">
        <f t="shared" si="111"/>
        <v>7</v>
      </c>
      <c r="AO1471" t="str">
        <f t="shared" si="112"/>
        <v/>
      </c>
      <c r="AP1471" t="str">
        <f t="shared" si="113"/>
        <v/>
      </c>
      <c r="AQ1471">
        <f t="shared" si="114"/>
        <v>2021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5.5" x14ac:dyDescent="0.35">
      <c r="A1" s="30" t="s">
        <v>175</v>
      </c>
    </row>
    <row r="2" spans="1:1" ht="26" x14ac:dyDescent="0.35">
      <c r="A2" s="31" t="s">
        <v>176</v>
      </c>
    </row>
    <row r="3" spans="1:1" x14ac:dyDescent="0.35">
      <c r="A3" s="31"/>
    </row>
    <row r="4" spans="1:1" ht="15.5" x14ac:dyDescent="0.35">
      <c r="A4" s="30" t="s">
        <v>177</v>
      </c>
    </row>
    <row r="5" spans="1:1" ht="26" x14ac:dyDescent="0.35">
      <c r="A5" s="31" t="s">
        <v>178</v>
      </c>
    </row>
    <row r="6" spans="1:1" ht="26" x14ac:dyDescent="0.35">
      <c r="A6" s="31" t="s">
        <v>179</v>
      </c>
    </row>
    <row r="7" spans="1:1" x14ac:dyDescent="0.35">
      <c r="A7" s="31" t="s">
        <v>180</v>
      </c>
    </row>
    <row r="8" spans="1:1" x14ac:dyDescent="0.35">
      <c r="A8" s="31" t="s">
        <v>181</v>
      </c>
    </row>
    <row r="9" spans="1:1" x14ac:dyDescent="0.35">
      <c r="A9" s="31" t="s">
        <v>182</v>
      </c>
    </row>
    <row r="10" spans="1:1" x14ac:dyDescent="0.35">
      <c r="A10" s="31"/>
    </row>
    <row r="11" spans="1:1" ht="15.5" x14ac:dyDescent="0.35">
      <c r="A11" s="30" t="s">
        <v>183</v>
      </c>
    </row>
    <row r="12" spans="1:1" ht="26" x14ac:dyDescent="0.35">
      <c r="A12" s="31" t="s">
        <v>184</v>
      </c>
    </row>
    <row r="13" spans="1:1" x14ac:dyDescent="0.35">
      <c r="A13" s="31" t="s">
        <v>185</v>
      </c>
    </row>
    <row r="14" spans="1:1" x14ac:dyDescent="0.35">
      <c r="A14" s="31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Interactive Dashboard</vt:lpstr>
      <vt:lpstr>Sheet1</vt:lpstr>
      <vt:lpstr>Analysis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faith usenideh</cp:lastModifiedBy>
  <cp:revision>1</cp:revision>
  <dcterms:created xsi:type="dcterms:W3CDTF">2026-10-27T16:58:36Z</dcterms:created>
  <dcterms:modified xsi:type="dcterms:W3CDTF">2026-10-27T17:06:25Z</dcterms:modified>
  <dc:language>en-US</dc:language>
</cp:coreProperties>
</file>